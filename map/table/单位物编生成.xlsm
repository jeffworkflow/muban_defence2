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E120FAE7-6115-4C18-AB94-39F769862A06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自定义lni!$A$3:$AB$114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7" i="29" l="1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47" i="29"/>
  <c r="L46" i="29"/>
  <c r="Z122" i="29" l="1"/>
  <c r="V122" i="29"/>
  <c r="S122" i="29"/>
  <c r="Q122" i="29"/>
  <c r="Y121" i="29"/>
  <c r="Y118" i="29"/>
  <c r="Z111" i="29"/>
  <c r="Z112" i="29" s="1"/>
  <c r="Z113" i="29" s="1"/>
  <c r="Z114" i="29" s="1"/>
  <c r="W111" i="29"/>
  <c r="W112" i="29" s="1"/>
  <c r="W113" i="29" s="1"/>
  <c r="W114" i="29" s="1"/>
  <c r="S111" i="29"/>
  <c r="S112" i="29" s="1"/>
  <c r="S113" i="29" s="1"/>
  <c r="S114" i="29" s="1"/>
  <c r="W100" i="29"/>
  <c r="Z99" i="29"/>
  <c r="S99" i="29"/>
  <c r="R99" i="29"/>
  <c r="Q99" i="29"/>
  <c r="Z98" i="29"/>
  <c r="S98" i="29"/>
  <c r="R98" i="29"/>
  <c r="Q98" i="29"/>
  <c r="Z97" i="29"/>
  <c r="V97" i="29"/>
  <c r="S97" i="29"/>
  <c r="R97" i="29"/>
  <c r="Q97" i="29"/>
  <c r="Z94" i="29"/>
  <c r="Q94" i="29"/>
  <c r="Z93" i="29"/>
  <c r="S92" i="29"/>
  <c r="S91" i="29"/>
  <c r="Q91" i="29"/>
  <c r="Z90" i="29"/>
  <c r="S90" i="29"/>
  <c r="Z89" i="29"/>
  <c r="S89" i="29"/>
  <c r="V86" i="29"/>
  <c r="Q85" i="29"/>
  <c r="W78" i="29"/>
  <c r="V78" i="29"/>
  <c r="V77" i="29"/>
  <c r="Q73" i="29"/>
  <c r="W71" i="29"/>
  <c r="P71" i="29"/>
  <c r="N71" i="29"/>
  <c r="W70" i="29"/>
  <c r="V70" i="29"/>
  <c r="R70" i="29"/>
  <c r="Q70" i="29"/>
  <c r="W69" i="29"/>
  <c r="V69" i="29"/>
  <c r="R69" i="29"/>
  <c r="R96" i="29" s="1"/>
  <c r="Q69" i="29"/>
  <c r="Q96" i="29" s="1"/>
  <c r="W68" i="29"/>
  <c r="V68" i="29"/>
  <c r="R68" i="29"/>
  <c r="Q68" i="29"/>
  <c r="W67" i="29"/>
  <c r="V67" i="29"/>
  <c r="R67" i="29"/>
  <c r="Q67" i="29"/>
  <c r="V66" i="29"/>
  <c r="R66" i="29"/>
  <c r="Q66" i="29"/>
  <c r="V65" i="29"/>
  <c r="V95" i="29" s="1"/>
  <c r="R65" i="29"/>
  <c r="R95" i="29" s="1"/>
  <c r="Q65" i="29"/>
  <c r="Q95" i="29" s="1"/>
  <c r="V64" i="29"/>
  <c r="R64" i="29"/>
  <c r="R78" i="29" s="1"/>
  <c r="Q64" i="29"/>
  <c r="Q78" i="29" s="1"/>
  <c r="V63" i="29"/>
  <c r="V91" i="29" s="1"/>
  <c r="R63" i="29"/>
  <c r="R91" i="29" s="1"/>
  <c r="Q63" i="29"/>
  <c r="V62" i="29"/>
  <c r="R62" i="29"/>
  <c r="Q62" i="29"/>
  <c r="V61" i="29"/>
  <c r="V94" i="29" s="1"/>
  <c r="R61" i="29"/>
  <c r="R94" i="29" s="1"/>
  <c r="Q61" i="29"/>
  <c r="V60" i="29"/>
  <c r="V88" i="29" s="1"/>
  <c r="R60" i="29"/>
  <c r="R88" i="29" s="1"/>
  <c r="Q60" i="29"/>
  <c r="V59" i="29"/>
  <c r="V90" i="29" s="1"/>
  <c r="R59" i="29"/>
  <c r="R87" i="29" s="1"/>
  <c r="R115" i="29" s="1"/>
  <c r="Q59" i="29"/>
  <c r="Q90" i="29" s="1"/>
  <c r="V58" i="29"/>
  <c r="R58" i="29"/>
  <c r="R77" i="29" s="1"/>
  <c r="Q58" i="29"/>
  <c r="Q77" i="29" s="1"/>
  <c r="V57" i="29"/>
  <c r="R57" i="29"/>
  <c r="R93" i="29" s="1"/>
  <c r="Q57" i="29"/>
  <c r="Q93" i="29" s="1"/>
  <c r="V56" i="29"/>
  <c r="V84" i="29" s="1"/>
  <c r="R56" i="29"/>
  <c r="R84" i="29" s="1"/>
  <c r="Q56" i="29"/>
  <c r="Q84" i="29" s="1"/>
  <c r="V55" i="29"/>
  <c r="V73" i="29" s="1"/>
  <c r="R55" i="29"/>
  <c r="R73" i="29" s="1"/>
  <c r="Q55" i="29"/>
  <c r="Q89" i="29" s="1"/>
  <c r="V54" i="29"/>
  <c r="V82" i="29" s="1"/>
  <c r="R54" i="29"/>
  <c r="R82" i="29" s="1"/>
  <c r="Q54" i="29"/>
  <c r="Q82" i="29" s="1"/>
  <c r="V53" i="29"/>
  <c r="V81" i="29" s="1"/>
  <c r="R53" i="29"/>
  <c r="Q53" i="29"/>
  <c r="Q81" i="29" s="1"/>
  <c r="O53" i="29"/>
  <c r="O79" i="29" s="1"/>
  <c r="V52" i="29"/>
  <c r="V80" i="29" s="1"/>
  <c r="R52" i="29"/>
  <c r="R80" i="29" s="1"/>
  <c r="Q52" i="29"/>
  <c r="Q80" i="29" s="1"/>
  <c r="V51" i="29"/>
  <c r="V72" i="29" s="1"/>
  <c r="V100" i="29" s="1"/>
  <c r="R51" i="29"/>
  <c r="R72" i="29" s="1"/>
  <c r="R100" i="29" s="1"/>
  <c r="Q51" i="29"/>
  <c r="Q72" i="29" s="1"/>
  <c r="Q100" i="29" s="1"/>
  <c r="P51" i="29"/>
  <c r="P52" i="29" s="1"/>
  <c r="P53" i="29" s="1"/>
  <c r="O51" i="29"/>
  <c r="N51" i="29"/>
  <c r="N52" i="29" s="1"/>
  <c r="N53" i="29" s="1"/>
  <c r="V50" i="29"/>
  <c r="V79" i="29" s="1"/>
  <c r="R50" i="29"/>
  <c r="R79" i="29" s="1"/>
  <c r="Q50" i="29"/>
  <c r="Q79" i="29" s="1"/>
  <c r="V49" i="29"/>
  <c r="V75" i="29" s="1"/>
  <c r="R49" i="29"/>
  <c r="R75" i="29" s="1"/>
  <c r="Q49" i="29"/>
  <c r="Q75" i="29" s="1"/>
  <c r="P49" i="29"/>
  <c r="O49" i="29"/>
  <c r="N49" i="29"/>
  <c r="V48" i="29"/>
  <c r="V71" i="29" s="1"/>
  <c r="R48" i="29"/>
  <c r="R71" i="29" s="1"/>
  <c r="Q48" i="29"/>
  <c r="Q71" i="29" s="1"/>
  <c r="V47" i="29"/>
  <c r="R47" i="29"/>
  <c r="Q47" i="29"/>
  <c r="P47" i="29"/>
  <c r="O47" i="29"/>
  <c r="N47" i="29"/>
  <c r="V46" i="29"/>
  <c r="R46" i="29"/>
  <c r="Q46" i="29"/>
  <c r="W45" i="29"/>
  <c r="V45" i="29"/>
  <c r="S45" i="29"/>
  <c r="R45" i="29"/>
  <c r="Q45" i="29"/>
  <c r="W44" i="29"/>
  <c r="V44" i="29"/>
  <c r="S44" i="29"/>
  <c r="R44" i="29"/>
  <c r="Q44" i="29"/>
  <c r="Z43" i="29"/>
  <c r="V43" i="29"/>
  <c r="S43" i="29"/>
  <c r="R43" i="29"/>
  <c r="Q43" i="29"/>
  <c r="N43" i="29"/>
  <c r="N40" i="29" s="1"/>
  <c r="N44" i="29" s="1"/>
  <c r="N41" i="29" s="1"/>
  <c r="N45" i="29" s="1"/>
  <c r="N42" i="29" s="1"/>
  <c r="N120" i="29" s="1"/>
  <c r="N123" i="29" s="1"/>
  <c r="W42" i="29"/>
  <c r="V42" i="29"/>
  <c r="S42" i="29"/>
  <c r="R42" i="29"/>
  <c r="Q42" i="29"/>
  <c r="W41" i="29"/>
  <c r="V41" i="29"/>
  <c r="S41" i="29"/>
  <c r="R41" i="29"/>
  <c r="Q41" i="29"/>
  <c r="W40" i="29"/>
  <c r="V40" i="29"/>
  <c r="S40" i="29"/>
  <c r="R40" i="29"/>
  <c r="Q40" i="29"/>
  <c r="W39" i="29"/>
  <c r="V39" i="29"/>
  <c r="S39" i="29"/>
  <c r="R39" i="29"/>
  <c r="Q39" i="29"/>
  <c r="P39" i="29"/>
  <c r="P43" i="29" s="1"/>
  <c r="P40" i="29" s="1"/>
  <c r="P44" i="29" s="1"/>
  <c r="P41" i="29" s="1"/>
  <c r="P45" i="29" s="1"/>
  <c r="P42" i="29" s="1"/>
  <c r="P120" i="29" s="1"/>
  <c r="P123" i="29" s="1"/>
  <c r="W38" i="29"/>
  <c r="V38" i="29"/>
  <c r="S38" i="29"/>
  <c r="R38" i="29"/>
  <c r="Q38" i="29"/>
  <c r="W37" i="29"/>
  <c r="V37" i="29"/>
  <c r="S37" i="29"/>
  <c r="R37" i="29"/>
  <c r="Q37" i="29"/>
  <c r="W36" i="29"/>
  <c r="V36" i="29"/>
  <c r="S36" i="29"/>
  <c r="R36" i="29"/>
  <c r="Q36" i="29"/>
  <c r="O36" i="29"/>
  <c r="O37" i="29" s="1"/>
  <c r="O38" i="29" s="1"/>
  <c r="O39" i="29" s="1"/>
  <c r="O43" i="29" s="1"/>
  <c r="O40" i="29" s="1"/>
  <c r="O44" i="29" s="1"/>
  <c r="O41" i="29" s="1"/>
  <c r="O45" i="29" s="1"/>
  <c r="O42" i="29" s="1"/>
  <c r="O120" i="29" s="1"/>
  <c r="O123" i="29" s="1"/>
  <c r="W35" i="29"/>
  <c r="V35" i="29"/>
  <c r="S35" i="29"/>
  <c r="R35" i="29"/>
  <c r="Q35" i="29"/>
  <c r="W33" i="29"/>
  <c r="W32" i="29"/>
  <c r="W31" i="29"/>
  <c r="W30" i="29"/>
  <c r="W29" i="29"/>
  <c r="T29" i="29"/>
  <c r="T122" i="29" s="1"/>
  <c r="P29" i="29"/>
  <c r="O29" i="29"/>
  <c r="N29" i="29"/>
  <c r="P9" i="29"/>
  <c r="P10" i="29" s="1"/>
  <c r="P11" i="29" s="1"/>
  <c r="T11" i="29" s="1"/>
  <c r="T53" i="29" s="1"/>
  <c r="O9" i="29"/>
  <c r="O10" i="29" s="1"/>
  <c r="O11" i="29" s="1"/>
  <c r="O12" i="29" s="1"/>
  <c r="O13" i="29" s="1"/>
  <c r="N9" i="29"/>
  <c r="N10" i="29" s="1"/>
  <c r="N11" i="29" s="1"/>
  <c r="N12" i="29" s="1"/>
  <c r="N13" i="29" s="1"/>
  <c r="T8" i="29"/>
  <c r="T43" i="29" s="1"/>
  <c r="N5" i="29"/>
  <c r="N37" i="29" s="1"/>
  <c r="P4" i="29"/>
  <c r="T4" i="29" s="1"/>
  <c r="R90" i="29" l="1"/>
  <c r="T98" i="29"/>
  <c r="T97" i="29"/>
  <c r="P79" i="29"/>
  <c r="P54" i="29"/>
  <c r="V89" i="29"/>
  <c r="R74" i="29"/>
  <c r="R111" i="29" s="1"/>
  <c r="R112" i="29" s="1"/>
  <c r="R113" i="29" s="1"/>
  <c r="R114" i="29" s="1"/>
  <c r="Q92" i="29"/>
  <c r="P5" i="29"/>
  <c r="P6" i="29" s="1"/>
  <c r="T37" i="29"/>
  <c r="O54" i="29"/>
  <c r="V74" i="29"/>
  <c r="V111" i="29" s="1"/>
  <c r="V112" i="29" s="1"/>
  <c r="V113" i="29" s="1"/>
  <c r="V114" i="29" s="1"/>
  <c r="Q83" i="29"/>
  <c r="R92" i="29"/>
  <c r="N6" i="29"/>
  <c r="N7" i="29" s="1"/>
  <c r="V83" i="29"/>
  <c r="Q76" i="29"/>
  <c r="N30" i="29"/>
  <c r="N14" i="29"/>
  <c r="N15" i="29" s="1"/>
  <c r="N16" i="29" s="1"/>
  <c r="N17" i="29" s="1"/>
  <c r="N18" i="29" s="1"/>
  <c r="O30" i="29"/>
  <c r="O14" i="29"/>
  <c r="O15" i="29" s="1"/>
  <c r="O16" i="29" s="1"/>
  <c r="O17" i="29" s="1"/>
  <c r="O18" i="29" s="1"/>
  <c r="T81" i="29"/>
  <c r="T76" i="29"/>
  <c r="V96" i="29"/>
  <c r="V92" i="29"/>
  <c r="N79" i="29"/>
  <c r="N54" i="29"/>
  <c r="Q88" i="29"/>
  <c r="Q74" i="29"/>
  <c r="Q111" i="29" s="1"/>
  <c r="Q112" i="29" s="1"/>
  <c r="Q113" i="29" s="1"/>
  <c r="Q114" i="29" s="1"/>
  <c r="T9" i="29"/>
  <c r="T51" i="29" s="1"/>
  <c r="T72" i="29" s="1"/>
  <c r="T100" i="29" s="1"/>
  <c r="V85" i="29"/>
  <c r="V93" i="29"/>
  <c r="Q87" i="29"/>
  <c r="Q115" i="29" s="1"/>
  <c r="T46" i="29"/>
  <c r="T35" i="29"/>
  <c r="P12" i="29"/>
  <c r="R81" i="29"/>
  <c r="R76" i="29"/>
  <c r="Q86" i="29"/>
  <c r="T10" i="29"/>
  <c r="T50" i="29"/>
  <c r="T79" i="29" s="1"/>
  <c r="R86" i="29"/>
  <c r="P37" i="29"/>
  <c r="T5" i="29"/>
  <c r="R85" i="29"/>
  <c r="V76" i="29"/>
  <c r="R83" i="29"/>
  <c r="V87" i="29"/>
  <c r="V115" i="29" s="1"/>
  <c r="R89" i="29"/>
  <c r="O72" i="29" l="1"/>
  <c r="O55" i="29"/>
  <c r="P72" i="29"/>
  <c r="P55" i="29"/>
  <c r="P13" i="29"/>
  <c r="T12" i="29"/>
  <c r="O19" i="29"/>
  <c r="O20" i="29" s="1"/>
  <c r="O21" i="29" s="1"/>
  <c r="O22" i="29" s="1"/>
  <c r="O23" i="29" s="1"/>
  <c r="O31" i="29"/>
  <c r="T6" i="29"/>
  <c r="P7" i="29"/>
  <c r="T7" i="29" s="1"/>
  <c r="T49" i="29" s="1"/>
  <c r="T75" i="29" s="1"/>
  <c r="T52" i="29"/>
  <c r="T80" i="29" s="1"/>
  <c r="T38" i="29"/>
  <c r="N72" i="29"/>
  <c r="N55" i="29"/>
  <c r="T47" i="29"/>
  <c r="T99" i="29"/>
  <c r="N19" i="29"/>
  <c r="N20" i="29" s="1"/>
  <c r="N21" i="29" s="1"/>
  <c r="N22" i="29" s="1"/>
  <c r="N23" i="29" s="1"/>
  <c r="N31" i="29"/>
  <c r="P56" i="29" l="1"/>
  <c r="P57" i="29" s="1"/>
  <c r="P76" i="29"/>
  <c r="P80" i="29"/>
  <c r="O80" i="29"/>
  <c r="O56" i="29"/>
  <c r="O57" i="29" s="1"/>
  <c r="O76" i="29"/>
  <c r="T36" i="29"/>
  <c r="T48" i="29"/>
  <c r="T71" i="29" s="1"/>
  <c r="N32" i="29"/>
  <c r="N33" i="29" s="1"/>
  <c r="N34" i="29" s="1"/>
  <c r="N24" i="29"/>
  <c r="N80" i="29"/>
  <c r="N76" i="29"/>
  <c r="N56" i="29"/>
  <c r="N57" i="29" s="1"/>
  <c r="O32" i="29"/>
  <c r="O33" i="29" s="1"/>
  <c r="O34" i="29" s="1"/>
  <c r="O24" i="29"/>
  <c r="O25" i="29" s="1"/>
  <c r="O26" i="29" s="1"/>
  <c r="O27" i="29" s="1"/>
  <c r="O28" i="29" s="1"/>
  <c r="T54" i="29"/>
  <c r="T82" i="29" s="1"/>
  <c r="T39" i="29"/>
  <c r="P14" i="29"/>
  <c r="T13" i="29"/>
  <c r="T55" i="29" s="1"/>
  <c r="P30" i="29"/>
  <c r="T30" i="29" s="1"/>
  <c r="O58" i="29" l="1"/>
  <c r="O59" i="29" s="1"/>
  <c r="O81" i="29"/>
  <c r="O93" i="29" s="1"/>
  <c r="O89" i="29" s="1"/>
  <c r="P58" i="29"/>
  <c r="P59" i="29" s="1"/>
  <c r="P81" i="29"/>
  <c r="P93" i="29" s="1"/>
  <c r="P89" i="29" s="1"/>
  <c r="T73" i="29"/>
  <c r="T89" i="29"/>
  <c r="T83" i="29"/>
  <c r="N58" i="29"/>
  <c r="N59" i="29" s="1"/>
  <c r="N81" i="29"/>
  <c r="N93" i="29" s="1"/>
  <c r="N89" i="29" s="1"/>
  <c r="T14" i="29"/>
  <c r="P15" i="29"/>
  <c r="N25" i="29"/>
  <c r="N66" i="29"/>
  <c r="P82" i="29" l="1"/>
  <c r="P60" i="29"/>
  <c r="P61" i="29" s="1"/>
  <c r="O60" i="29"/>
  <c r="O61" i="29" s="1"/>
  <c r="O82" i="29"/>
  <c r="N67" i="29"/>
  <c r="N26" i="29"/>
  <c r="P16" i="29"/>
  <c r="T15" i="29"/>
  <c r="T57" i="29" s="1"/>
  <c r="T44" i="29"/>
  <c r="T56" i="29"/>
  <c r="T84" i="29" s="1"/>
  <c r="T40" i="29"/>
  <c r="N60" i="29"/>
  <c r="N61" i="29" s="1"/>
  <c r="N82" i="29"/>
  <c r="O73" i="29" l="1"/>
  <c r="O62" i="29"/>
  <c r="O83" i="29"/>
  <c r="O94" i="29" s="1"/>
  <c r="O90" i="29" s="1"/>
  <c r="P62" i="29"/>
  <c r="P83" i="29"/>
  <c r="P94" i="29" s="1"/>
  <c r="P90" i="29" s="1"/>
  <c r="P73" i="29"/>
  <c r="T93" i="29"/>
  <c r="T85" i="29"/>
  <c r="N73" i="29"/>
  <c r="N62" i="29"/>
  <c r="N83" i="29"/>
  <c r="N94" i="29" s="1"/>
  <c r="N90" i="29" s="1"/>
  <c r="P17" i="29"/>
  <c r="T16" i="29"/>
  <c r="N27" i="29"/>
  <c r="N68" i="29"/>
  <c r="P100" i="29" l="1"/>
  <c r="P63" i="29"/>
  <c r="O100" i="29"/>
  <c r="O63" i="29"/>
  <c r="T17" i="29"/>
  <c r="T59" i="29" s="1"/>
  <c r="P18" i="29"/>
  <c r="N100" i="29"/>
  <c r="N63" i="29"/>
  <c r="N28" i="29"/>
  <c r="N70" i="29" s="1"/>
  <c r="N69" i="29"/>
  <c r="T41" i="29"/>
  <c r="T58" i="29"/>
  <c r="O77" i="29" l="1"/>
  <c r="O64" i="29"/>
  <c r="O65" i="29" s="1"/>
  <c r="O84" i="29"/>
  <c r="P84" i="29"/>
  <c r="P64" i="29"/>
  <c r="P65" i="29" s="1"/>
  <c r="P77" i="29"/>
  <c r="T86" i="29"/>
  <c r="T77" i="29"/>
  <c r="N64" i="29"/>
  <c r="N65" i="29" s="1"/>
  <c r="N84" i="29"/>
  <c r="N77" i="29"/>
  <c r="P19" i="29"/>
  <c r="P31" i="29"/>
  <c r="T31" i="29" s="1"/>
  <c r="T18" i="29"/>
  <c r="T90" i="29"/>
  <c r="T87" i="29"/>
  <c r="T115" i="29" s="1"/>
  <c r="P118" i="29" l="1"/>
  <c r="P119" i="29" s="1"/>
  <c r="P78" i="29"/>
  <c r="P85" i="29"/>
  <c r="P74" i="29"/>
  <c r="P111" i="29" s="1"/>
  <c r="P112" i="29" s="1"/>
  <c r="P113" i="29" s="1"/>
  <c r="P114" i="29" s="1"/>
  <c r="O85" i="29"/>
  <c r="O118" i="29"/>
  <c r="O119" i="29" s="1"/>
  <c r="O74" i="29"/>
  <c r="O111" i="29" s="1"/>
  <c r="O112" i="29" s="1"/>
  <c r="O113" i="29" s="1"/>
  <c r="O114" i="29" s="1"/>
  <c r="O78" i="29"/>
  <c r="P20" i="29"/>
  <c r="T19" i="29"/>
  <c r="T61" i="29" s="1"/>
  <c r="T94" i="29" s="1"/>
  <c r="N85" i="29"/>
  <c r="N78" i="29"/>
  <c r="N118" i="29"/>
  <c r="N119" i="29" s="1"/>
  <c r="N74" i="29"/>
  <c r="N111" i="29" s="1"/>
  <c r="N112" i="29" s="1"/>
  <c r="N113" i="29" s="1"/>
  <c r="N114" i="29" s="1"/>
  <c r="T60" i="29"/>
  <c r="T42" i="29"/>
  <c r="O95" i="29" l="1"/>
  <c r="O91" i="29" s="1"/>
  <c r="O86" i="29"/>
  <c r="O87" i="29" s="1"/>
  <c r="P95" i="29"/>
  <c r="P91" i="29" s="1"/>
  <c r="P86" i="29"/>
  <c r="P87" i="29" s="1"/>
  <c r="N86" i="29"/>
  <c r="N87" i="29" s="1"/>
  <c r="N95" i="29"/>
  <c r="N91" i="29" s="1"/>
  <c r="T88" i="29"/>
  <c r="T74" i="29"/>
  <c r="T111" i="29" s="1"/>
  <c r="T112" i="29" s="1"/>
  <c r="T113" i="29" s="1"/>
  <c r="T114" i="29" s="1"/>
  <c r="T20" i="29"/>
  <c r="T62" i="29" s="1"/>
  <c r="P21" i="29"/>
  <c r="P88" i="29" l="1"/>
  <c r="P96" i="29"/>
  <c r="O88" i="29"/>
  <c r="O96" i="29"/>
  <c r="P22" i="29"/>
  <c r="T21" i="29"/>
  <c r="T63" i="29" s="1"/>
  <c r="T91" i="29" s="1"/>
  <c r="N96" i="29"/>
  <c r="N88" i="29"/>
  <c r="O121" i="29" l="1"/>
  <c r="O124" i="29" s="1"/>
  <c r="O92" i="29"/>
  <c r="O115" i="29"/>
  <c r="O109" i="29"/>
  <c r="P92" i="29"/>
  <c r="P121" i="29"/>
  <c r="P124" i="29" s="1"/>
  <c r="P109" i="29"/>
  <c r="P115" i="29"/>
  <c r="N109" i="29"/>
  <c r="N115" i="29"/>
  <c r="N92" i="29"/>
  <c r="N121" i="29"/>
  <c r="N124" i="29" s="1"/>
  <c r="P23" i="29"/>
  <c r="T22" i="29"/>
  <c r="T64" i="29" s="1"/>
  <c r="T78" i="29" s="1"/>
  <c r="T23" i="29" l="1"/>
  <c r="P24" i="29"/>
  <c r="P32" i="29"/>
  <c r="P33" i="29" l="1"/>
  <c r="T32" i="29"/>
  <c r="P25" i="29"/>
  <c r="P66" i="29"/>
  <c r="T24" i="29"/>
  <c r="T66" i="29" s="1"/>
  <c r="T45" i="29"/>
  <c r="T65" i="29"/>
  <c r="T95" i="29" s="1"/>
  <c r="P26" i="29" l="1"/>
  <c r="P67" i="29"/>
  <c r="T25" i="29"/>
  <c r="T67" i="29" s="1"/>
  <c r="P34" i="29"/>
  <c r="T34" i="29" s="1"/>
  <c r="T33" i="29"/>
  <c r="T26" i="29" l="1"/>
  <c r="T68" i="29" s="1"/>
  <c r="P27" i="29"/>
  <c r="P68" i="29"/>
  <c r="P28" i="29" l="1"/>
  <c r="P69" i="29"/>
  <c r="T27" i="29"/>
  <c r="T69" i="29" s="1"/>
  <c r="T96" i="29" l="1"/>
  <c r="T92" i="29"/>
  <c r="P70" i="29"/>
  <c r="T28" i="29"/>
  <c r="T70" i="29" s="1"/>
</calcChain>
</file>

<file path=xl/sharedStrings.xml><?xml version="1.0" encoding="utf-8"?>
<sst xmlns="http://schemas.openxmlformats.org/spreadsheetml/2006/main" count="1055" uniqueCount="487">
  <si>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</si>
  <si>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</si>
  <si>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</si>
  <si>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</si>
  <si>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</si>
  <si>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</si>
  <si>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</si>
  <si>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</si>
  <si>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</si>
  <si>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</si>
  <si>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</si>
  <si>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</si>
  <si>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</si>
  <si>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</si>
  <si>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</si>
  <si>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</si>
  <si>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</si>
  <si>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</si>
  <si>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</si>
  <si>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</si>
  <si>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</si>
  <si>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</si>
  <si>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</si>
  <si>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</si>
  <si>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民兵</t>
  </si>
  <si>
    <t>u001</t>
  </si>
  <si>
    <t>hpea</t>
  </si>
  <si>
    <t>甲虫</t>
  </si>
  <si>
    <t>u002</t>
  </si>
  <si>
    <t>ucs1</t>
  </si>
  <si>
    <t>镰刀手</t>
  </si>
  <si>
    <t>u003</t>
  </si>
  <si>
    <t>nsty</t>
  </si>
  <si>
    <t>剪刀手</t>
  </si>
  <si>
    <t>u004</t>
  </si>
  <si>
    <t>ndrl</t>
  </si>
  <si>
    <t>狗头人</t>
  </si>
  <si>
    <t>u005</t>
  </si>
  <si>
    <t>nkob</t>
  </si>
  <si>
    <t>步兵</t>
  </si>
  <si>
    <t>u006</t>
  </si>
  <si>
    <t>hfoo</t>
  </si>
  <si>
    <t>长牙兽</t>
  </si>
  <si>
    <t>u007</t>
  </si>
  <si>
    <t>ogru</t>
  </si>
  <si>
    <t>骷髅战士</t>
  </si>
  <si>
    <t>u008</t>
  </si>
  <si>
    <t>uske</t>
  </si>
  <si>
    <t>巨魔</t>
  </si>
  <si>
    <t>u009</t>
  </si>
  <si>
    <t>ndtr</t>
  </si>
  <si>
    <t>食人鬼战士</t>
  </si>
  <si>
    <t>u010</t>
  </si>
  <si>
    <t>nogr</t>
  </si>
  <si>
    <t>骑士</t>
  </si>
  <si>
    <t>u011</t>
  </si>
  <si>
    <t>hkni</t>
  </si>
  <si>
    <t>牛头人</t>
  </si>
  <si>
    <t>u012</t>
  </si>
  <si>
    <t>otau</t>
  </si>
  <si>
    <t>混沌骑士</t>
  </si>
  <si>
    <t>u013</t>
  </si>
  <si>
    <t>owar</t>
  </si>
  <si>
    <t>屠夫</t>
  </si>
  <si>
    <t>u014</t>
  </si>
  <si>
    <t>uabo</t>
  </si>
  <si>
    <t>德鲁伊</t>
  </si>
  <si>
    <t>u015</t>
  </si>
  <si>
    <t>edcm</t>
  </si>
  <si>
    <t>娜迦暴徒</t>
  </si>
  <si>
    <t>u016</t>
  </si>
  <si>
    <t>nmys</t>
  </si>
  <si>
    <t>龙卵领主</t>
  </si>
  <si>
    <t>u017</t>
  </si>
  <si>
    <t>nbdo</t>
  </si>
  <si>
    <t>潮汐</t>
  </si>
  <si>
    <t>u018</t>
  </si>
  <si>
    <t>nsgb</t>
  </si>
  <si>
    <t>血恶魔</t>
  </si>
  <si>
    <t>u019</t>
  </si>
  <si>
    <t>nfgb</t>
  </si>
  <si>
    <t>火凤凰</t>
  </si>
  <si>
    <t>u020</t>
  </si>
  <si>
    <t>hphx</t>
  </si>
  <si>
    <t>九头怪</t>
  </si>
  <si>
    <t>u021</t>
  </si>
  <si>
    <t>nahy</t>
  </si>
  <si>
    <t>黑龙</t>
  </si>
  <si>
    <t>u022</t>
  </si>
  <si>
    <t>nbwm</t>
  </si>
  <si>
    <t>蜥蜴领主</t>
  </si>
  <si>
    <t>u023</t>
  </si>
  <si>
    <t>nsll</t>
  </si>
  <si>
    <t>地狱火</t>
  </si>
  <si>
    <t>u024</t>
  </si>
  <si>
    <t>ninf</t>
  </si>
  <si>
    <t>末日</t>
  </si>
  <si>
    <t>u025</t>
  </si>
  <si>
    <t>nba2</t>
  </si>
  <si>
    <t>肉山</t>
  </si>
  <si>
    <t>u026</t>
  </si>
  <si>
    <t>nfgl</t>
  </si>
  <si>
    <t>梦魇</t>
  </si>
  <si>
    <t>u027</t>
  </si>
  <si>
    <t>Cenarius Nightmare.mdx</t>
  </si>
  <si>
    <t>戈登的激情</t>
  </si>
  <si>
    <t>u028</t>
  </si>
  <si>
    <t>Lord Shaream.mdx</t>
  </si>
  <si>
    <t>焰皇</t>
  </si>
  <si>
    <t>u029</t>
  </si>
  <si>
    <t>[WotTH] Firelord.MDX</t>
  </si>
  <si>
    <t>毁灭者</t>
  </si>
  <si>
    <t>u030</t>
  </si>
  <si>
    <t>Hero_DoomBringer_N3.mdx</t>
  </si>
  <si>
    <t>伏地魔</t>
  </si>
  <si>
    <t>u031</t>
  </si>
  <si>
    <t>Hero_Venomancer_N1.mdx</t>
  </si>
  <si>
    <t>经验怪</t>
  </si>
  <si>
    <t>u032</t>
  </si>
  <si>
    <t>小金币怪</t>
  </si>
  <si>
    <t>u033</t>
  </si>
  <si>
    <t>Objects\InventoryItems\PotofGold\PotofGold.mdl</t>
  </si>
  <si>
    <t>中金币怪</t>
  </si>
  <si>
    <t>u034</t>
  </si>
  <si>
    <t>大金币怪</t>
  </si>
  <si>
    <t>u035</t>
  </si>
  <si>
    <t>小木头怪</t>
  </si>
  <si>
    <t>u036</t>
  </si>
  <si>
    <t>efon</t>
  </si>
  <si>
    <t>中木头怪</t>
  </si>
  <si>
    <t>u037</t>
  </si>
  <si>
    <t>大木头怪</t>
  </si>
  <si>
    <t>u038</t>
  </si>
  <si>
    <t>超大木头怪</t>
  </si>
  <si>
    <t>u039</t>
  </si>
  <si>
    <t>小火灵</t>
  </si>
  <si>
    <t>u040</t>
  </si>
  <si>
    <t>nvdl</t>
  </si>
  <si>
    <t>中火灵</t>
  </si>
  <si>
    <t>u041</t>
  </si>
  <si>
    <t>大火灵</t>
  </si>
  <si>
    <t>u042</t>
  </si>
  <si>
    <t>武器boss1</t>
  </si>
  <si>
    <t>u043</t>
  </si>
  <si>
    <t>dujiaoshou.mdx</t>
  </si>
  <si>
    <t>防具boss1</t>
  </si>
  <si>
    <t>u044</t>
  </si>
  <si>
    <t>武器boss2</t>
  </si>
  <si>
    <t>u045</t>
  </si>
  <si>
    <t>giantspider.mdx</t>
  </si>
  <si>
    <t>防具boss2</t>
  </si>
  <si>
    <t>u046</t>
  </si>
  <si>
    <t>nmit</t>
  </si>
  <si>
    <t>武器boss3</t>
  </si>
  <si>
    <t>u047</t>
  </si>
  <si>
    <t>防具boss3</t>
  </si>
  <si>
    <t>u048</t>
  </si>
  <si>
    <t>Emoo</t>
  </si>
  <si>
    <t>武器boss4</t>
  </si>
  <si>
    <t>u049</t>
  </si>
  <si>
    <t>ncnk</t>
  </si>
  <si>
    <t>防具boss4</t>
  </si>
  <si>
    <t>u050</t>
  </si>
  <si>
    <t>ancientseaturtlefire_fullanims.mdx</t>
  </si>
  <si>
    <t>武器boss5</t>
  </si>
  <si>
    <t>u051</t>
  </si>
  <si>
    <t>abyssal_outland.mdx</t>
  </si>
  <si>
    <t>防具boss5</t>
  </si>
  <si>
    <t>u052</t>
  </si>
  <si>
    <t>Abyssal_Illidan.mdx</t>
  </si>
  <si>
    <t>武器boss6</t>
  </si>
  <si>
    <t>u053</t>
  </si>
  <si>
    <t>[AHS]ChaosWarlock.mdx</t>
  </si>
  <si>
    <t>防具boss6</t>
  </si>
  <si>
    <t>u054</t>
  </si>
  <si>
    <t>VoidWalker_Outland.mdx</t>
  </si>
  <si>
    <t>武器boss7</t>
  </si>
  <si>
    <t>u055</t>
  </si>
  <si>
    <t>Phoenix2.mdx</t>
  </si>
  <si>
    <t>防具boss7</t>
  </si>
  <si>
    <t>u056</t>
  </si>
  <si>
    <t>BrassInfernal.mdx</t>
  </si>
  <si>
    <t>武器boss8</t>
  </si>
  <si>
    <t>u057</t>
  </si>
  <si>
    <t>wuqiboss8.mdx</t>
  </si>
  <si>
    <t>防具boss8</t>
  </si>
  <si>
    <t>u058</t>
  </si>
  <si>
    <t>fangjuboss8.mdx</t>
  </si>
  <si>
    <t>武器boss9</t>
  </si>
  <si>
    <t>u059</t>
  </si>
  <si>
    <t>%1D%1E%1D%1E%1F.mdx</t>
  </si>
  <si>
    <t>防具boss9</t>
  </si>
  <si>
    <t>u060</t>
  </si>
  <si>
    <t>celsiusattacksspecial2.mdx</t>
  </si>
  <si>
    <t>武器boss10</t>
  </si>
  <si>
    <t>u061</t>
  </si>
  <si>
    <t>%1D%1E%1E%1C%1F%1C.mdx</t>
  </si>
  <si>
    <t>防具boss10</t>
  </si>
  <si>
    <t>u062</t>
  </si>
  <si>
    <t>murozond.mdx</t>
  </si>
  <si>
    <t>虚拟</t>
  </si>
  <si>
    <t>u063</t>
  </si>
  <si>
    <t>u064</t>
  </si>
  <si>
    <t>u065</t>
  </si>
  <si>
    <t>u066</t>
  </si>
  <si>
    <t>u067</t>
  </si>
  <si>
    <t>技能BOSS1</t>
  </si>
  <si>
    <t>u068</t>
  </si>
  <si>
    <t>技能BOSS2</t>
  </si>
  <si>
    <t>u069</t>
  </si>
  <si>
    <t>WarDancer.mdx</t>
  </si>
  <si>
    <t>技能BOSS3</t>
  </si>
  <si>
    <t>u070</t>
  </si>
  <si>
    <t>Grim Reaper.mdx</t>
  </si>
  <si>
    <t>技能BOSS4</t>
  </si>
  <si>
    <t>u071</t>
  </si>
  <si>
    <t>Frost Archon.mdx</t>
  </si>
  <si>
    <t>洗练石boss1</t>
  </si>
  <si>
    <t>u072</t>
  </si>
  <si>
    <t>PoisonElemental.mdx</t>
  </si>
  <si>
    <t>洗练石boss2</t>
  </si>
  <si>
    <t>u073</t>
  </si>
  <si>
    <t>GW-XN.mdx</t>
  </si>
  <si>
    <t>洗练石boss3</t>
  </si>
  <si>
    <t>u074</t>
  </si>
  <si>
    <t>洗练石boss4</t>
  </si>
  <si>
    <t>u075</t>
  </si>
  <si>
    <t>MirrorZI_xukongnuoya.mdx</t>
  </si>
  <si>
    <t>小斗气</t>
  </si>
  <si>
    <t>u076</t>
  </si>
  <si>
    <t>File00001364j.mdx</t>
  </si>
  <si>
    <t>斗者</t>
  </si>
  <si>
    <t>u077</t>
  </si>
  <si>
    <t>%1F%1E%1E%1D%1D%1F.mdx</t>
  </si>
  <si>
    <t>斗师</t>
  </si>
  <si>
    <t>u078</t>
  </si>
  <si>
    <t>%1F%1C%1C%1C%1D%1E.mdx</t>
  </si>
  <si>
    <t>斗灵</t>
  </si>
  <si>
    <t>u079</t>
  </si>
  <si>
    <t>nnwq</t>
  </si>
  <si>
    <t>斗王</t>
  </si>
  <si>
    <t>u080</t>
  </si>
  <si>
    <t>%1E%1E%1F%1E%1E.mdx</t>
  </si>
  <si>
    <t>斗皇</t>
  </si>
  <si>
    <t>u081</t>
  </si>
  <si>
    <t>斗宗</t>
  </si>
  <si>
    <t>u082</t>
  </si>
  <si>
    <t>%1E%1D%1C%1C%1D%1F.mdx</t>
  </si>
  <si>
    <t>斗尊</t>
  </si>
  <si>
    <t>u083</t>
  </si>
  <si>
    <t>%1D%1C%1F%1F%1F%1D.mdx</t>
  </si>
  <si>
    <t>斗圣</t>
  </si>
  <si>
    <t>u084</t>
  </si>
  <si>
    <t>%1D%1D%1F%1C%1F.mdx</t>
  </si>
  <si>
    <t>斗帝</t>
  </si>
  <si>
    <t>u085</t>
  </si>
  <si>
    <t>doudi.mdx</t>
  </si>
  <si>
    <t>星星之火守卫</t>
  </si>
  <si>
    <t>u086</t>
  </si>
  <si>
    <t>nwlt</t>
  </si>
  <si>
    <t>陨落心炎守卫</t>
  </si>
  <si>
    <t>u087</t>
  </si>
  <si>
    <t>npfl</t>
  </si>
  <si>
    <t>三千焱炎火守卫</t>
  </si>
  <si>
    <t>u088</t>
  </si>
  <si>
    <t>nubw</t>
  </si>
  <si>
    <t>虚无吞炎守卫</t>
  </si>
  <si>
    <t>u089</t>
  </si>
  <si>
    <t>星星之火boss</t>
  </si>
  <si>
    <t>u090</t>
  </si>
  <si>
    <t>陨落心炎boss</t>
  </si>
  <si>
    <t>u091</t>
  </si>
  <si>
    <t>三千焱炎火boss</t>
  </si>
  <si>
    <t>u092</t>
  </si>
  <si>
    <t>虚无吞炎boss</t>
  </si>
  <si>
    <t>u093</t>
  </si>
  <si>
    <t>鸡</t>
  </si>
  <si>
    <t>u094</t>
  </si>
  <si>
    <t>phoenix.mdx</t>
  </si>
  <si>
    <t>猴</t>
  </si>
  <si>
    <t>u095</t>
  </si>
  <si>
    <t>qtds.mdx</t>
  </si>
  <si>
    <t>强盗领主</t>
  </si>
  <si>
    <t>u096</t>
  </si>
  <si>
    <t>nbld</t>
  </si>
  <si>
    <t>挑战耐瑟龙</t>
  </si>
  <si>
    <t>u097</t>
  </si>
  <si>
    <t>nnht</t>
  </si>
  <si>
    <t>挑战冰龙</t>
  </si>
  <si>
    <t>u098</t>
  </si>
  <si>
    <t>nadr</t>
  </si>
  <si>
    <t>挑战精灵龙</t>
  </si>
  <si>
    <t>u099</t>
  </si>
  <si>
    <t>efdr</t>
  </si>
  <si>
    <t>挑战奇美拉</t>
  </si>
  <si>
    <t>u100</t>
  </si>
  <si>
    <t>echm</t>
  </si>
  <si>
    <t>挑战Pa</t>
  </si>
  <si>
    <t>u101</t>
  </si>
  <si>
    <t>Fudo.mdx</t>
  </si>
  <si>
    <t>挑战手无寸铁的小龙女</t>
  </si>
  <si>
    <t>u102</t>
  </si>
  <si>
    <t>xiaobailong.mdx</t>
  </si>
  <si>
    <t>挑战关羽</t>
  </si>
  <si>
    <t>u103</t>
  </si>
  <si>
    <t>guanyu.mdx</t>
  </si>
  <si>
    <t>挑战霸王莲龙锤</t>
  </si>
  <si>
    <t>u104</t>
  </si>
  <si>
    <t>wuqi10.mdx</t>
  </si>
  <si>
    <t>挑战梦蝶仙翼</t>
  </si>
  <si>
    <t>u105</t>
  </si>
  <si>
    <t>chibang2.mdx</t>
  </si>
  <si>
    <t>食人魔</t>
  </si>
  <si>
    <t>u106</t>
  </si>
  <si>
    <t>shirenmo.mdx</t>
  </si>
  <si>
    <t>强盗</t>
  </si>
  <si>
    <t>u107</t>
  </si>
  <si>
    <t>nban</t>
  </si>
  <si>
    <t>红发</t>
  </si>
  <si>
    <t>u108</t>
  </si>
  <si>
    <t>黑胡子</t>
  </si>
  <si>
    <t>u109</t>
  </si>
  <si>
    <t>heihuzi.mdx</t>
  </si>
  <si>
    <t>百兽</t>
  </si>
  <si>
    <t>u110</t>
  </si>
  <si>
    <t>白胡子</t>
  </si>
  <si>
    <t>u111</t>
  </si>
  <si>
    <t>HeroTaurenChieftain.mdx</t>
  </si>
  <si>
    <t>斗神</t>
  </si>
  <si>
    <t>u112</t>
  </si>
  <si>
    <t>%1C%1C%1F%1D%1F%1F.mdx</t>
  </si>
  <si>
    <t>挑战魅影</t>
  </si>
  <si>
    <t>u113</t>
  </si>
  <si>
    <t>Hero_Netherdrake_N1.mdx</t>
  </si>
  <si>
    <t>挑战紫霜幽幻龙鹰</t>
  </si>
  <si>
    <t>u114</t>
  </si>
  <si>
    <t>Hero_Phoenix_N1_purple.mdx</t>
  </si>
  <si>
    <r>
      <rPr>
        <sz val="11"/>
        <color theme="1"/>
        <rFont val="宋体"/>
        <family val="3"/>
        <charset val="134"/>
        <scheme val="minor"/>
      </rPr>
      <t>防具boss1</t>
    </r>
    <r>
      <rPr>
        <sz val="11"/>
        <color theme="1"/>
        <rFont val="宋体"/>
        <family val="3"/>
        <charset val="134"/>
        <scheme val="minor"/>
      </rPr>
      <t>1</t>
    </r>
  </si>
  <si>
    <t>u115</t>
  </si>
  <si>
    <t>deathwing_0.mdx</t>
  </si>
  <si>
    <t>武器boss11</t>
  </si>
  <si>
    <t>u116</t>
  </si>
  <si>
    <t>boneguard.mdx</t>
  </si>
  <si>
    <t>奶牛</t>
  </si>
  <si>
    <t>u117</t>
  </si>
  <si>
    <t>wowcow2black.mdx</t>
  </si>
  <si>
    <t>陀舍古帝守卫</t>
  </si>
  <si>
    <t>u118</t>
  </si>
  <si>
    <t>青蛙</t>
  </si>
  <si>
    <t>u119</t>
  </si>
  <si>
    <t>frog2.mdx</t>
  </si>
  <si>
    <t>吞噬极限守卫</t>
  </si>
  <si>
    <t>u120</t>
  </si>
  <si>
    <t>吞噬极限BOSS</t>
  </si>
  <si>
    <t>u121</t>
  </si>
  <si>
    <t>强化极限守卫</t>
  </si>
  <si>
    <t>u122</t>
  </si>
  <si>
    <t>强化极限BOSS</t>
  </si>
  <si>
    <t>u123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</si>
  <si>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</si>
  <si>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</si>
  <si>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</si>
  <si>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</si>
  <si>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</si>
  <si>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</si>
  <si>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</si>
  <si>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</si>
  <si>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</si>
  <si>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</si>
  <si>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</si>
  <si>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</si>
  <si>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</si>
  <si>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</si>
  <si>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</si>
  <si>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</si>
  <si>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</si>
  <si>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</si>
  <si>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</si>
  <si>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</si>
  <si>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</si>
  <si>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</si>
  <si>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</si>
  <si>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</si>
  <si>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</si>
  <si>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</si>
  <si>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</si>
  <si>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</si>
  <si>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</si>
  <si>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</si>
  <si>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</si>
  <si>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</si>
  <si>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</si>
  <si>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</si>
  <si>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</si>
  <si>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</si>
  <si>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</si>
  <si>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</si>
  <si>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</si>
  <si>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</si>
  <si>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</si>
  <si>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</si>
  <si>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</si>
  <si>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</si>
  <si>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</si>
  <si>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</si>
  <si>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</si>
  <si>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</si>
  <si>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</si>
  <si>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</si>
  <si>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</si>
  <si>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</si>
  <si>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</si>
  <si>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</si>
  <si>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</si>
  <si>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火种</t>
  </si>
  <si>
    <t>经验</t>
  </si>
  <si>
    <t>物品掉落率</t>
  </si>
  <si>
    <t>大类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</si>
  <si>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</si>
  <si>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</si>
  <si>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</si>
  <si>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</si>
  <si>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</si>
  <si>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</si>
  <si>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</si>
  <si>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</si>
  <si>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</si>
  <si>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</si>
  <si>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</si>
  <si>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</si>
  <si>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</si>
  <si>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</si>
  <si>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</si>
  <si>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</si>
  <si>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</si>
  <si>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</si>
  <si>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</si>
  <si>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</si>
  <si>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会心几率</t>
  </si>
  <si>
    <t>会心伤害</t>
  </si>
  <si>
    <t>小怪</t>
  </si>
  <si>
    <t>boss</t>
  </si>
  <si>
    <t>模拟死亡</t>
  </si>
  <si>
    <t>暴击极限守卫</t>
    <phoneticPr fontId="16" type="noConversion"/>
  </si>
  <si>
    <t>暴击极限BOSS</t>
    <phoneticPr fontId="16" type="noConversion"/>
  </si>
  <si>
    <t>免伤几率极限守卫</t>
    <phoneticPr fontId="16" type="noConversion"/>
  </si>
  <si>
    <t>免伤几率极限BOSS</t>
    <phoneticPr fontId="16" type="noConversion"/>
  </si>
  <si>
    <t>u124</t>
  </si>
  <si>
    <t>u125</t>
  </si>
  <si>
    <t>u126</t>
  </si>
  <si>
    <t>u127</t>
  </si>
  <si>
    <t>技暴极限守卫</t>
    <phoneticPr fontId="16" type="noConversion"/>
  </si>
  <si>
    <t>技暴极限BOSS</t>
    <phoneticPr fontId="16" type="noConversion"/>
  </si>
  <si>
    <t>闪避极限守卫</t>
    <phoneticPr fontId="16" type="noConversion"/>
  </si>
  <si>
    <t>闪避极限BOSS</t>
    <phoneticPr fontId="16" type="noConversion"/>
  </si>
  <si>
    <t>u128</t>
  </si>
  <si>
    <t>u129</t>
  </si>
  <si>
    <t>u130</t>
  </si>
  <si>
    <t>u131</t>
  </si>
  <si>
    <t>u132</t>
  </si>
  <si>
    <t>ushd</t>
    <phoneticPr fontId="16" type="noConversion"/>
  </si>
  <si>
    <t>灵魂</t>
  </si>
  <si>
    <t>灵魂</t>
    <phoneticPr fontId="16" type="noConversion"/>
  </si>
  <si>
    <t>会心极限守卫</t>
    <phoneticPr fontId="16" type="noConversion"/>
  </si>
  <si>
    <t>会心极限BOSS</t>
    <phoneticPr fontId="16" type="noConversion"/>
  </si>
  <si>
    <t>免伤极限守卫</t>
    <phoneticPr fontId="16" type="noConversion"/>
  </si>
  <si>
    <t>免伤极限BOSS</t>
    <phoneticPr fontId="16" type="noConversion"/>
  </si>
  <si>
    <t>u133</t>
  </si>
  <si>
    <t>u134</t>
  </si>
  <si>
    <t>u135</t>
  </si>
  <si>
    <t>u136</t>
  </si>
  <si>
    <t>SpiderBlack.mdx</t>
    <phoneticPr fontId="16" type="noConversion"/>
  </si>
  <si>
    <t>[AHS]Mr.War3_zzbossG.mdx</t>
    <phoneticPr fontId="16" type="noConversion"/>
  </si>
  <si>
    <t>demon.mdx</t>
    <phoneticPr fontId="16" type="noConversion"/>
  </si>
  <si>
    <t>技能BOSS1</t>
    <phoneticPr fontId="16" type="noConversion"/>
  </si>
  <si>
    <t>longma.mdx</t>
    <phoneticPr fontId="16" type="noConversion"/>
  </si>
  <si>
    <t>星星之火boss</t>
    <phoneticPr fontId="16" type="noConversion"/>
  </si>
  <si>
    <t>鸟</t>
    <phoneticPr fontId="16" type="noConversion"/>
  </si>
  <si>
    <t>u137</t>
  </si>
  <si>
    <t>echm</t>
    <phoneticPr fontId="16" type="noConversion"/>
  </si>
  <si>
    <t>now2</t>
  </si>
  <si>
    <t>超级大菠萝</t>
    <phoneticPr fontId="16" type="noConversion"/>
  </si>
  <si>
    <t>u138</t>
  </si>
  <si>
    <t>DiabloModel.mdx</t>
    <phoneticPr fontId="16" type="noConversion"/>
  </si>
  <si>
    <t>creep</t>
    <phoneticPr fontId="16" type="noConversion"/>
  </si>
  <si>
    <t>刷怪信息(区域,怪名*1,重生时间,面向,出生时间,玩家id)</t>
    <phoneticPr fontId="16" type="noConversion"/>
  </si>
  <si>
    <t>暴击伤害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</si>
</sst>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_ "/>
    <numFmt numFmtId="177" formatCode="0_);[Red]\(0\)"/>
    <numFmt numFmtId="178" formatCode="0_ "/>
    <numFmt numFmtId="179" formatCode="0.00_ "/>
  </numFmts>
  <fonts count="21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NumberFormat="1" applyFont="1" applyFill="1" applyBorder="1" applyAlignment="1" applyProtection="1">
      <alignment vertical="center"/>
    </xf>
    <xf numFmtId="0" fontId="17" fillId="0" borderId="0" xfId="0" applyFont="1" applyAlignment="1">
      <alignment horizontal="left" vertical="center"/>
    </xf>
    <xf numFmtId="0" fontId="20" fillId="0" borderId="0" xfId="0" applyFont="1"/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41"/>
  <sheetViews>
    <sheetView workbookViewId="0">
      <pane xSplit="1" ySplit="3" topLeftCell="B4" activePane="bottomRight" state="frozen"/>
      <selection pane="topRight"/>
      <selection pane="bottomLeft"/>
      <selection pane="bottomRight" activeCell="G145" sqref="G145"/>
    </sheetView>
  </sheetViews>
  <sheetFormatPr defaultColWidth="9" defaultRowHeight="13.5" x14ac:dyDescent="0.15"/>
  <cols>
    <col min="1" max="1" width="23.375" style="40" customWidth="1"/>
    <col min="2" max="2" width="9" style="40"/>
    <col min="3" max="3" width="8.25" style="40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41" t="s">
        <v>0</v>
      </c>
      <c r="C1" s="41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40" t="s">
        <v>1</v>
      </c>
      <c r="B2" s="37" t="s">
        <v>2</v>
      </c>
      <c r="C2" s="37" t="s">
        <v>3</v>
      </c>
      <c r="D2" s="50" t="s">
        <v>4</v>
      </c>
      <c r="E2" t="s">
        <v>5</v>
      </c>
      <c r="F2" s="8" t="s">
        <v>6</v>
      </c>
      <c r="G2" s="5" t="s">
        <v>7</v>
      </c>
      <c r="H2" s="5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37" t="s">
        <v>13</v>
      </c>
      <c r="C3" s="37" t="s">
        <v>14</v>
      </c>
      <c r="D3" s="2" t="s">
        <v>15</v>
      </c>
      <c r="E3" s="8" t="s">
        <v>16</v>
      </c>
      <c r="F3" s="8" t="s">
        <v>17</v>
      </c>
      <c r="G3" s="8" t="s">
        <v>18</v>
      </c>
      <c r="H3" s="8" t="s">
        <v>19</v>
      </c>
      <c r="I3" s="8" t="s">
        <v>20</v>
      </c>
      <c r="J3" s="8" t="s">
        <v>21</v>
      </c>
      <c r="K3" s="8" t="s">
        <v>22</v>
      </c>
      <c r="L3" s="8" t="s">
        <v>23</v>
      </c>
    </row>
    <row r="4" spans="1:12" ht="15" x14ac:dyDescent="0.15">
      <c r="A4" s="12" t="s">
        <v>24</v>
      </c>
      <c r="B4" s="13" t="s">
        <v>25</v>
      </c>
      <c r="C4" s="42" t="s">
        <v>26</v>
      </c>
      <c r="D4" s="8"/>
      <c r="E4" s="8"/>
      <c r="F4" s="8"/>
      <c r="G4" s="8">
        <v>1</v>
      </c>
      <c r="H4" s="8"/>
      <c r="I4" s="8">
        <v>10</v>
      </c>
      <c r="J4" s="8"/>
      <c r="K4" s="8"/>
      <c r="L4" s="8"/>
    </row>
    <row r="5" spans="1:12" ht="15" x14ac:dyDescent="0.15">
      <c r="A5" s="12" t="s">
        <v>27</v>
      </c>
      <c r="B5" s="13" t="s">
        <v>28</v>
      </c>
      <c r="C5" s="42" t="s">
        <v>29</v>
      </c>
      <c r="D5" s="8"/>
      <c r="F5" s="2"/>
      <c r="G5" s="8">
        <v>1</v>
      </c>
      <c r="I5" s="8">
        <v>10</v>
      </c>
    </row>
    <row r="6" spans="1:12" ht="15" x14ac:dyDescent="0.15">
      <c r="A6" s="12" t="s">
        <v>30</v>
      </c>
      <c r="B6" s="13" t="s">
        <v>31</v>
      </c>
      <c r="C6" s="42" t="s">
        <v>32</v>
      </c>
      <c r="D6" s="8"/>
      <c r="F6" s="2"/>
      <c r="G6" s="8">
        <v>1</v>
      </c>
      <c r="I6" s="8">
        <v>10</v>
      </c>
    </row>
    <row r="7" spans="1:12" ht="15" x14ac:dyDescent="0.15">
      <c r="A7" s="12" t="s">
        <v>33</v>
      </c>
      <c r="B7" s="13" t="s">
        <v>34</v>
      </c>
      <c r="C7" s="42" t="s">
        <v>35</v>
      </c>
      <c r="D7" s="8"/>
      <c r="F7" s="2"/>
      <c r="G7" s="8">
        <v>1</v>
      </c>
      <c r="I7" s="8">
        <v>10</v>
      </c>
    </row>
    <row r="8" spans="1:12" ht="15" x14ac:dyDescent="0.15">
      <c r="A8" s="12" t="s">
        <v>36</v>
      </c>
      <c r="B8" s="13" t="s">
        <v>37</v>
      </c>
      <c r="C8" s="42" t="s">
        <v>38</v>
      </c>
      <c r="D8" s="8"/>
      <c r="F8" s="2"/>
      <c r="G8" s="8">
        <v>1</v>
      </c>
      <c r="I8" s="8">
        <v>10</v>
      </c>
    </row>
    <row r="9" spans="1:12" ht="15" x14ac:dyDescent="0.15">
      <c r="A9" s="12" t="s">
        <v>39</v>
      </c>
      <c r="B9" s="13" t="s">
        <v>40</v>
      </c>
      <c r="C9" s="42" t="s">
        <v>41</v>
      </c>
      <c r="D9" s="8"/>
      <c r="F9" s="2"/>
      <c r="G9" s="8">
        <v>1.2</v>
      </c>
      <c r="I9" s="8">
        <v>10</v>
      </c>
    </row>
    <row r="10" spans="1:12" ht="15" x14ac:dyDescent="0.15">
      <c r="A10" s="12" t="s">
        <v>42</v>
      </c>
      <c r="B10" s="13" t="s">
        <v>43</v>
      </c>
      <c r="C10" s="42" t="s">
        <v>44</v>
      </c>
      <c r="D10" s="8"/>
      <c r="F10" s="2"/>
      <c r="G10" s="8">
        <v>1.2</v>
      </c>
      <c r="I10" s="8">
        <v>10</v>
      </c>
    </row>
    <row r="11" spans="1:12" ht="15" x14ac:dyDescent="0.15">
      <c r="A11" s="12" t="s">
        <v>45</v>
      </c>
      <c r="B11" s="13" t="s">
        <v>46</v>
      </c>
      <c r="C11" s="42" t="s">
        <v>47</v>
      </c>
      <c r="D11" s="8"/>
      <c r="F11" s="2"/>
      <c r="G11" s="8">
        <v>1.2</v>
      </c>
      <c r="I11" s="8">
        <v>10</v>
      </c>
    </row>
    <row r="12" spans="1:12" ht="15" x14ac:dyDescent="0.15">
      <c r="A12" s="12" t="s">
        <v>48</v>
      </c>
      <c r="B12" s="13" t="s">
        <v>49</v>
      </c>
      <c r="C12" s="42" t="s">
        <v>50</v>
      </c>
      <c r="D12" s="8"/>
      <c r="F12" s="2"/>
      <c r="G12" s="8">
        <v>1.2</v>
      </c>
      <c r="I12" s="8">
        <v>10</v>
      </c>
    </row>
    <row r="13" spans="1:12" ht="15" x14ac:dyDescent="0.15">
      <c r="A13" s="12" t="s">
        <v>51</v>
      </c>
      <c r="B13" s="13" t="s">
        <v>52</v>
      </c>
      <c r="C13" s="42" t="s">
        <v>53</v>
      </c>
      <c r="D13" s="8"/>
      <c r="F13" s="2"/>
      <c r="G13" s="8">
        <v>1.2</v>
      </c>
      <c r="I13" s="8">
        <v>10</v>
      </c>
    </row>
    <row r="14" spans="1:12" ht="15" x14ac:dyDescent="0.15">
      <c r="A14" s="12" t="s">
        <v>54</v>
      </c>
      <c r="B14" s="13" t="s">
        <v>55</v>
      </c>
      <c r="C14" s="42" t="s">
        <v>56</v>
      </c>
      <c r="D14" s="8"/>
      <c r="F14" s="2"/>
      <c r="G14" s="8">
        <v>1.2</v>
      </c>
      <c r="I14" s="8">
        <v>10</v>
      </c>
    </row>
    <row r="15" spans="1:12" ht="15" x14ac:dyDescent="0.15">
      <c r="A15" s="12" t="s">
        <v>57</v>
      </c>
      <c r="B15" s="13" t="s">
        <v>58</v>
      </c>
      <c r="C15" s="42" t="s">
        <v>59</v>
      </c>
      <c r="D15" s="8"/>
      <c r="F15" s="2"/>
      <c r="G15" s="8">
        <v>1</v>
      </c>
      <c r="I15" s="8">
        <v>10</v>
      </c>
    </row>
    <row r="16" spans="1:12" ht="15" x14ac:dyDescent="0.15">
      <c r="A16" s="12" t="s">
        <v>60</v>
      </c>
      <c r="B16" s="13" t="s">
        <v>61</v>
      </c>
      <c r="C16" s="42" t="s">
        <v>62</v>
      </c>
      <c r="D16" s="8"/>
      <c r="F16" s="2"/>
      <c r="G16" s="8">
        <v>1</v>
      </c>
      <c r="I16" s="8">
        <v>10</v>
      </c>
    </row>
    <row r="17" spans="1:9" ht="15" x14ac:dyDescent="0.15">
      <c r="A17" s="12" t="s">
        <v>63</v>
      </c>
      <c r="B17" s="13" t="s">
        <v>64</v>
      </c>
      <c r="C17" s="42" t="s">
        <v>65</v>
      </c>
      <c r="D17" s="8"/>
      <c r="F17" s="2"/>
      <c r="G17" s="8">
        <v>1</v>
      </c>
      <c r="I17" s="8">
        <v>10</v>
      </c>
    </row>
    <row r="18" spans="1:9" ht="15" x14ac:dyDescent="0.15">
      <c r="A18" s="12" t="s">
        <v>66</v>
      </c>
      <c r="B18" s="13" t="s">
        <v>67</v>
      </c>
      <c r="C18" s="42" t="s">
        <v>68</v>
      </c>
      <c r="D18" s="8"/>
      <c r="F18" s="2"/>
      <c r="G18" s="8">
        <v>1</v>
      </c>
      <c r="I18" s="8">
        <v>10</v>
      </c>
    </row>
    <row r="19" spans="1:9" ht="15" x14ac:dyDescent="0.15">
      <c r="A19" s="12" t="s">
        <v>69</v>
      </c>
      <c r="B19" s="13" t="s">
        <v>70</v>
      </c>
      <c r="C19" s="42" t="s">
        <v>71</v>
      </c>
      <c r="D19" s="8"/>
      <c r="F19" s="2"/>
      <c r="G19" s="8">
        <v>1</v>
      </c>
      <c r="I19" s="8">
        <v>10</v>
      </c>
    </row>
    <row r="20" spans="1:9" ht="15" x14ac:dyDescent="0.15">
      <c r="A20" s="12" t="s">
        <v>72</v>
      </c>
      <c r="B20" s="13" t="s">
        <v>73</v>
      </c>
      <c r="C20" s="42" t="s">
        <v>74</v>
      </c>
      <c r="D20" s="8"/>
      <c r="F20" s="2"/>
      <c r="G20" s="8">
        <v>0.8</v>
      </c>
      <c r="I20" s="8">
        <v>10</v>
      </c>
    </row>
    <row r="21" spans="1:9" ht="15" x14ac:dyDescent="0.15">
      <c r="A21" s="12" t="s">
        <v>75</v>
      </c>
      <c r="B21" s="13" t="s">
        <v>76</v>
      </c>
      <c r="C21" s="42" t="s">
        <v>77</v>
      </c>
      <c r="D21" s="8"/>
      <c r="F21" s="2"/>
      <c r="G21" s="8">
        <v>0.7</v>
      </c>
      <c r="I21" s="8">
        <v>10</v>
      </c>
    </row>
    <row r="22" spans="1:9" ht="15" x14ac:dyDescent="0.15">
      <c r="A22" s="15" t="s">
        <v>78</v>
      </c>
      <c r="B22" s="13" t="s">
        <v>79</v>
      </c>
      <c r="C22" s="43" t="s">
        <v>80</v>
      </c>
      <c r="D22" s="44"/>
      <c r="F22" s="2"/>
      <c r="G22" s="44">
        <v>0.8</v>
      </c>
      <c r="I22" s="8">
        <v>10</v>
      </c>
    </row>
    <row r="23" spans="1:9" ht="15" x14ac:dyDescent="0.15">
      <c r="A23" s="15" t="s">
        <v>81</v>
      </c>
      <c r="B23" s="13" t="s">
        <v>82</v>
      </c>
      <c r="C23" s="43" t="s">
        <v>83</v>
      </c>
      <c r="D23" s="44"/>
      <c r="F23" s="2"/>
      <c r="G23" s="44">
        <v>1</v>
      </c>
      <c r="I23" s="8">
        <v>10</v>
      </c>
    </row>
    <row r="24" spans="1:9" ht="15" x14ac:dyDescent="0.15">
      <c r="A24" s="12" t="s">
        <v>84</v>
      </c>
      <c r="B24" s="13" t="s">
        <v>85</v>
      </c>
      <c r="C24" s="42" t="s">
        <v>86</v>
      </c>
      <c r="D24" s="8"/>
      <c r="F24" s="2"/>
      <c r="G24" s="8">
        <v>0.5</v>
      </c>
      <c r="I24" s="8">
        <v>10</v>
      </c>
    </row>
    <row r="25" spans="1:9" ht="15" x14ac:dyDescent="0.15">
      <c r="A25" s="12" t="s">
        <v>87</v>
      </c>
      <c r="B25" s="13" t="s">
        <v>88</v>
      </c>
      <c r="C25" s="42" t="s">
        <v>89</v>
      </c>
      <c r="D25" s="8"/>
      <c r="F25" s="2"/>
      <c r="G25" s="8">
        <v>0.8</v>
      </c>
      <c r="I25" s="8">
        <v>10</v>
      </c>
    </row>
    <row r="26" spans="1:9" ht="15" x14ac:dyDescent="0.15">
      <c r="A26" s="12" t="s">
        <v>90</v>
      </c>
      <c r="B26" s="13" t="s">
        <v>91</v>
      </c>
      <c r="C26" s="42" t="s">
        <v>92</v>
      </c>
      <c r="D26" s="8"/>
      <c r="F26" s="2"/>
      <c r="G26" s="8">
        <v>0.7</v>
      </c>
      <c r="I26" s="8">
        <v>10</v>
      </c>
    </row>
    <row r="27" spans="1:9" ht="15" x14ac:dyDescent="0.15">
      <c r="A27" s="12" t="s">
        <v>93</v>
      </c>
      <c r="B27" s="13" t="s">
        <v>94</v>
      </c>
      <c r="C27" s="42" t="s">
        <v>95</v>
      </c>
      <c r="D27" s="8"/>
      <c r="F27" s="2"/>
      <c r="G27" s="8">
        <v>0.8</v>
      </c>
      <c r="I27" s="8">
        <v>10</v>
      </c>
    </row>
    <row r="28" spans="1:9" ht="15" x14ac:dyDescent="0.15">
      <c r="A28" s="12" t="s">
        <v>96</v>
      </c>
      <c r="B28" s="13" t="s">
        <v>97</v>
      </c>
      <c r="C28" s="42" t="s">
        <v>98</v>
      </c>
      <c r="D28" s="8"/>
      <c r="F28" s="2"/>
      <c r="G28" s="8">
        <v>0.8</v>
      </c>
      <c r="I28" s="8">
        <v>10</v>
      </c>
    </row>
    <row r="29" spans="1:9" ht="15" x14ac:dyDescent="0.15">
      <c r="A29" s="12" t="s">
        <v>99</v>
      </c>
      <c r="B29" s="13" t="s">
        <v>100</v>
      </c>
      <c r="C29" s="12" t="s">
        <v>101</v>
      </c>
      <c r="D29" s="5"/>
      <c r="F29" s="2"/>
      <c r="G29" s="5">
        <v>1.5</v>
      </c>
      <c r="I29" s="5">
        <v>60</v>
      </c>
    </row>
    <row r="30" spans="1:9" ht="15" x14ac:dyDescent="0.15">
      <c r="A30" s="12" t="s">
        <v>102</v>
      </c>
      <c r="B30" s="13" t="s">
        <v>103</v>
      </c>
      <c r="C30" s="42" t="s">
        <v>41</v>
      </c>
      <c r="D30" s="45" t="s">
        <v>104</v>
      </c>
      <c r="F30" s="2"/>
      <c r="G30" s="45">
        <v>2.2000000000000002</v>
      </c>
      <c r="I30" s="5">
        <v>60</v>
      </c>
    </row>
    <row r="31" spans="1:9" ht="15" x14ac:dyDescent="0.15">
      <c r="A31" s="12" t="s">
        <v>105</v>
      </c>
      <c r="B31" s="13" t="s">
        <v>106</v>
      </c>
      <c r="C31" s="42" t="s">
        <v>41</v>
      </c>
      <c r="D31" s="5" t="s">
        <v>107</v>
      </c>
      <c r="F31" s="2"/>
      <c r="G31" s="45">
        <v>2.2000000000000002</v>
      </c>
      <c r="I31" s="5">
        <v>60</v>
      </c>
    </row>
    <row r="32" spans="1:9" ht="15" x14ac:dyDescent="0.15">
      <c r="A32" s="16" t="s">
        <v>108</v>
      </c>
      <c r="B32" s="13" t="s">
        <v>109</v>
      </c>
      <c r="C32" s="42" t="s">
        <v>41</v>
      </c>
      <c r="D32" s="45" t="s">
        <v>110</v>
      </c>
      <c r="F32" s="2"/>
      <c r="G32" s="45">
        <v>4.8</v>
      </c>
      <c r="I32" s="5">
        <v>60</v>
      </c>
    </row>
    <row r="33" spans="1:9" ht="15" x14ac:dyDescent="0.15">
      <c r="A33" s="16" t="s">
        <v>111</v>
      </c>
      <c r="B33" s="13" t="s">
        <v>112</v>
      </c>
      <c r="C33" s="42" t="s">
        <v>41</v>
      </c>
      <c r="D33" s="5" t="s">
        <v>113</v>
      </c>
      <c r="F33" s="2"/>
      <c r="G33" s="5">
        <v>2</v>
      </c>
      <c r="I33" s="5">
        <v>60</v>
      </c>
    </row>
    <row r="34" spans="1:9" ht="15" x14ac:dyDescent="0.15">
      <c r="A34" s="12" t="s">
        <v>114</v>
      </c>
      <c r="B34" s="13" t="s">
        <v>115</v>
      </c>
      <c r="C34" s="12" t="s">
        <v>41</v>
      </c>
      <c r="D34" s="5" t="s">
        <v>116</v>
      </c>
      <c r="F34" s="2"/>
      <c r="G34" s="5">
        <v>1.5</v>
      </c>
      <c r="I34" s="5">
        <v>60</v>
      </c>
    </row>
    <row r="35" spans="1:9" ht="15" x14ac:dyDescent="0.15">
      <c r="A35" s="12" t="s">
        <v>117</v>
      </c>
      <c r="B35" s="13" t="s">
        <v>118</v>
      </c>
      <c r="C35" s="12" t="s">
        <v>41</v>
      </c>
      <c r="D35" s="5"/>
      <c r="F35" s="2"/>
      <c r="G35" s="5">
        <v>0.8</v>
      </c>
      <c r="I35" s="8">
        <v>10</v>
      </c>
    </row>
    <row r="36" spans="1:9" ht="15" x14ac:dyDescent="0.15">
      <c r="A36" s="12" t="s">
        <v>119</v>
      </c>
      <c r="B36" s="13" t="s">
        <v>120</v>
      </c>
      <c r="C36" s="12" t="s">
        <v>41</v>
      </c>
      <c r="D36" s="5" t="s">
        <v>121</v>
      </c>
      <c r="F36" s="2"/>
      <c r="G36" s="5">
        <v>0.7</v>
      </c>
      <c r="I36" s="8">
        <v>10</v>
      </c>
    </row>
    <row r="37" spans="1:9" ht="15" x14ac:dyDescent="0.15">
      <c r="A37" s="12" t="s">
        <v>122</v>
      </c>
      <c r="B37" s="13" t="s">
        <v>123</v>
      </c>
      <c r="C37" s="12" t="s">
        <v>41</v>
      </c>
      <c r="D37" s="5" t="s">
        <v>121</v>
      </c>
      <c r="F37" s="2"/>
      <c r="G37" s="5">
        <v>0.8</v>
      </c>
      <c r="I37" s="8">
        <v>10</v>
      </c>
    </row>
    <row r="38" spans="1:9" ht="15" x14ac:dyDescent="0.15">
      <c r="A38" s="12" t="s">
        <v>124</v>
      </c>
      <c r="B38" s="13" t="s">
        <v>125</v>
      </c>
      <c r="C38" s="12" t="s">
        <v>41</v>
      </c>
      <c r="D38" s="5" t="s">
        <v>121</v>
      </c>
      <c r="F38" s="2"/>
      <c r="G38" s="5">
        <v>1</v>
      </c>
      <c r="I38" s="8">
        <v>10</v>
      </c>
    </row>
    <row r="39" spans="1:9" ht="15" x14ac:dyDescent="0.15">
      <c r="A39" s="12" t="s">
        <v>126</v>
      </c>
      <c r="B39" s="13" t="s">
        <v>127</v>
      </c>
      <c r="C39" s="12" t="s">
        <v>128</v>
      </c>
      <c r="D39" s="5"/>
      <c r="F39" s="2"/>
      <c r="G39" s="5">
        <v>0.7</v>
      </c>
      <c r="I39" s="8">
        <v>10</v>
      </c>
    </row>
    <row r="40" spans="1:9" ht="15" x14ac:dyDescent="0.15">
      <c r="A40" s="12" t="s">
        <v>129</v>
      </c>
      <c r="B40" s="13" t="s">
        <v>130</v>
      </c>
      <c r="C40" s="12" t="s">
        <v>128</v>
      </c>
      <c r="D40" s="5"/>
      <c r="F40" s="2"/>
      <c r="G40" s="5">
        <v>0.8</v>
      </c>
      <c r="I40" s="8">
        <v>10</v>
      </c>
    </row>
    <row r="41" spans="1:9" ht="15" x14ac:dyDescent="0.15">
      <c r="A41" s="12" t="s">
        <v>131</v>
      </c>
      <c r="B41" s="13" t="s">
        <v>132</v>
      </c>
      <c r="C41" s="12" t="s">
        <v>128</v>
      </c>
      <c r="D41" s="5"/>
      <c r="F41" s="2"/>
      <c r="G41" s="5">
        <v>0.85</v>
      </c>
      <c r="I41" s="8">
        <v>10</v>
      </c>
    </row>
    <row r="42" spans="1:9" ht="15" x14ac:dyDescent="0.15">
      <c r="A42" s="12" t="s">
        <v>133</v>
      </c>
      <c r="B42" s="13" t="s">
        <v>134</v>
      </c>
      <c r="C42" s="12" t="s">
        <v>128</v>
      </c>
      <c r="D42" s="5"/>
      <c r="F42" s="2"/>
      <c r="G42" s="5">
        <v>0.9</v>
      </c>
      <c r="I42" s="8">
        <v>10</v>
      </c>
    </row>
    <row r="43" spans="1:9" ht="15" x14ac:dyDescent="0.15">
      <c r="A43" s="12" t="s">
        <v>135</v>
      </c>
      <c r="B43" s="13" t="s">
        <v>136</v>
      </c>
      <c r="C43" s="12" t="s">
        <v>137</v>
      </c>
      <c r="D43" s="5"/>
      <c r="F43" s="2"/>
      <c r="G43" s="5">
        <v>0.7</v>
      </c>
      <c r="I43" s="8">
        <v>10</v>
      </c>
    </row>
    <row r="44" spans="1:9" ht="15" x14ac:dyDescent="0.15">
      <c r="A44" s="12" t="s">
        <v>138</v>
      </c>
      <c r="B44" s="13" t="s">
        <v>139</v>
      </c>
      <c r="C44" s="12" t="s">
        <v>137</v>
      </c>
      <c r="D44" s="5"/>
      <c r="F44" s="2"/>
      <c r="G44" s="5">
        <v>0.8</v>
      </c>
      <c r="I44" s="8">
        <v>10</v>
      </c>
    </row>
    <row r="45" spans="1:9" ht="15" x14ac:dyDescent="0.15">
      <c r="A45" s="12" t="s">
        <v>140</v>
      </c>
      <c r="B45" s="13" t="s">
        <v>141</v>
      </c>
      <c r="C45" s="12" t="s">
        <v>137</v>
      </c>
      <c r="D45" s="46"/>
      <c r="F45" s="2"/>
      <c r="G45" s="5">
        <v>0.85</v>
      </c>
      <c r="I45" s="8">
        <v>10</v>
      </c>
    </row>
    <row r="46" spans="1:9" ht="15" x14ac:dyDescent="0.15">
      <c r="A46" s="12" t="s">
        <v>142</v>
      </c>
      <c r="B46" s="13" t="s">
        <v>143</v>
      </c>
      <c r="C46" s="12" t="s">
        <v>41</v>
      </c>
      <c r="D46" s="5" t="s">
        <v>144</v>
      </c>
      <c r="F46" s="2"/>
      <c r="G46" s="5">
        <v>1.5</v>
      </c>
      <c r="I46" s="5">
        <v>60</v>
      </c>
    </row>
    <row r="47" spans="1:9" ht="15" x14ac:dyDescent="0.15">
      <c r="A47" s="12" t="s">
        <v>145</v>
      </c>
      <c r="B47" s="13" t="s">
        <v>146</v>
      </c>
      <c r="C47" s="12" t="s">
        <v>41</v>
      </c>
      <c r="D47" s="55" t="s">
        <v>472</v>
      </c>
      <c r="F47" s="2"/>
      <c r="G47" s="5">
        <v>2</v>
      </c>
      <c r="I47" s="5">
        <v>60</v>
      </c>
    </row>
    <row r="48" spans="1:9" ht="15" x14ac:dyDescent="0.15">
      <c r="A48" s="12" t="s">
        <v>147</v>
      </c>
      <c r="B48" s="13" t="s">
        <v>148</v>
      </c>
      <c r="C48" s="12" t="s">
        <v>41</v>
      </c>
      <c r="D48" s="5" t="s">
        <v>149</v>
      </c>
      <c r="F48" s="2"/>
      <c r="G48" s="5">
        <v>0.6</v>
      </c>
      <c r="I48" s="5">
        <v>60</v>
      </c>
    </row>
    <row r="49" spans="1:9" ht="15" x14ac:dyDescent="0.15">
      <c r="A49" s="12" t="s">
        <v>150</v>
      </c>
      <c r="B49" s="13" t="s">
        <v>151</v>
      </c>
      <c r="C49" s="12" t="s">
        <v>152</v>
      </c>
      <c r="D49" s="5"/>
      <c r="F49" s="2"/>
      <c r="G49" s="5">
        <v>1</v>
      </c>
      <c r="I49" s="5">
        <v>60</v>
      </c>
    </row>
    <row r="50" spans="1:9" ht="15" x14ac:dyDescent="0.15">
      <c r="A50" s="12" t="s">
        <v>153</v>
      </c>
      <c r="B50" s="13" t="s">
        <v>154</v>
      </c>
      <c r="C50" s="12" t="s">
        <v>41</v>
      </c>
      <c r="D50" s="55" t="s">
        <v>471</v>
      </c>
      <c r="F50" s="2"/>
      <c r="G50" s="5">
        <v>2.5</v>
      </c>
      <c r="I50" s="5">
        <v>60</v>
      </c>
    </row>
    <row r="51" spans="1:9" ht="15" x14ac:dyDescent="0.15">
      <c r="A51" s="12" t="s">
        <v>155</v>
      </c>
      <c r="B51" s="13" t="s">
        <v>156</v>
      </c>
      <c r="C51" s="12" t="s">
        <v>157</v>
      </c>
      <c r="D51" s="12"/>
      <c r="F51" s="2"/>
      <c r="G51" s="5">
        <v>1.5</v>
      </c>
      <c r="I51" s="5">
        <v>60</v>
      </c>
    </row>
    <row r="52" spans="1:9" ht="15" x14ac:dyDescent="0.15">
      <c r="A52" s="12" t="s">
        <v>158</v>
      </c>
      <c r="B52" s="13" t="s">
        <v>159</v>
      </c>
      <c r="C52" s="12" t="s">
        <v>160</v>
      </c>
      <c r="D52" s="5"/>
      <c r="F52" s="2"/>
      <c r="G52" s="5">
        <v>2</v>
      </c>
      <c r="I52" s="5">
        <v>60</v>
      </c>
    </row>
    <row r="53" spans="1:9" ht="15" x14ac:dyDescent="0.15">
      <c r="A53" s="12" t="s">
        <v>161</v>
      </c>
      <c r="B53" s="13" t="s">
        <v>162</v>
      </c>
      <c r="C53" s="12" t="s">
        <v>41</v>
      </c>
      <c r="D53" s="5" t="s">
        <v>163</v>
      </c>
      <c r="F53" s="2"/>
      <c r="G53" s="5">
        <v>1.8</v>
      </c>
      <c r="I53" s="5">
        <v>60</v>
      </c>
    </row>
    <row r="54" spans="1:9" ht="15" x14ac:dyDescent="0.15">
      <c r="A54" s="12" t="s">
        <v>164</v>
      </c>
      <c r="B54" s="13" t="s">
        <v>165</v>
      </c>
      <c r="C54" s="12" t="s">
        <v>41</v>
      </c>
      <c r="D54" s="5" t="s">
        <v>166</v>
      </c>
      <c r="F54" s="2"/>
      <c r="G54" s="5">
        <v>1.4</v>
      </c>
      <c r="I54" s="5">
        <v>60</v>
      </c>
    </row>
    <row r="55" spans="1:9" ht="15" x14ac:dyDescent="0.15">
      <c r="A55" s="12" t="s">
        <v>167</v>
      </c>
      <c r="B55" s="13" t="s">
        <v>168</v>
      </c>
      <c r="C55" s="12" t="s">
        <v>41</v>
      </c>
      <c r="D55" s="5" t="s">
        <v>169</v>
      </c>
      <c r="F55" s="2"/>
      <c r="G55" s="5">
        <v>1.5</v>
      </c>
      <c r="I55" s="5">
        <v>60</v>
      </c>
    </row>
    <row r="56" spans="1:9" ht="15" x14ac:dyDescent="0.15">
      <c r="A56" s="12" t="s">
        <v>170</v>
      </c>
      <c r="B56" s="13" t="s">
        <v>171</v>
      </c>
      <c r="C56" s="12" t="s">
        <v>41</v>
      </c>
      <c r="D56" s="5" t="s">
        <v>172</v>
      </c>
      <c r="E56" s="8"/>
      <c r="F56" s="2"/>
      <c r="G56" s="5">
        <v>2.2000000000000002</v>
      </c>
      <c r="I56" s="5">
        <v>60</v>
      </c>
    </row>
    <row r="57" spans="1:9" ht="15" x14ac:dyDescent="0.15">
      <c r="A57" s="12" t="s">
        <v>173</v>
      </c>
      <c r="B57" s="13" t="s">
        <v>174</v>
      </c>
      <c r="C57" s="12" t="s">
        <v>41</v>
      </c>
      <c r="D57" s="5" t="s">
        <v>175</v>
      </c>
      <c r="E57" s="8"/>
      <c r="F57" s="2"/>
      <c r="G57" s="5">
        <v>2.2000000000000002</v>
      </c>
      <c r="I57" s="5">
        <v>60</v>
      </c>
    </row>
    <row r="58" spans="1:9" ht="15" x14ac:dyDescent="0.15">
      <c r="A58" s="12" t="s">
        <v>176</v>
      </c>
      <c r="B58" s="13" t="s">
        <v>177</v>
      </c>
      <c r="C58" s="12" t="s">
        <v>83</v>
      </c>
      <c r="D58" s="5" t="s">
        <v>178</v>
      </c>
      <c r="E58" s="2"/>
      <c r="F58" s="2"/>
      <c r="G58" s="5">
        <v>1.5</v>
      </c>
      <c r="I58" s="5">
        <v>60</v>
      </c>
    </row>
    <row r="59" spans="1:9" ht="15" x14ac:dyDescent="0.15">
      <c r="A59" s="12" t="s">
        <v>179</v>
      </c>
      <c r="B59" s="13" t="s">
        <v>180</v>
      </c>
      <c r="C59" s="12" t="s">
        <v>41</v>
      </c>
      <c r="D59" s="5" t="s">
        <v>181</v>
      </c>
      <c r="F59" s="2"/>
      <c r="G59" s="5">
        <v>1.5</v>
      </c>
      <c r="I59" s="5">
        <v>60</v>
      </c>
    </row>
    <row r="60" spans="1:9" ht="15" x14ac:dyDescent="0.15">
      <c r="A60" s="12" t="s">
        <v>182</v>
      </c>
      <c r="B60" s="13" t="s">
        <v>183</v>
      </c>
      <c r="C60" s="12" t="s">
        <v>41</v>
      </c>
      <c r="D60" s="5" t="s">
        <v>184</v>
      </c>
      <c r="F60" s="2"/>
      <c r="G60" s="5">
        <v>1.6</v>
      </c>
      <c r="I60" s="5">
        <v>60</v>
      </c>
    </row>
    <row r="61" spans="1:9" ht="15" x14ac:dyDescent="0.15">
      <c r="A61" s="12" t="s">
        <v>185</v>
      </c>
      <c r="B61" s="13" t="s">
        <v>186</v>
      </c>
      <c r="C61" s="12" t="s">
        <v>41</v>
      </c>
      <c r="D61" s="5" t="s">
        <v>187</v>
      </c>
      <c r="F61" s="2"/>
      <c r="G61" s="5">
        <v>2.2000000000000002</v>
      </c>
      <c r="I61" s="5">
        <v>60</v>
      </c>
    </row>
    <row r="62" spans="1:9" ht="15" x14ac:dyDescent="0.15">
      <c r="A62" s="12" t="s">
        <v>188</v>
      </c>
      <c r="B62" s="13" t="s">
        <v>189</v>
      </c>
      <c r="C62" s="12" t="s">
        <v>41</v>
      </c>
      <c r="D62" s="46" t="s">
        <v>190</v>
      </c>
      <c r="G62" s="5">
        <v>2.5</v>
      </c>
      <c r="I62" s="5">
        <v>60</v>
      </c>
    </row>
    <row r="63" spans="1:9" ht="15" x14ac:dyDescent="0.15">
      <c r="A63" s="12" t="s">
        <v>191</v>
      </c>
      <c r="B63" s="13" t="s">
        <v>192</v>
      </c>
      <c r="C63" s="12" t="s">
        <v>41</v>
      </c>
      <c r="D63" s="46" t="s">
        <v>193</v>
      </c>
      <c r="G63" s="5">
        <v>2.5</v>
      </c>
      <c r="I63" s="5">
        <v>60</v>
      </c>
    </row>
    <row r="64" spans="1:9" ht="15" x14ac:dyDescent="0.15">
      <c r="A64" s="12" t="s">
        <v>194</v>
      </c>
      <c r="B64" s="13" t="s">
        <v>195</v>
      </c>
      <c r="C64" s="12" t="s">
        <v>83</v>
      </c>
      <c r="D64" s="5" t="s">
        <v>196</v>
      </c>
      <c r="G64" s="5">
        <v>1.6</v>
      </c>
      <c r="I64" s="5">
        <v>60</v>
      </c>
    </row>
    <row r="65" spans="1:9" ht="15" x14ac:dyDescent="0.15">
      <c r="A65" s="12" t="s">
        <v>197</v>
      </c>
      <c r="B65" s="13" t="s">
        <v>198</v>
      </c>
      <c r="C65" s="12" t="s">
        <v>41</v>
      </c>
      <c r="D65" s="5" t="s">
        <v>199</v>
      </c>
      <c r="F65" s="2"/>
      <c r="G65" s="5">
        <v>0.5</v>
      </c>
      <c r="I65" s="5">
        <v>60</v>
      </c>
    </row>
    <row r="66" spans="1:9" ht="15" x14ac:dyDescent="0.15">
      <c r="A66" s="12" t="s">
        <v>200</v>
      </c>
      <c r="B66" s="13" t="s">
        <v>201</v>
      </c>
      <c r="C66" s="12" t="s">
        <v>41</v>
      </c>
    </row>
    <row r="67" spans="1:9" ht="15" x14ac:dyDescent="0.15">
      <c r="A67" s="12" t="s">
        <v>200</v>
      </c>
      <c r="B67" s="13" t="s">
        <v>202</v>
      </c>
      <c r="C67" s="12" t="s">
        <v>41</v>
      </c>
      <c r="D67" s="5"/>
      <c r="F67" s="2"/>
      <c r="G67" s="5"/>
      <c r="I67" s="5"/>
    </row>
    <row r="68" spans="1:9" ht="15" x14ac:dyDescent="0.15">
      <c r="A68" s="12" t="s">
        <v>200</v>
      </c>
      <c r="B68" s="13" t="s">
        <v>203</v>
      </c>
      <c r="C68" s="12" t="s">
        <v>41</v>
      </c>
      <c r="D68" s="5"/>
      <c r="F68" s="2"/>
      <c r="G68" s="5"/>
      <c r="I68" s="5"/>
    </row>
    <row r="69" spans="1:9" ht="15" x14ac:dyDescent="0.15">
      <c r="A69" s="12" t="s">
        <v>200</v>
      </c>
      <c r="B69" s="13" t="s">
        <v>204</v>
      </c>
      <c r="C69" s="12" t="s">
        <v>41</v>
      </c>
      <c r="D69" s="5"/>
      <c r="F69" s="2"/>
      <c r="G69" s="5"/>
      <c r="I69" s="5"/>
    </row>
    <row r="70" spans="1:9" ht="15" x14ac:dyDescent="0.15">
      <c r="A70" s="12" t="s">
        <v>200</v>
      </c>
      <c r="B70" s="13" t="s">
        <v>205</v>
      </c>
      <c r="C70" s="12" t="s">
        <v>41</v>
      </c>
      <c r="I70" s="5"/>
    </row>
    <row r="71" spans="1:9" ht="15" x14ac:dyDescent="0.15">
      <c r="A71" s="56" t="s">
        <v>474</v>
      </c>
      <c r="B71" s="13" t="s">
        <v>207</v>
      </c>
      <c r="C71" s="12" t="s">
        <v>41</v>
      </c>
      <c r="D71" s="55" t="s">
        <v>473</v>
      </c>
      <c r="F71" s="2"/>
      <c r="G71" s="5">
        <v>3</v>
      </c>
      <c r="I71" s="5">
        <v>60</v>
      </c>
    </row>
    <row r="72" spans="1:9" ht="15" x14ac:dyDescent="0.15">
      <c r="A72" s="12" t="s">
        <v>208</v>
      </c>
      <c r="B72" s="13" t="s">
        <v>209</v>
      </c>
      <c r="C72" s="12" t="s">
        <v>41</v>
      </c>
      <c r="D72" s="5" t="s">
        <v>210</v>
      </c>
      <c r="F72" s="2"/>
      <c r="G72" s="5">
        <v>2</v>
      </c>
      <c r="I72" s="5">
        <v>60</v>
      </c>
    </row>
    <row r="73" spans="1:9" ht="15" x14ac:dyDescent="0.15">
      <c r="A73" s="12" t="s">
        <v>211</v>
      </c>
      <c r="B73" s="13" t="s">
        <v>212</v>
      </c>
      <c r="C73" s="12" t="s">
        <v>41</v>
      </c>
      <c r="D73" s="5" t="s">
        <v>213</v>
      </c>
      <c r="F73" s="2"/>
      <c r="G73" s="5">
        <v>1.3</v>
      </c>
      <c r="I73" s="5">
        <v>60</v>
      </c>
    </row>
    <row r="74" spans="1:9" ht="15" x14ac:dyDescent="0.15">
      <c r="A74" s="12" t="s">
        <v>214</v>
      </c>
      <c r="B74" s="13" t="s">
        <v>215</v>
      </c>
      <c r="C74" s="12" t="s">
        <v>41</v>
      </c>
      <c r="D74" s="5" t="s">
        <v>216</v>
      </c>
      <c r="F74" s="2"/>
      <c r="G74" s="5">
        <v>2.2000000000000002</v>
      </c>
      <c r="I74" s="5">
        <v>60</v>
      </c>
    </row>
    <row r="75" spans="1:9" ht="15" x14ac:dyDescent="0.15">
      <c r="A75" s="12" t="s">
        <v>217</v>
      </c>
      <c r="B75" s="13" t="s">
        <v>218</v>
      </c>
      <c r="C75" s="12" t="s">
        <v>41</v>
      </c>
      <c r="D75" s="5" t="s">
        <v>219</v>
      </c>
      <c r="F75" s="2"/>
      <c r="G75" s="5">
        <v>1.5</v>
      </c>
      <c r="I75" s="5">
        <v>60</v>
      </c>
    </row>
    <row r="76" spans="1:9" ht="15" x14ac:dyDescent="0.15">
      <c r="A76" s="12" t="s">
        <v>220</v>
      </c>
      <c r="B76" s="13" t="s">
        <v>221</v>
      </c>
      <c r="C76" s="12" t="s">
        <v>41</v>
      </c>
      <c r="D76" s="5" t="s">
        <v>222</v>
      </c>
      <c r="F76" s="2"/>
      <c r="G76" s="5">
        <v>1.7</v>
      </c>
      <c r="I76" s="5">
        <v>60</v>
      </c>
    </row>
    <row r="77" spans="1:9" ht="15" x14ac:dyDescent="0.15">
      <c r="A77" s="12" t="s">
        <v>223</v>
      </c>
      <c r="B77" s="13" t="s">
        <v>224</v>
      </c>
      <c r="C77" s="12" t="s">
        <v>83</v>
      </c>
      <c r="D77" s="5" t="s">
        <v>178</v>
      </c>
      <c r="F77" s="2"/>
      <c r="G77" s="5">
        <v>1.5</v>
      </c>
      <c r="I77" s="5">
        <v>60</v>
      </c>
    </row>
    <row r="78" spans="1:9" ht="15" x14ac:dyDescent="0.15">
      <c r="A78" s="12" t="s">
        <v>225</v>
      </c>
      <c r="B78" s="13" t="s">
        <v>226</v>
      </c>
      <c r="C78" s="12" t="s">
        <v>41</v>
      </c>
      <c r="D78" s="46" t="s">
        <v>227</v>
      </c>
      <c r="G78" s="5">
        <v>1</v>
      </c>
      <c r="I78" s="5">
        <v>60</v>
      </c>
    </row>
    <row r="79" spans="1:9" ht="15" x14ac:dyDescent="0.15">
      <c r="A79" s="12" t="s">
        <v>228</v>
      </c>
      <c r="B79" s="13" t="s">
        <v>229</v>
      </c>
      <c r="C79" s="12" t="s">
        <v>41</v>
      </c>
      <c r="D79" s="5" t="s">
        <v>230</v>
      </c>
      <c r="F79" s="2"/>
      <c r="G79" s="5">
        <v>2.2000000000000002</v>
      </c>
      <c r="I79" s="5">
        <v>60</v>
      </c>
    </row>
    <row r="80" spans="1:9" ht="15" x14ac:dyDescent="0.15">
      <c r="A80" s="12" t="s">
        <v>231</v>
      </c>
      <c r="B80" s="13" t="s">
        <v>232</v>
      </c>
      <c r="C80" s="12" t="s">
        <v>41</v>
      </c>
      <c r="D80" s="5" t="s">
        <v>233</v>
      </c>
      <c r="F80" s="2"/>
      <c r="G80" s="5">
        <v>1</v>
      </c>
      <c r="I80" s="5">
        <v>60</v>
      </c>
    </row>
    <row r="81" spans="1:9" ht="15" x14ac:dyDescent="0.15">
      <c r="A81" s="12" t="s">
        <v>234</v>
      </c>
      <c r="B81" s="13" t="s">
        <v>235</v>
      </c>
      <c r="C81" s="12" t="s">
        <v>41</v>
      </c>
      <c r="D81" s="5" t="s">
        <v>236</v>
      </c>
      <c r="F81" s="2"/>
      <c r="G81" s="5">
        <v>1.7</v>
      </c>
      <c r="I81" s="5">
        <v>60</v>
      </c>
    </row>
    <row r="82" spans="1:9" ht="15" x14ac:dyDescent="0.15">
      <c r="A82" s="12" t="s">
        <v>237</v>
      </c>
      <c r="B82" s="13" t="s">
        <v>238</v>
      </c>
      <c r="C82" s="12" t="s">
        <v>239</v>
      </c>
      <c r="D82" s="46"/>
      <c r="F82" s="2"/>
      <c r="G82" s="5"/>
      <c r="I82" s="5">
        <v>60</v>
      </c>
    </row>
    <row r="83" spans="1:9" ht="15" x14ac:dyDescent="0.15">
      <c r="A83" s="12" t="s">
        <v>240</v>
      </c>
      <c r="B83" s="13" t="s">
        <v>241</v>
      </c>
      <c r="C83" s="12" t="s">
        <v>41</v>
      </c>
      <c r="D83" s="5" t="s">
        <v>242</v>
      </c>
      <c r="F83" s="2"/>
      <c r="G83" s="5">
        <v>2.1</v>
      </c>
      <c r="I83" s="5">
        <v>60</v>
      </c>
    </row>
    <row r="84" spans="1:9" ht="15" x14ac:dyDescent="0.15">
      <c r="A84" s="12" t="s">
        <v>243</v>
      </c>
      <c r="B84" s="13" t="s">
        <v>244</v>
      </c>
      <c r="C84" s="12" t="s">
        <v>83</v>
      </c>
      <c r="D84" s="5" t="s">
        <v>196</v>
      </c>
      <c r="G84" s="5">
        <v>1.6</v>
      </c>
      <c r="I84" s="5">
        <v>60</v>
      </c>
    </row>
    <row r="85" spans="1:9" ht="15" x14ac:dyDescent="0.15">
      <c r="A85" s="12" t="s">
        <v>245</v>
      </c>
      <c r="B85" s="13" t="s">
        <v>246</v>
      </c>
      <c r="C85" s="12" t="s">
        <v>41</v>
      </c>
      <c r="D85" s="5" t="s">
        <v>247</v>
      </c>
      <c r="F85" s="2"/>
      <c r="G85" s="5">
        <v>2</v>
      </c>
      <c r="I85" s="5">
        <v>60</v>
      </c>
    </row>
    <row r="86" spans="1:9" ht="15" x14ac:dyDescent="0.15">
      <c r="A86" s="12" t="s">
        <v>248</v>
      </c>
      <c r="B86" s="13" t="s">
        <v>249</v>
      </c>
      <c r="C86" s="12" t="s">
        <v>41</v>
      </c>
      <c r="D86" s="5" t="s">
        <v>250</v>
      </c>
      <c r="G86" s="5">
        <v>1.5</v>
      </c>
      <c r="I86" s="5">
        <v>60</v>
      </c>
    </row>
    <row r="87" spans="1:9" ht="15" x14ac:dyDescent="0.15">
      <c r="A87" s="12" t="s">
        <v>251</v>
      </c>
      <c r="B87" s="13" t="s">
        <v>252</v>
      </c>
      <c r="C87" s="12" t="s">
        <v>41</v>
      </c>
      <c r="D87" s="5" t="s">
        <v>253</v>
      </c>
      <c r="G87" s="5">
        <v>1.5</v>
      </c>
      <c r="I87" s="5">
        <v>60</v>
      </c>
    </row>
    <row r="88" spans="1:9" ht="15" x14ac:dyDescent="0.15">
      <c r="A88" s="12" t="s">
        <v>254</v>
      </c>
      <c r="B88" s="13" t="s">
        <v>255</v>
      </c>
      <c r="C88" s="12" t="s">
        <v>41</v>
      </c>
      <c r="D88" s="2" t="s">
        <v>256</v>
      </c>
      <c r="G88" s="5">
        <v>1.1000000000000001</v>
      </c>
      <c r="I88" s="5">
        <v>60</v>
      </c>
    </row>
    <row r="89" spans="1:9" ht="15" x14ac:dyDescent="0.15">
      <c r="A89" s="36" t="s">
        <v>257</v>
      </c>
      <c r="B89" s="13" t="s">
        <v>258</v>
      </c>
      <c r="C89" s="12" t="s">
        <v>259</v>
      </c>
      <c r="D89" s="5"/>
      <c r="G89" s="5">
        <v>1.1000000000000001</v>
      </c>
      <c r="I89" s="5">
        <v>10</v>
      </c>
    </row>
    <row r="90" spans="1:9" ht="15" x14ac:dyDescent="0.15">
      <c r="A90" s="36" t="s">
        <v>260</v>
      </c>
      <c r="B90" s="13" t="s">
        <v>261</v>
      </c>
      <c r="C90" s="12" t="s">
        <v>262</v>
      </c>
      <c r="D90" s="5"/>
      <c r="G90" s="5">
        <v>1</v>
      </c>
      <c r="I90" s="5">
        <v>10</v>
      </c>
    </row>
    <row r="91" spans="1:9" ht="15" x14ac:dyDescent="0.15">
      <c r="A91" s="36" t="s">
        <v>263</v>
      </c>
      <c r="B91" s="13" t="s">
        <v>264</v>
      </c>
      <c r="C91" s="12" t="s">
        <v>265</v>
      </c>
      <c r="D91" s="5"/>
      <c r="G91" s="5">
        <v>0.8</v>
      </c>
      <c r="I91" s="5">
        <v>10</v>
      </c>
    </row>
    <row r="92" spans="1:9" ht="15" x14ac:dyDescent="0.15">
      <c r="A92" s="36" t="s">
        <v>266</v>
      </c>
      <c r="B92" s="13" t="s">
        <v>267</v>
      </c>
      <c r="C92" s="12" t="s">
        <v>95</v>
      </c>
      <c r="D92" s="5"/>
      <c r="G92" s="5">
        <v>0.7</v>
      </c>
      <c r="I92" s="5">
        <v>10</v>
      </c>
    </row>
    <row r="93" spans="1:9" ht="15" x14ac:dyDescent="0.15">
      <c r="A93" s="57" t="s">
        <v>476</v>
      </c>
      <c r="B93" s="13" t="s">
        <v>269</v>
      </c>
      <c r="C93" s="12" t="s">
        <v>41</v>
      </c>
      <c r="D93" s="55" t="s">
        <v>475</v>
      </c>
      <c r="G93" s="5">
        <v>3.5</v>
      </c>
      <c r="I93" s="5">
        <v>60</v>
      </c>
    </row>
    <row r="94" spans="1:9" ht="15" x14ac:dyDescent="0.15">
      <c r="A94" s="36" t="s">
        <v>270</v>
      </c>
      <c r="B94" s="13" t="s">
        <v>271</v>
      </c>
      <c r="C94" s="12" t="s">
        <v>41</v>
      </c>
      <c r="D94" s="46" t="s">
        <v>190</v>
      </c>
      <c r="G94" s="5">
        <v>2.5</v>
      </c>
      <c r="I94" s="5">
        <v>60</v>
      </c>
    </row>
    <row r="95" spans="1:9" ht="15" x14ac:dyDescent="0.15">
      <c r="A95" s="36" t="s">
        <v>272</v>
      </c>
      <c r="B95" s="13" t="s">
        <v>273</v>
      </c>
      <c r="C95" s="12" t="s">
        <v>41</v>
      </c>
      <c r="D95" s="46" t="s">
        <v>193</v>
      </c>
      <c r="G95" s="5">
        <v>2.5</v>
      </c>
      <c r="I95" s="5">
        <v>60</v>
      </c>
    </row>
    <row r="96" spans="1:9" ht="15" x14ac:dyDescent="0.15">
      <c r="A96" s="36" t="s">
        <v>274</v>
      </c>
      <c r="B96" s="13" t="s">
        <v>275</v>
      </c>
      <c r="C96" s="12" t="s">
        <v>41</v>
      </c>
      <c r="D96" s="46" t="s">
        <v>227</v>
      </c>
      <c r="G96" s="5">
        <v>1</v>
      </c>
      <c r="I96" s="5">
        <v>60</v>
      </c>
    </row>
    <row r="97" spans="1:9" ht="15" x14ac:dyDescent="0.15">
      <c r="A97" s="12" t="s">
        <v>276</v>
      </c>
      <c r="B97" s="13" t="s">
        <v>277</v>
      </c>
      <c r="C97" s="12" t="s">
        <v>41</v>
      </c>
      <c r="D97" s="46" t="s">
        <v>278</v>
      </c>
      <c r="G97" s="5">
        <v>1</v>
      </c>
      <c r="I97" s="8">
        <v>10</v>
      </c>
    </row>
    <row r="98" spans="1:9" ht="15" x14ac:dyDescent="0.15">
      <c r="A98" s="5" t="s">
        <v>279</v>
      </c>
      <c r="B98" s="13" t="s">
        <v>280</v>
      </c>
      <c r="C98" s="12" t="s">
        <v>41</v>
      </c>
      <c r="D98" s="46" t="s">
        <v>281</v>
      </c>
      <c r="G98" s="5">
        <v>1.5</v>
      </c>
      <c r="I98" s="5">
        <v>60</v>
      </c>
    </row>
    <row r="99" spans="1:9" ht="15" x14ac:dyDescent="0.15">
      <c r="A99" s="33" t="s">
        <v>282</v>
      </c>
      <c r="B99" s="13" t="s">
        <v>283</v>
      </c>
      <c r="C99" s="37" t="s">
        <v>284</v>
      </c>
      <c r="D99" s="46"/>
      <c r="G99" s="5">
        <v>1.5</v>
      </c>
      <c r="I99" s="8">
        <v>10</v>
      </c>
    </row>
    <row r="100" spans="1:9" ht="15" x14ac:dyDescent="0.15">
      <c r="A100" s="34" t="s">
        <v>285</v>
      </c>
      <c r="B100" s="13" t="s">
        <v>286</v>
      </c>
      <c r="C100" s="36" t="s">
        <v>287</v>
      </c>
      <c r="G100" s="5">
        <v>1</v>
      </c>
      <c r="I100" s="5">
        <v>60</v>
      </c>
    </row>
    <row r="101" spans="1:9" ht="15" x14ac:dyDescent="0.15">
      <c r="A101" s="34" t="s">
        <v>288</v>
      </c>
      <c r="B101" s="13" t="s">
        <v>289</v>
      </c>
      <c r="C101" s="36" t="s">
        <v>290</v>
      </c>
      <c r="G101" s="5">
        <v>1</v>
      </c>
      <c r="I101" s="5">
        <v>60</v>
      </c>
    </row>
    <row r="102" spans="1:9" ht="15" x14ac:dyDescent="0.15">
      <c r="A102" s="34" t="s">
        <v>291</v>
      </c>
      <c r="B102" s="13" t="s">
        <v>292</v>
      </c>
      <c r="C102" s="36" t="s">
        <v>293</v>
      </c>
      <c r="G102" s="5">
        <v>1</v>
      </c>
      <c r="I102" s="5">
        <v>60</v>
      </c>
    </row>
    <row r="103" spans="1:9" ht="15" x14ac:dyDescent="0.15">
      <c r="A103" s="34" t="s">
        <v>294</v>
      </c>
      <c r="B103" s="13" t="s">
        <v>295</v>
      </c>
      <c r="C103" s="36" t="s">
        <v>296</v>
      </c>
      <c r="G103" s="5">
        <v>1</v>
      </c>
      <c r="I103" s="5">
        <v>60</v>
      </c>
    </row>
    <row r="104" spans="1:9" ht="15" x14ac:dyDescent="0.15">
      <c r="A104" s="34" t="s">
        <v>297</v>
      </c>
      <c r="B104" s="13" t="s">
        <v>298</v>
      </c>
      <c r="C104" s="12" t="s">
        <v>41</v>
      </c>
      <c r="D104" s="36" t="s">
        <v>299</v>
      </c>
      <c r="G104" s="5">
        <v>1</v>
      </c>
      <c r="I104" s="5">
        <v>60</v>
      </c>
    </row>
    <row r="105" spans="1:9" ht="15" x14ac:dyDescent="0.15">
      <c r="A105" s="34" t="s">
        <v>300</v>
      </c>
      <c r="B105" s="13" t="s">
        <v>301</v>
      </c>
      <c r="C105" s="12" t="s">
        <v>41</v>
      </c>
      <c r="D105" s="36" t="s">
        <v>302</v>
      </c>
      <c r="G105" s="5">
        <v>1</v>
      </c>
      <c r="I105" s="5">
        <v>60</v>
      </c>
    </row>
    <row r="106" spans="1:9" ht="15" x14ac:dyDescent="0.15">
      <c r="A106" s="34" t="s">
        <v>303</v>
      </c>
      <c r="B106" s="13" t="s">
        <v>304</v>
      </c>
      <c r="C106" s="12" t="s">
        <v>41</v>
      </c>
      <c r="D106" s="36" t="s">
        <v>305</v>
      </c>
      <c r="G106" s="5">
        <v>1</v>
      </c>
      <c r="I106" s="5">
        <v>60</v>
      </c>
    </row>
    <row r="107" spans="1:9" ht="15" x14ac:dyDescent="0.15">
      <c r="A107" s="34" t="s">
        <v>306</v>
      </c>
      <c r="B107" s="13" t="s">
        <v>307</v>
      </c>
      <c r="C107" s="12" t="s">
        <v>41</v>
      </c>
      <c r="D107" s="47" t="s">
        <v>308</v>
      </c>
      <c r="G107" s="5">
        <v>1</v>
      </c>
      <c r="I107" s="5">
        <v>60</v>
      </c>
    </row>
    <row r="108" spans="1:9" ht="15" x14ac:dyDescent="0.15">
      <c r="A108" s="34" t="s">
        <v>309</v>
      </c>
      <c r="B108" s="13" t="s">
        <v>310</v>
      </c>
      <c r="C108" s="12" t="s">
        <v>41</v>
      </c>
      <c r="D108" s="47" t="s">
        <v>311</v>
      </c>
      <c r="G108" s="5">
        <v>1</v>
      </c>
      <c r="I108" s="5">
        <v>60</v>
      </c>
    </row>
    <row r="109" spans="1:9" ht="15" x14ac:dyDescent="0.15">
      <c r="A109" s="48" t="s">
        <v>312</v>
      </c>
      <c r="B109" s="13" t="s">
        <v>313</v>
      </c>
      <c r="C109" s="12" t="s">
        <v>41</v>
      </c>
      <c r="D109" s="49" t="s">
        <v>314</v>
      </c>
      <c r="G109" s="5">
        <v>1.5</v>
      </c>
      <c r="I109" s="5">
        <v>60</v>
      </c>
    </row>
    <row r="110" spans="1:9" ht="15" x14ac:dyDescent="0.15">
      <c r="A110" s="35" t="s">
        <v>315</v>
      </c>
      <c r="B110" s="13" t="s">
        <v>316</v>
      </c>
      <c r="C110" s="12" t="s">
        <v>317</v>
      </c>
      <c r="G110" s="5">
        <v>1</v>
      </c>
      <c r="I110" s="8">
        <v>10</v>
      </c>
    </row>
    <row r="111" spans="1:9" ht="15" x14ac:dyDescent="0.15">
      <c r="A111" s="36" t="s">
        <v>318</v>
      </c>
      <c r="B111" s="13" t="s">
        <v>319</v>
      </c>
      <c r="C111" s="12" t="s">
        <v>41</v>
      </c>
      <c r="D111" s="49" t="s">
        <v>299</v>
      </c>
      <c r="G111" s="5">
        <v>1</v>
      </c>
      <c r="I111" s="5">
        <v>60</v>
      </c>
    </row>
    <row r="112" spans="1:9" ht="15" x14ac:dyDescent="0.15">
      <c r="A112" s="36" t="s">
        <v>320</v>
      </c>
      <c r="B112" s="13" t="s">
        <v>321</v>
      </c>
      <c r="C112" s="12" t="s">
        <v>41</v>
      </c>
      <c r="D112" s="2" t="s">
        <v>322</v>
      </c>
      <c r="G112" s="5">
        <v>1</v>
      </c>
      <c r="I112" s="5">
        <v>60</v>
      </c>
    </row>
    <row r="113" spans="1:9" ht="15" x14ac:dyDescent="0.15">
      <c r="A113" s="36" t="s">
        <v>323</v>
      </c>
      <c r="B113" s="13" t="s">
        <v>324</v>
      </c>
      <c r="C113" s="12" t="s">
        <v>41</v>
      </c>
      <c r="D113" s="2" t="s">
        <v>199</v>
      </c>
      <c r="G113" s="5">
        <v>0.62</v>
      </c>
      <c r="I113" s="5">
        <v>60</v>
      </c>
    </row>
    <row r="114" spans="1:9" ht="15" x14ac:dyDescent="0.15">
      <c r="A114" s="36" t="s">
        <v>325</v>
      </c>
      <c r="B114" s="13" t="s">
        <v>326</v>
      </c>
      <c r="C114" s="12" t="s">
        <v>41</v>
      </c>
      <c r="D114" s="2" t="s">
        <v>327</v>
      </c>
      <c r="G114" s="5">
        <v>1</v>
      </c>
      <c r="I114" s="5">
        <v>60</v>
      </c>
    </row>
    <row r="115" spans="1:9" ht="15" x14ac:dyDescent="0.15">
      <c r="A115" s="12" t="s">
        <v>328</v>
      </c>
      <c r="B115" s="13" t="s">
        <v>329</v>
      </c>
      <c r="C115" s="12" t="s">
        <v>41</v>
      </c>
      <c r="D115" s="5" t="s">
        <v>330</v>
      </c>
      <c r="G115" s="5">
        <v>1.1000000000000001</v>
      </c>
      <c r="I115" s="5">
        <v>60</v>
      </c>
    </row>
    <row r="116" spans="1:9" ht="15" x14ac:dyDescent="0.15">
      <c r="A116" s="34" t="s">
        <v>331</v>
      </c>
      <c r="B116" s="13" t="s">
        <v>332</v>
      </c>
      <c r="C116" s="36" t="s">
        <v>296</v>
      </c>
      <c r="D116" s="2" t="s">
        <v>333</v>
      </c>
      <c r="G116" s="5">
        <v>1</v>
      </c>
      <c r="I116" s="5">
        <v>60</v>
      </c>
    </row>
    <row r="117" spans="1:9" ht="15" x14ac:dyDescent="0.15">
      <c r="A117" s="34" t="s">
        <v>334</v>
      </c>
      <c r="B117" s="13" t="s">
        <v>335</v>
      </c>
      <c r="C117" s="57" t="s">
        <v>479</v>
      </c>
      <c r="D117" s="2" t="s">
        <v>336</v>
      </c>
      <c r="G117" s="5">
        <v>1</v>
      </c>
      <c r="I117" s="5">
        <v>60</v>
      </c>
    </row>
    <row r="118" spans="1:9" ht="15" x14ac:dyDescent="0.15">
      <c r="A118" s="4" t="s">
        <v>337</v>
      </c>
      <c r="B118" s="13" t="s">
        <v>338</v>
      </c>
      <c r="C118" s="12" t="s">
        <v>41</v>
      </c>
      <c r="D118" s="5" t="s">
        <v>339</v>
      </c>
      <c r="F118" s="2"/>
      <c r="G118" s="5">
        <v>0.5</v>
      </c>
      <c r="I118" s="5">
        <v>60</v>
      </c>
    </row>
    <row r="119" spans="1:9" ht="15" x14ac:dyDescent="0.15">
      <c r="A119" s="40" t="s">
        <v>340</v>
      </c>
      <c r="B119" s="13" t="s">
        <v>341</v>
      </c>
      <c r="C119" s="12" t="s">
        <v>41</v>
      </c>
      <c r="D119" s="5" t="s">
        <v>342</v>
      </c>
      <c r="F119" s="2"/>
      <c r="G119" s="5">
        <v>1.8</v>
      </c>
      <c r="I119" s="5">
        <v>60</v>
      </c>
    </row>
    <row r="120" spans="1:9" ht="15" x14ac:dyDescent="0.15">
      <c r="A120" s="37" t="s">
        <v>343</v>
      </c>
      <c r="B120" s="13" t="s">
        <v>344</v>
      </c>
      <c r="C120" s="12" t="s">
        <v>41</v>
      </c>
      <c r="D120" s="2" t="s">
        <v>345</v>
      </c>
      <c r="G120" s="5">
        <v>1</v>
      </c>
      <c r="I120" s="5">
        <v>10</v>
      </c>
    </row>
    <row r="121" spans="1:9" ht="15" x14ac:dyDescent="0.15">
      <c r="A121" s="12" t="s">
        <v>346</v>
      </c>
      <c r="B121" s="13" t="s">
        <v>347</v>
      </c>
      <c r="C121" s="12" t="s">
        <v>41</v>
      </c>
      <c r="D121" s="46" t="s">
        <v>227</v>
      </c>
      <c r="G121" s="5">
        <v>1</v>
      </c>
      <c r="I121" s="5">
        <v>60</v>
      </c>
    </row>
    <row r="122" spans="1:9" ht="15" x14ac:dyDescent="0.15">
      <c r="A122" s="37" t="s">
        <v>348</v>
      </c>
      <c r="B122" s="13" t="s">
        <v>349</v>
      </c>
      <c r="C122" s="12" t="s">
        <v>41</v>
      </c>
      <c r="D122" s="2" t="s">
        <v>350</v>
      </c>
      <c r="G122" s="5">
        <v>4</v>
      </c>
      <c r="I122" s="5">
        <v>10</v>
      </c>
    </row>
    <row r="123" spans="1:9" ht="15" x14ac:dyDescent="0.15">
      <c r="A123" t="s">
        <v>351</v>
      </c>
      <c r="B123" s="13" t="s">
        <v>352</v>
      </c>
      <c r="C123" s="12" t="s">
        <v>41</v>
      </c>
      <c r="G123" s="5">
        <v>1</v>
      </c>
      <c r="I123" s="5">
        <v>10</v>
      </c>
    </row>
    <row r="124" spans="1:9" ht="15" x14ac:dyDescent="0.15">
      <c r="A124" t="s">
        <v>353</v>
      </c>
      <c r="B124" s="13" t="s">
        <v>354</v>
      </c>
      <c r="C124" s="12" t="s">
        <v>41</v>
      </c>
      <c r="D124" s="46" t="s">
        <v>227</v>
      </c>
      <c r="G124" s="5">
        <v>1</v>
      </c>
      <c r="I124" s="5">
        <v>60</v>
      </c>
    </row>
    <row r="125" spans="1:9" ht="15" x14ac:dyDescent="0.15">
      <c r="A125" t="s">
        <v>355</v>
      </c>
      <c r="B125" s="13" t="s">
        <v>356</v>
      </c>
      <c r="C125" s="12" t="s">
        <v>41</v>
      </c>
      <c r="G125" s="5">
        <v>1</v>
      </c>
      <c r="I125" s="5">
        <v>10</v>
      </c>
    </row>
    <row r="126" spans="1:9" ht="15" x14ac:dyDescent="0.15">
      <c r="A126" t="s">
        <v>357</v>
      </c>
      <c r="B126" s="13" t="s">
        <v>358</v>
      </c>
      <c r="C126" s="12" t="s">
        <v>41</v>
      </c>
      <c r="D126" s="46" t="s">
        <v>227</v>
      </c>
      <c r="G126" s="5">
        <v>1</v>
      </c>
      <c r="I126" s="5">
        <v>60</v>
      </c>
    </row>
    <row r="127" spans="1:9" ht="15" x14ac:dyDescent="0.15">
      <c r="A127" s="54" t="s">
        <v>443</v>
      </c>
      <c r="B127" s="13" t="s">
        <v>447</v>
      </c>
      <c r="C127" s="12" t="s">
        <v>41</v>
      </c>
      <c r="G127" s="5">
        <v>1</v>
      </c>
      <c r="I127" s="5">
        <v>10</v>
      </c>
    </row>
    <row r="128" spans="1:9" ht="15" x14ac:dyDescent="0.15">
      <c r="A128" s="54" t="s">
        <v>444</v>
      </c>
      <c r="B128" s="13" t="s">
        <v>448</v>
      </c>
      <c r="C128" s="12" t="s">
        <v>41</v>
      </c>
      <c r="D128" s="46" t="s">
        <v>227</v>
      </c>
      <c r="G128" s="5">
        <v>1</v>
      </c>
      <c r="I128" s="5">
        <v>60</v>
      </c>
    </row>
    <row r="129" spans="1:9" ht="15" x14ac:dyDescent="0.15">
      <c r="A129" s="54" t="s">
        <v>445</v>
      </c>
      <c r="B129" s="13" t="s">
        <v>449</v>
      </c>
      <c r="C129" s="12" t="s">
        <v>41</v>
      </c>
      <c r="G129" s="5">
        <v>1</v>
      </c>
      <c r="I129" s="5">
        <v>10</v>
      </c>
    </row>
    <row r="130" spans="1:9" ht="15" x14ac:dyDescent="0.15">
      <c r="A130" s="54" t="s">
        <v>446</v>
      </c>
      <c r="B130" s="13" t="s">
        <v>450</v>
      </c>
      <c r="C130" s="12" t="s">
        <v>41</v>
      </c>
      <c r="D130" s="46" t="s">
        <v>227</v>
      </c>
      <c r="G130" s="5">
        <v>1</v>
      </c>
      <c r="I130" s="5">
        <v>60</v>
      </c>
    </row>
    <row r="131" spans="1:9" ht="15" x14ac:dyDescent="0.15">
      <c r="A131" s="54" t="s">
        <v>451</v>
      </c>
      <c r="B131" s="13" t="s">
        <v>455</v>
      </c>
      <c r="C131" s="12" t="s">
        <v>41</v>
      </c>
      <c r="G131" s="5">
        <v>1</v>
      </c>
      <c r="I131" s="5">
        <v>10</v>
      </c>
    </row>
    <row r="132" spans="1:9" ht="15" x14ac:dyDescent="0.15">
      <c r="A132" s="54" t="s">
        <v>452</v>
      </c>
      <c r="B132" s="13" t="s">
        <v>456</v>
      </c>
      <c r="C132" s="12" t="s">
        <v>41</v>
      </c>
      <c r="D132" s="46" t="s">
        <v>227</v>
      </c>
      <c r="G132" s="5">
        <v>1</v>
      </c>
      <c r="I132" s="5">
        <v>60</v>
      </c>
    </row>
    <row r="133" spans="1:9" ht="15" x14ac:dyDescent="0.15">
      <c r="A133" s="54" t="s">
        <v>453</v>
      </c>
      <c r="B133" s="13" t="s">
        <v>457</v>
      </c>
      <c r="C133" s="12" t="s">
        <v>41</v>
      </c>
      <c r="G133" s="5">
        <v>1</v>
      </c>
      <c r="I133" s="5">
        <v>10</v>
      </c>
    </row>
    <row r="134" spans="1:9" ht="15" x14ac:dyDescent="0.15">
      <c r="A134" s="54" t="s">
        <v>454</v>
      </c>
      <c r="B134" s="13" t="s">
        <v>458</v>
      </c>
      <c r="C134" s="12" t="s">
        <v>41</v>
      </c>
      <c r="D134" s="46" t="s">
        <v>227</v>
      </c>
      <c r="G134" s="5">
        <v>1</v>
      </c>
      <c r="I134" s="5">
        <v>60</v>
      </c>
    </row>
    <row r="135" spans="1:9" ht="15" x14ac:dyDescent="0.15">
      <c r="A135" s="54" t="s">
        <v>462</v>
      </c>
      <c r="B135" s="13" t="s">
        <v>459</v>
      </c>
      <c r="C135" s="54" t="s">
        <v>460</v>
      </c>
      <c r="G135" s="5">
        <v>1.5</v>
      </c>
      <c r="I135" s="5">
        <v>60</v>
      </c>
    </row>
    <row r="136" spans="1:9" ht="15" x14ac:dyDescent="0.15">
      <c r="A136" s="54" t="s">
        <v>463</v>
      </c>
      <c r="B136" s="13" t="s">
        <v>467</v>
      </c>
      <c r="C136" s="12" t="s">
        <v>41</v>
      </c>
      <c r="G136" s="5">
        <v>1</v>
      </c>
      <c r="I136" s="5">
        <v>10</v>
      </c>
    </row>
    <row r="137" spans="1:9" ht="15" x14ac:dyDescent="0.15">
      <c r="A137" s="54" t="s">
        <v>464</v>
      </c>
      <c r="B137" s="13" t="s">
        <v>468</v>
      </c>
      <c r="C137" s="12" t="s">
        <v>41</v>
      </c>
      <c r="D137" s="46" t="s">
        <v>227</v>
      </c>
      <c r="G137" s="5">
        <v>1</v>
      </c>
      <c r="I137" s="5">
        <v>60</v>
      </c>
    </row>
    <row r="138" spans="1:9" ht="15" x14ac:dyDescent="0.15">
      <c r="A138" s="54" t="s">
        <v>465</v>
      </c>
      <c r="B138" s="13" t="s">
        <v>469</v>
      </c>
      <c r="C138" s="12" t="s">
        <v>41</v>
      </c>
      <c r="G138" s="5">
        <v>1</v>
      </c>
      <c r="I138" s="5">
        <v>10</v>
      </c>
    </row>
    <row r="139" spans="1:9" ht="15" x14ac:dyDescent="0.15">
      <c r="A139" s="54" t="s">
        <v>466</v>
      </c>
      <c r="B139" s="13" t="s">
        <v>470</v>
      </c>
      <c r="C139" s="12" t="s">
        <v>41</v>
      </c>
      <c r="D139" s="46" t="s">
        <v>227</v>
      </c>
      <c r="G139" s="5">
        <v>1</v>
      </c>
      <c r="I139" s="5">
        <v>60</v>
      </c>
    </row>
    <row r="140" spans="1:9" ht="15" x14ac:dyDescent="0.15">
      <c r="A140" s="58" t="s">
        <v>477</v>
      </c>
      <c r="B140" s="13" t="s">
        <v>478</v>
      </c>
      <c r="C140" s="40" t="s">
        <v>480</v>
      </c>
      <c r="G140" s="5">
        <v>1</v>
      </c>
      <c r="I140" s="5">
        <v>10</v>
      </c>
    </row>
    <row r="141" spans="1:9" ht="15" x14ac:dyDescent="0.15">
      <c r="A141" s="58" t="s">
        <v>481</v>
      </c>
      <c r="B141" s="13" t="s">
        <v>482</v>
      </c>
      <c r="C141" s="12" t="s">
        <v>41</v>
      </c>
      <c r="D141" s="59" t="s">
        <v>483</v>
      </c>
      <c r="G141" s="5">
        <v>3</v>
      </c>
      <c r="I141" s="5">
        <v>60</v>
      </c>
    </row>
  </sheetData>
  <phoneticPr fontId="16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1" t="s">
        <v>359</v>
      </c>
    </row>
    <row r="2" spans="1:1" ht="15" x14ac:dyDescent="0.15">
      <c r="A2" s="8" t="s">
        <v>360</v>
      </c>
    </row>
    <row r="3" spans="1:1" ht="15" x14ac:dyDescent="0.15">
      <c r="A3" s="51" t="s">
        <v>361</v>
      </c>
    </row>
    <row r="4" spans="1:1" ht="15" x14ac:dyDescent="0.15">
      <c r="A4" s="8" t="s">
        <v>362</v>
      </c>
    </row>
    <row r="5" spans="1:1" ht="15" x14ac:dyDescent="0.15">
      <c r="A5" s="8" t="s">
        <v>363</v>
      </c>
    </row>
    <row r="6" spans="1:1" ht="15" x14ac:dyDescent="0.15">
      <c r="A6" s="8" t="s">
        <v>364</v>
      </c>
    </row>
    <row r="7" spans="1:1" ht="15" x14ac:dyDescent="0.15">
      <c r="A7" s="8" t="s">
        <v>365</v>
      </c>
    </row>
    <row r="8" spans="1:1" ht="15" x14ac:dyDescent="0.15">
      <c r="A8" s="8" t="s">
        <v>366</v>
      </c>
    </row>
    <row r="9" spans="1:1" ht="15" x14ac:dyDescent="0.15">
      <c r="A9" s="8" t="s">
        <v>367</v>
      </c>
    </row>
    <row r="10" spans="1:1" ht="15" x14ac:dyDescent="0.15">
      <c r="A10" s="8" t="s">
        <v>368</v>
      </c>
    </row>
    <row r="11" spans="1:1" ht="15" x14ac:dyDescent="0.15">
      <c r="A11" s="8" t="s">
        <v>369</v>
      </c>
    </row>
    <row r="12" spans="1:1" ht="15" x14ac:dyDescent="0.15">
      <c r="A12" s="8" t="s">
        <v>370</v>
      </c>
    </row>
    <row r="13" spans="1:1" ht="15" x14ac:dyDescent="0.15">
      <c r="A13" s="8" t="s">
        <v>371</v>
      </c>
    </row>
    <row r="14" spans="1:1" ht="15" x14ac:dyDescent="0.15">
      <c r="A14" s="8" t="s">
        <v>372</v>
      </c>
    </row>
    <row r="15" spans="1:1" ht="15" x14ac:dyDescent="0.15">
      <c r="A15" s="8" t="s">
        <v>373</v>
      </c>
    </row>
    <row r="16" spans="1:1" ht="15" x14ac:dyDescent="0.15">
      <c r="A16" s="8" t="s">
        <v>374</v>
      </c>
    </row>
    <row r="17" spans="1:1" ht="15" x14ac:dyDescent="0.15">
      <c r="A17" s="8" t="s">
        <v>375</v>
      </c>
    </row>
    <row r="18" spans="1:1" ht="15" x14ac:dyDescent="0.15">
      <c r="A18" s="8" t="s">
        <v>376</v>
      </c>
    </row>
    <row r="19" spans="1:1" ht="15" x14ac:dyDescent="0.15">
      <c r="A19" s="8" t="s">
        <v>377</v>
      </c>
    </row>
    <row r="20" spans="1:1" ht="15" x14ac:dyDescent="0.15">
      <c r="A20" s="39" t="s">
        <v>378</v>
      </c>
    </row>
    <row r="21" spans="1:1" ht="15" x14ac:dyDescent="0.15">
      <c r="A21" s="8" t="s">
        <v>379</v>
      </c>
    </row>
    <row r="22" spans="1:1" ht="15" x14ac:dyDescent="0.15">
      <c r="A22" s="8" t="s">
        <v>380</v>
      </c>
    </row>
    <row r="23" spans="1:1" ht="15" x14ac:dyDescent="0.15">
      <c r="A23" s="8" t="s">
        <v>381</v>
      </c>
    </row>
    <row r="24" spans="1:1" ht="15" x14ac:dyDescent="0.15">
      <c r="A24" s="8" t="s">
        <v>382</v>
      </c>
    </row>
    <row r="25" spans="1:1" ht="15" x14ac:dyDescent="0.15">
      <c r="A25" s="8" t="s">
        <v>383</v>
      </c>
    </row>
    <row r="26" spans="1:1" ht="15" x14ac:dyDescent="0.15">
      <c r="A26" s="39" t="s">
        <v>384</v>
      </c>
    </row>
    <row r="27" spans="1:1" ht="15" x14ac:dyDescent="0.15">
      <c r="A27" s="8" t="s">
        <v>385</v>
      </c>
    </row>
    <row r="28" spans="1:1" ht="15" x14ac:dyDescent="0.15">
      <c r="A28" s="39" t="s">
        <v>386</v>
      </c>
    </row>
    <row r="29" spans="1:1" ht="15" x14ac:dyDescent="0.15">
      <c r="A29" s="8" t="s">
        <v>387</v>
      </c>
    </row>
    <row r="30" spans="1:1" ht="15" x14ac:dyDescent="0.15">
      <c r="A30" s="39" t="s">
        <v>388</v>
      </c>
    </row>
    <row r="31" spans="1:1" x14ac:dyDescent="0.15">
      <c r="A31" s="52" t="s">
        <v>389</v>
      </c>
    </row>
    <row r="32" spans="1:1" x14ac:dyDescent="0.15">
      <c r="A32" s="4" t="s">
        <v>390</v>
      </c>
    </row>
    <row r="33" spans="1:1" x14ac:dyDescent="0.15">
      <c r="A33" s="52" t="s">
        <v>391</v>
      </c>
    </row>
    <row r="34" spans="1:1" x14ac:dyDescent="0.15">
      <c r="A34" s="4" t="s">
        <v>392</v>
      </c>
    </row>
    <row r="35" spans="1:1" x14ac:dyDescent="0.15">
      <c r="A35" s="4" t="s">
        <v>393</v>
      </c>
    </row>
    <row r="36" spans="1:1" x14ac:dyDescent="0.15">
      <c r="A36" s="4" t="s">
        <v>394</v>
      </c>
    </row>
    <row r="37" spans="1:1" x14ac:dyDescent="0.15">
      <c r="A37" s="4" t="s">
        <v>395</v>
      </c>
    </row>
    <row r="38" spans="1:1" ht="15" x14ac:dyDescent="0.15">
      <c r="A38" s="8" t="s">
        <v>396</v>
      </c>
    </row>
    <row r="39" spans="1:1" ht="15" x14ac:dyDescent="0.15">
      <c r="A39" s="8" t="s">
        <v>397</v>
      </c>
    </row>
    <row r="40" spans="1:1" ht="15" x14ac:dyDescent="0.15">
      <c r="A40" s="8" t="s">
        <v>398</v>
      </c>
    </row>
    <row r="41" spans="1:1" ht="15" x14ac:dyDescent="0.15">
      <c r="A41" s="8" t="s">
        <v>399</v>
      </c>
    </row>
    <row r="42" spans="1:1" ht="15" x14ac:dyDescent="0.15">
      <c r="A42" s="8" t="s">
        <v>400</v>
      </c>
    </row>
    <row r="43" spans="1:1" ht="15" x14ac:dyDescent="0.15">
      <c r="A43" s="8" t="s">
        <v>401</v>
      </c>
    </row>
    <row r="44" spans="1:1" ht="15" x14ac:dyDescent="0.15">
      <c r="A44" s="8" t="s">
        <v>402</v>
      </c>
    </row>
    <row r="45" spans="1:1" ht="15" x14ac:dyDescent="0.15">
      <c r="A45" s="8" t="s">
        <v>403</v>
      </c>
    </row>
    <row r="46" spans="1:1" ht="15" x14ac:dyDescent="0.15">
      <c r="A46" s="8" t="s">
        <v>404</v>
      </c>
    </row>
    <row r="47" spans="1:1" ht="15" x14ac:dyDescent="0.15">
      <c r="A47" s="8" t="s">
        <v>405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41"/>
  <sheetViews>
    <sheetView tabSelected="1" topLeftCell="I1" workbookViewId="0">
      <pane ySplit="3" topLeftCell="A4" activePane="bottomLeft" state="frozen"/>
      <selection pane="bottomLeft" activeCell="V11" sqref="V11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1" customWidth="1"/>
    <col min="12" max="12" width="35.62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2" t="s">
        <v>0</v>
      </c>
      <c r="C1" s="2" t="s">
        <v>0</v>
      </c>
      <c r="D1" s="2" t="s">
        <v>0</v>
      </c>
      <c r="E1" s="3"/>
      <c r="F1" s="3"/>
      <c r="I1" s="18"/>
      <c r="J1" s="19"/>
      <c r="K1" s="2" t="s">
        <v>0</v>
      </c>
      <c r="L1" s="2"/>
      <c r="M1" s="6" t="s">
        <v>406</v>
      </c>
      <c r="N1" s="6" t="s">
        <v>407</v>
      </c>
      <c r="O1" s="6" t="s">
        <v>407</v>
      </c>
      <c r="P1" s="6" t="s">
        <v>407</v>
      </c>
      <c r="Q1" s="6" t="s">
        <v>407</v>
      </c>
      <c r="R1" s="6" t="s">
        <v>407</v>
      </c>
      <c r="S1" s="6" t="s">
        <v>407</v>
      </c>
      <c r="T1" s="6" t="s">
        <v>407</v>
      </c>
      <c r="U1" s="6" t="s">
        <v>407</v>
      </c>
      <c r="V1" s="6" t="s">
        <v>407</v>
      </c>
      <c r="W1" s="6" t="s">
        <v>407</v>
      </c>
      <c r="X1" s="6" t="s">
        <v>407</v>
      </c>
      <c r="Y1" s="6" t="s">
        <v>407</v>
      </c>
      <c r="Z1" s="6" t="s">
        <v>407</v>
      </c>
      <c r="AA1" s="6" t="s">
        <v>407</v>
      </c>
      <c r="AB1" s="4" t="s">
        <v>408</v>
      </c>
    </row>
    <row r="2" spans="1:28" x14ac:dyDescent="0.15">
      <c r="A2" t="s">
        <v>1</v>
      </c>
      <c r="B2" s="4" t="s">
        <v>3</v>
      </c>
      <c r="C2" s="50" t="s">
        <v>409</v>
      </c>
      <c r="D2" s="5" t="s">
        <v>410</v>
      </c>
      <c r="E2" s="6" t="s">
        <v>411</v>
      </c>
      <c r="F2" s="53" t="s">
        <v>412</v>
      </c>
      <c r="G2" s="53" t="s">
        <v>413</v>
      </c>
      <c r="H2" s="53" t="s">
        <v>414</v>
      </c>
      <c r="I2" s="6" t="s">
        <v>415</v>
      </c>
      <c r="J2" s="20" t="s">
        <v>416</v>
      </c>
      <c r="K2" s="21" t="s">
        <v>417</v>
      </c>
      <c r="L2" s="5" t="s">
        <v>485</v>
      </c>
      <c r="M2" s="22"/>
      <c r="N2" s="22"/>
      <c r="O2" s="22"/>
      <c r="P2" s="18"/>
      <c r="Q2" s="18"/>
      <c r="R2" s="18"/>
      <c r="S2" s="18"/>
      <c r="T2" s="18"/>
      <c r="U2" s="18"/>
      <c r="V2" s="18"/>
      <c r="W2" s="18"/>
    </row>
    <row r="3" spans="1:28" ht="15" x14ac:dyDescent="0.15">
      <c r="B3" s="4" t="s">
        <v>13</v>
      </c>
      <c r="C3" s="7" t="s">
        <v>418</v>
      </c>
      <c r="D3" s="8" t="s">
        <v>419</v>
      </c>
      <c r="E3" s="9" t="s">
        <v>420</v>
      </c>
      <c r="F3" s="10" t="s">
        <v>421</v>
      </c>
      <c r="G3" s="11" t="s">
        <v>422</v>
      </c>
      <c r="H3" s="11" t="s">
        <v>423</v>
      </c>
      <c r="I3" s="10" t="s">
        <v>424</v>
      </c>
      <c r="J3" s="23" t="s">
        <v>425</v>
      </c>
      <c r="K3" s="20" t="s">
        <v>426</v>
      </c>
      <c r="L3" s="13" t="s">
        <v>484</v>
      </c>
      <c r="M3" s="9"/>
      <c r="N3" s="10" t="s">
        <v>427</v>
      </c>
      <c r="O3" s="10" t="s">
        <v>428</v>
      </c>
      <c r="P3" s="10" t="s">
        <v>429</v>
      </c>
      <c r="Q3" s="10" t="s">
        <v>430</v>
      </c>
      <c r="R3" s="10" t="s">
        <v>431</v>
      </c>
      <c r="S3" s="10" t="s">
        <v>432</v>
      </c>
      <c r="T3" s="10" t="s">
        <v>433</v>
      </c>
      <c r="U3" s="11" t="s">
        <v>434</v>
      </c>
      <c r="V3" s="11" t="s">
        <v>435</v>
      </c>
      <c r="W3" s="11" t="s">
        <v>436</v>
      </c>
      <c r="X3" s="28" t="s">
        <v>437</v>
      </c>
      <c r="Y3" s="28" t="s">
        <v>486</v>
      </c>
      <c r="Z3" s="28" t="s">
        <v>438</v>
      </c>
      <c r="AA3" s="28" t="s">
        <v>439</v>
      </c>
    </row>
    <row r="4" spans="1:28" ht="15" x14ac:dyDescent="0.15">
      <c r="A4" s="12" t="s">
        <v>24</v>
      </c>
      <c r="B4" s="13" t="s">
        <v>25</v>
      </c>
      <c r="C4" s="6" t="s">
        <v>440</v>
      </c>
      <c r="D4" s="3"/>
      <c r="E4" s="3">
        <v>1</v>
      </c>
      <c r="F4" s="14">
        <v>500</v>
      </c>
      <c r="G4" s="14"/>
      <c r="H4" s="14"/>
      <c r="I4" s="14">
        <v>500</v>
      </c>
      <c r="J4" s="21">
        <v>0.16600000000000001</v>
      </c>
      <c r="K4" s="21"/>
      <c r="L4" s="3"/>
      <c r="M4" s="24"/>
      <c r="N4" s="25">
        <v>20000</v>
      </c>
      <c r="O4" s="25">
        <v>9</v>
      </c>
      <c r="P4" s="25">
        <f>N4*5*1.1</f>
        <v>110000.00000000001</v>
      </c>
      <c r="Q4" s="25">
        <v>100</v>
      </c>
      <c r="R4" s="25">
        <v>350</v>
      </c>
      <c r="S4" s="29">
        <v>1</v>
      </c>
      <c r="T4" s="25">
        <f t="shared" ref="T4:T34" si="0">P4*0.0001</f>
        <v>11.000000000000002</v>
      </c>
      <c r="U4" s="25">
        <v>0</v>
      </c>
      <c r="V4" s="30">
        <v>200</v>
      </c>
      <c r="W4" s="10">
        <v>10</v>
      </c>
      <c r="X4" s="17">
        <v>20</v>
      </c>
      <c r="Y4" s="17">
        <v>200</v>
      </c>
      <c r="Z4" s="17">
        <v>0</v>
      </c>
      <c r="AA4" s="17">
        <v>0</v>
      </c>
    </row>
    <row r="5" spans="1:28" ht="15" x14ac:dyDescent="0.15">
      <c r="A5" s="12" t="s">
        <v>27</v>
      </c>
      <c r="B5" s="13" t="s">
        <v>28</v>
      </c>
      <c r="C5" s="6" t="s">
        <v>440</v>
      </c>
      <c r="D5" s="10"/>
      <c r="E5" s="10">
        <v>2</v>
      </c>
      <c r="F5" s="14">
        <v>500</v>
      </c>
      <c r="G5" s="14"/>
      <c r="H5" s="14"/>
      <c r="I5" s="14">
        <v>500</v>
      </c>
      <c r="J5" s="21">
        <v>0.33300000000000002</v>
      </c>
      <c r="K5" s="21"/>
      <c r="L5" s="10"/>
      <c r="M5" s="24"/>
      <c r="N5" s="25">
        <f>N4*10</f>
        <v>200000</v>
      </c>
      <c r="O5" s="25">
        <v>18</v>
      </c>
      <c r="P5" s="25">
        <f>N5*5</f>
        <v>1000000</v>
      </c>
      <c r="Q5" s="25">
        <v>100</v>
      </c>
      <c r="R5" s="25">
        <v>355</v>
      </c>
      <c r="S5" s="29">
        <v>1</v>
      </c>
      <c r="T5" s="25">
        <f t="shared" si="0"/>
        <v>100</v>
      </c>
      <c r="U5" s="25">
        <v>0</v>
      </c>
      <c r="V5" s="30">
        <v>200</v>
      </c>
      <c r="W5" s="10">
        <v>20</v>
      </c>
      <c r="X5" s="17">
        <v>20</v>
      </c>
      <c r="Y5" s="17">
        <v>200</v>
      </c>
      <c r="Z5" s="17">
        <v>0</v>
      </c>
      <c r="AA5" s="17">
        <v>0</v>
      </c>
    </row>
    <row r="6" spans="1:28" ht="15" x14ac:dyDescent="0.15">
      <c r="A6" s="12" t="s">
        <v>30</v>
      </c>
      <c r="B6" s="13" t="s">
        <v>31</v>
      </c>
      <c r="C6" s="6" t="s">
        <v>440</v>
      </c>
      <c r="D6" s="10"/>
      <c r="E6" s="3">
        <v>3</v>
      </c>
      <c r="F6" s="14">
        <v>500</v>
      </c>
      <c r="G6" s="14"/>
      <c r="H6" s="14"/>
      <c r="I6" s="14">
        <v>500</v>
      </c>
      <c r="J6" s="21">
        <v>0.5</v>
      </c>
      <c r="K6" s="21"/>
      <c r="L6" s="10"/>
      <c r="M6" s="24"/>
      <c r="N6" s="25">
        <f>N5*2</f>
        <v>400000</v>
      </c>
      <c r="O6" s="25">
        <v>36</v>
      </c>
      <c r="P6" s="25">
        <f>P5*2</f>
        <v>2000000</v>
      </c>
      <c r="Q6" s="25">
        <v>100</v>
      </c>
      <c r="R6" s="25">
        <v>360</v>
      </c>
      <c r="S6" s="29">
        <v>1</v>
      </c>
      <c r="T6" s="25">
        <f t="shared" si="0"/>
        <v>200</v>
      </c>
      <c r="U6" s="25">
        <v>0</v>
      </c>
      <c r="V6" s="30">
        <v>200</v>
      </c>
      <c r="W6" s="10">
        <v>30</v>
      </c>
      <c r="X6" s="17">
        <v>20</v>
      </c>
      <c r="Y6" s="17">
        <v>200</v>
      </c>
      <c r="Z6" s="17">
        <v>0</v>
      </c>
      <c r="AA6" s="17">
        <v>0</v>
      </c>
    </row>
    <row r="7" spans="1:28" ht="15" x14ac:dyDescent="0.15">
      <c r="A7" s="12" t="s">
        <v>33</v>
      </c>
      <c r="B7" s="13" t="s">
        <v>34</v>
      </c>
      <c r="C7" s="6" t="s">
        <v>440</v>
      </c>
      <c r="D7" s="10"/>
      <c r="E7" s="10">
        <v>4</v>
      </c>
      <c r="F7" s="14">
        <v>500</v>
      </c>
      <c r="G7" s="14"/>
      <c r="H7" s="14"/>
      <c r="I7" s="14">
        <v>500</v>
      </c>
      <c r="J7" s="21">
        <v>0.66</v>
      </c>
      <c r="K7" s="21"/>
      <c r="L7" s="10"/>
      <c r="M7" s="24"/>
      <c r="N7" s="25">
        <f>N6*2</f>
        <v>800000</v>
      </c>
      <c r="O7" s="25">
        <v>72</v>
      </c>
      <c r="P7" s="25">
        <f>P6*2</f>
        <v>4000000</v>
      </c>
      <c r="Q7" s="25">
        <v>1000</v>
      </c>
      <c r="R7" s="25">
        <v>365</v>
      </c>
      <c r="S7" s="29">
        <v>1</v>
      </c>
      <c r="T7" s="25">
        <f t="shared" si="0"/>
        <v>400</v>
      </c>
      <c r="U7" s="25">
        <v>0</v>
      </c>
      <c r="V7" s="30">
        <v>200</v>
      </c>
      <c r="W7" s="10">
        <v>40</v>
      </c>
      <c r="X7" s="17">
        <v>20</v>
      </c>
      <c r="Y7" s="17">
        <v>200</v>
      </c>
      <c r="Z7" s="17">
        <v>0</v>
      </c>
      <c r="AA7" s="17">
        <v>0</v>
      </c>
    </row>
    <row r="8" spans="1:28" ht="15" x14ac:dyDescent="0.15">
      <c r="A8" s="12" t="s">
        <v>36</v>
      </c>
      <c r="B8" s="13" t="s">
        <v>37</v>
      </c>
      <c r="C8" s="6" t="s">
        <v>440</v>
      </c>
      <c r="D8" s="10"/>
      <c r="E8" s="3">
        <v>5</v>
      </c>
      <c r="F8" s="14">
        <v>500</v>
      </c>
      <c r="G8" s="14"/>
      <c r="H8" s="14"/>
      <c r="I8" s="14">
        <v>500</v>
      </c>
      <c r="J8" s="21">
        <v>0.83</v>
      </c>
      <c r="K8" s="21"/>
      <c r="L8" s="10"/>
      <c r="M8" s="24"/>
      <c r="N8" s="26">
        <v>4000000</v>
      </c>
      <c r="O8" s="26">
        <v>144</v>
      </c>
      <c r="P8" s="26">
        <v>8000000</v>
      </c>
      <c r="Q8" s="25">
        <v>1000</v>
      </c>
      <c r="R8" s="25">
        <v>370</v>
      </c>
      <c r="S8" s="29">
        <v>1</v>
      </c>
      <c r="T8" s="25">
        <f t="shared" si="0"/>
        <v>800</v>
      </c>
      <c r="U8" s="25">
        <v>0</v>
      </c>
      <c r="V8" s="30">
        <v>200</v>
      </c>
      <c r="W8" s="10">
        <v>50</v>
      </c>
      <c r="X8" s="17">
        <v>20</v>
      </c>
      <c r="Y8" s="17">
        <v>200</v>
      </c>
      <c r="Z8" s="17">
        <v>0</v>
      </c>
      <c r="AA8" s="17">
        <v>0</v>
      </c>
    </row>
    <row r="9" spans="1:28" ht="15" x14ac:dyDescent="0.15">
      <c r="A9" s="12" t="s">
        <v>39</v>
      </c>
      <c r="B9" s="13" t="s">
        <v>40</v>
      </c>
      <c r="C9" s="6" t="s">
        <v>440</v>
      </c>
      <c r="D9" s="10"/>
      <c r="E9" s="10">
        <v>6</v>
      </c>
      <c r="F9" s="14">
        <v>500</v>
      </c>
      <c r="G9" s="14"/>
      <c r="H9" s="14"/>
      <c r="I9" s="14">
        <v>500</v>
      </c>
      <c r="J9" s="21">
        <v>1</v>
      </c>
      <c r="K9" s="21"/>
      <c r="L9" s="10"/>
      <c r="M9" s="24"/>
      <c r="N9" s="25">
        <f>N8*2</f>
        <v>8000000</v>
      </c>
      <c r="O9" s="25">
        <f t="shared" ref="O9" si="1">O8*2</f>
        <v>288</v>
      </c>
      <c r="P9" s="25">
        <f>P8*2*1.1</f>
        <v>17600000</v>
      </c>
      <c r="Q9" s="25">
        <v>10000</v>
      </c>
      <c r="R9" s="25">
        <v>375</v>
      </c>
      <c r="S9" s="29">
        <v>1</v>
      </c>
      <c r="T9" s="25">
        <f t="shared" si="0"/>
        <v>1760</v>
      </c>
      <c r="U9" s="25">
        <v>0</v>
      </c>
      <c r="V9" s="30">
        <v>200</v>
      </c>
      <c r="W9" s="10">
        <v>60</v>
      </c>
      <c r="X9" s="17">
        <v>20</v>
      </c>
      <c r="Y9" s="17">
        <v>500</v>
      </c>
      <c r="Z9" s="17">
        <v>0</v>
      </c>
      <c r="AA9" s="17">
        <v>0</v>
      </c>
    </row>
    <row r="10" spans="1:28" ht="15" x14ac:dyDescent="0.15">
      <c r="A10" s="12" t="s">
        <v>42</v>
      </c>
      <c r="B10" s="13" t="s">
        <v>43</v>
      </c>
      <c r="C10" s="6" t="s">
        <v>440</v>
      </c>
      <c r="D10" s="10"/>
      <c r="E10" s="3">
        <v>7</v>
      </c>
      <c r="F10" s="14">
        <v>500</v>
      </c>
      <c r="G10" s="14"/>
      <c r="H10" s="14"/>
      <c r="I10" s="14">
        <v>500</v>
      </c>
      <c r="J10" s="21">
        <v>1.1599999999999999</v>
      </c>
      <c r="K10" s="21"/>
      <c r="L10" s="10"/>
      <c r="M10" s="24"/>
      <c r="N10" s="25">
        <f>N9*1.5</f>
        <v>12000000</v>
      </c>
      <c r="O10" s="25">
        <f t="shared" ref="O10:P10" si="2">O9*1.5</f>
        <v>432</v>
      </c>
      <c r="P10" s="25">
        <f t="shared" si="2"/>
        <v>26400000</v>
      </c>
      <c r="Q10" s="25">
        <v>10000</v>
      </c>
      <c r="R10" s="25">
        <v>380</v>
      </c>
      <c r="S10" s="29">
        <v>1</v>
      </c>
      <c r="T10" s="25">
        <f t="shared" si="0"/>
        <v>2640</v>
      </c>
      <c r="U10" s="25">
        <v>0</v>
      </c>
      <c r="V10" s="30">
        <v>200</v>
      </c>
      <c r="W10" s="10">
        <v>70</v>
      </c>
      <c r="X10" s="17">
        <v>20</v>
      </c>
      <c r="Y10" s="17">
        <v>500</v>
      </c>
      <c r="Z10" s="17">
        <v>0</v>
      </c>
      <c r="AA10" s="17">
        <v>0</v>
      </c>
    </row>
    <row r="11" spans="1:28" ht="15" x14ac:dyDescent="0.15">
      <c r="A11" s="12" t="s">
        <v>45</v>
      </c>
      <c r="B11" s="13" t="s">
        <v>46</v>
      </c>
      <c r="C11" s="6" t="s">
        <v>440</v>
      </c>
      <c r="D11" s="10"/>
      <c r="E11" s="10">
        <v>8</v>
      </c>
      <c r="F11" s="14">
        <v>500</v>
      </c>
      <c r="G11" s="14"/>
      <c r="H11" s="14"/>
      <c r="I11" s="14">
        <v>500</v>
      </c>
      <c r="J11" s="21">
        <v>1.33</v>
      </c>
      <c r="K11" s="21"/>
      <c r="L11" s="10"/>
      <c r="M11" s="24"/>
      <c r="N11" s="25">
        <f>N10*1.5</f>
        <v>18000000</v>
      </c>
      <c r="O11" s="25">
        <f t="shared" ref="O11:P11" si="3">O10*1.5</f>
        <v>648</v>
      </c>
      <c r="P11" s="25">
        <f t="shared" si="3"/>
        <v>39600000</v>
      </c>
      <c r="Q11" s="25">
        <v>10000</v>
      </c>
      <c r="R11" s="25">
        <v>385</v>
      </c>
      <c r="S11" s="29">
        <v>1</v>
      </c>
      <c r="T11" s="25">
        <f t="shared" si="0"/>
        <v>3960</v>
      </c>
      <c r="U11" s="25">
        <v>0</v>
      </c>
      <c r="V11" s="30">
        <v>200</v>
      </c>
      <c r="W11" s="10">
        <v>80</v>
      </c>
      <c r="X11" s="17">
        <v>20</v>
      </c>
      <c r="Y11" s="17">
        <v>500</v>
      </c>
      <c r="Z11" s="17">
        <v>0</v>
      </c>
      <c r="AA11" s="17">
        <v>0</v>
      </c>
    </row>
    <row r="12" spans="1:28" ht="15" x14ac:dyDescent="0.15">
      <c r="A12" s="12" t="s">
        <v>48</v>
      </c>
      <c r="B12" s="13" t="s">
        <v>49</v>
      </c>
      <c r="C12" s="6" t="s">
        <v>440</v>
      </c>
      <c r="D12" s="10"/>
      <c r="E12" s="3">
        <v>9</v>
      </c>
      <c r="F12" s="14">
        <v>500</v>
      </c>
      <c r="G12" s="14"/>
      <c r="H12" s="14"/>
      <c r="I12" s="14">
        <v>500</v>
      </c>
      <c r="J12" s="21">
        <v>1.5</v>
      </c>
      <c r="K12" s="21"/>
      <c r="L12" s="10"/>
      <c r="M12" s="24"/>
      <c r="N12" s="25">
        <f>N11*1.5</f>
        <v>27000000</v>
      </c>
      <c r="O12" s="25">
        <f t="shared" ref="O12:P12" si="4">O11*1.5</f>
        <v>972</v>
      </c>
      <c r="P12" s="25">
        <f t="shared" si="4"/>
        <v>59400000</v>
      </c>
      <c r="Q12" s="25">
        <v>10000</v>
      </c>
      <c r="R12" s="25">
        <v>390</v>
      </c>
      <c r="S12" s="29">
        <v>1</v>
      </c>
      <c r="T12" s="25">
        <f t="shared" si="0"/>
        <v>5940</v>
      </c>
      <c r="U12" s="25">
        <v>0</v>
      </c>
      <c r="V12" s="30">
        <v>200</v>
      </c>
      <c r="W12" s="10">
        <v>90</v>
      </c>
      <c r="X12" s="17">
        <v>20</v>
      </c>
      <c r="Y12" s="17">
        <v>500</v>
      </c>
      <c r="Z12" s="17">
        <v>0</v>
      </c>
      <c r="AA12" s="17">
        <v>0</v>
      </c>
    </row>
    <row r="13" spans="1:28" ht="15" x14ac:dyDescent="0.15">
      <c r="A13" s="12" t="s">
        <v>51</v>
      </c>
      <c r="B13" s="13" t="s">
        <v>52</v>
      </c>
      <c r="C13" s="6" t="s">
        <v>440</v>
      </c>
      <c r="D13" s="10"/>
      <c r="E13" s="10">
        <v>10</v>
      </c>
      <c r="F13" s="14">
        <v>500</v>
      </c>
      <c r="G13" s="14"/>
      <c r="H13" s="14"/>
      <c r="I13" s="14">
        <v>500</v>
      </c>
      <c r="J13" s="21">
        <v>1.66</v>
      </c>
      <c r="K13" s="21"/>
      <c r="L13" s="10"/>
      <c r="M13" s="24"/>
      <c r="N13" s="25">
        <f>N12*1.4</f>
        <v>37800000</v>
      </c>
      <c r="O13" s="25">
        <f t="shared" ref="O13:P13" si="5">O12*1.4</f>
        <v>1360.8</v>
      </c>
      <c r="P13" s="25">
        <f t="shared" si="5"/>
        <v>83160000</v>
      </c>
      <c r="Q13" s="25">
        <v>10000</v>
      </c>
      <c r="R13" s="25">
        <v>395</v>
      </c>
      <c r="S13" s="29">
        <v>0.9</v>
      </c>
      <c r="T13" s="25">
        <f t="shared" si="0"/>
        <v>8316</v>
      </c>
      <c r="U13" s="25">
        <v>0</v>
      </c>
      <c r="V13" s="30">
        <v>200</v>
      </c>
      <c r="W13" s="10">
        <v>100</v>
      </c>
      <c r="X13" s="17">
        <v>20</v>
      </c>
      <c r="Y13" s="17">
        <v>500</v>
      </c>
      <c r="Z13" s="17">
        <v>0</v>
      </c>
      <c r="AA13" s="17">
        <v>0</v>
      </c>
    </row>
    <row r="14" spans="1:28" ht="15" x14ac:dyDescent="0.15">
      <c r="A14" s="12" t="s">
        <v>54</v>
      </c>
      <c r="B14" s="13" t="s">
        <v>55</v>
      </c>
      <c r="C14" s="6" t="s">
        <v>440</v>
      </c>
      <c r="D14" s="10"/>
      <c r="E14" s="3">
        <v>11</v>
      </c>
      <c r="F14" s="14">
        <v>500</v>
      </c>
      <c r="G14" s="14"/>
      <c r="H14" s="14"/>
      <c r="I14" s="14">
        <v>500</v>
      </c>
      <c r="J14" s="21">
        <v>1.66</v>
      </c>
      <c r="K14" s="21"/>
      <c r="L14" s="10"/>
      <c r="M14" s="24"/>
      <c r="N14" s="25">
        <f>N13*1.3</f>
        <v>49140000</v>
      </c>
      <c r="O14" s="25">
        <f t="shared" ref="O14:P14" si="6">O13*1.3</f>
        <v>1769.04</v>
      </c>
      <c r="P14" s="25">
        <f t="shared" si="6"/>
        <v>108108000</v>
      </c>
      <c r="Q14" s="25">
        <v>10000</v>
      </c>
      <c r="R14" s="25">
        <v>400</v>
      </c>
      <c r="S14" s="29">
        <v>0.9</v>
      </c>
      <c r="T14" s="25">
        <f t="shared" si="0"/>
        <v>10810.800000000001</v>
      </c>
      <c r="U14" s="25">
        <v>0</v>
      </c>
      <c r="V14" s="30">
        <v>200</v>
      </c>
      <c r="W14" s="10">
        <v>150</v>
      </c>
      <c r="X14" s="17">
        <v>20</v>
      </c>
      <c r="Y14" s="17">
        <v>1500</v>
      </c>
      <c r="Z14" s="17">
        <v>5</v>
      </c>
      <c r="AA14" s="17">
        <v>50</v>
      </c>
    </row>
    <row r="15" spans="1:28" ht="15" x14ac:dyDescent="0.15">
      <c r="A15" s="12" t="s">
        <v>57</v>
      </c>
      <c r="B15" s="13" t="s">
        <v>58</v>
      </c>
      <c r="C15" s="6" t="s">
        <v>440</v>
      </c>
      <c r="D15" s="10"/>
      <c r="E15" s="10">
        <v>12</v>
      </c>
      <c r="F15" s="14">
        <v>500</v>
      </c>
      <c r="G15" s="14"/>
      <c r="H15" s="14"/>
      <c r="I15" s="14">
        <v>500</v>
      </c>
      <c r="J15" s="21">
        <v>1.66</v>
      </c>
      <c r="K15" s="21"/>
      <c r="L15" s="10"/>
      <c r="M15" s="24"/>
      <c r="N15" s="25">
        <f>N14*1.3</f>
        <v>63882000</v>
      </c>
      <c r="O15" s="25">
        <f>O14*1.3</f>
        <v>2299.752</v>
      </c>
      <c r="P15" s="25">
        <f>P14*1.3</f>
        <v>140540400</v>
      </c>
      <c r="Q15" s="25">
        <v>10000</v>
      </c>
      <c r="R15" s="25">
        <v>405</v>
      </c>
      <c r="S15" s="29">
        <v>0.9</v>
      </c>
      <c r="T15" s="25">
        <f t="shared" si="0"/>
        <v>14054.04</v>
      </c>
      <c r="U15" s="25">
        <v>0</v>
      </c>
      <c r="V15" s="30">
        <v>200</v>
      </c>
      <c r="W15" s="10">
        <v>150</v>
      </c>
      <c r="X15" s="17">
        <v>20</v>
      </c>
      <c r="Y15" s="17">
        <v>1500</v>
      </c>
      <c r="Z15" s="17">
        <v>5</v>
      </c>
      <c r="AA15" s="17">
        <v>50</v>
      </c>
    </row>
    <row r="16" spans="1:28" ht="15" x14ac:dyDescent="0.15">
      <c r="A16" s="12" t="s">
        <v>60</v>
      </c>
      <c r="B16" s="13" t="s">
        <v>61</v>
      </c>
      <c r="C16" s="6" t="s">
        <v>440</v>
      </c>
      <c r="D16" s="10"/>
      <c r="E16" s="3">
        <v>13</v>
      </c>
      <c r="F16" s="14">
        <v>500</v>
      </c>
      <c r="G16" s="14"/>
      <c r="H16" s="14"/>
      <c r="I16" s="14">
        <v>500</v>
      </c>
      <c r="J16" s="21">
        <v>1.66</v>
      </c>
      <c r="K16" s="21"/>
      <c r="L16" s="10"/>
      <c r="M16" s="24"/>
      <c r="N16" s="25">
        <f t="shared" ref="N16:N23" si="7">N15*1.2</f>
        <v>76658400</v>
      </c>
      <c r="O16" s="25">
        <f>O15*1.2</f>
        <v>2759.7023999999997</v>
      </c>
      <c r="P16" s="25">
        <f t="shared" ref="P16" si="8">P15*1.2</f>
        <v>168648480</v>
      </c>
      <c r="Q16" s="25">
        <v>10000</v>
      </c>
      <c r="R16" s="25">
        <v>410</v>
      </c>
      <c r="S16" s="29">
        <v>0.9</v>
      </c>
      <c r="T16" s="25">
        <f t="shared" si="0"/>
        <v>16864.848000000002</v>
      </c>
      <c r="U16" s="25">
        <v>0</v>
      </c>
      <c r="V16" s="30">
        <v>200</v>
      </c>
      <c r="W16" s="10">
        <v>150</v>
      </c>
      <c r="X16" s="17">
        <v>20</v>
      </c>
      <c r="Y16" s="17">
        <v>1500</v>
      </c>
      <c r="Z16" s="17">
        <v>5</v>
      </c>
      <c r="AA16" s="17">
        <v>50</v>
      </c>
    </row>
    <row r="17" spans="1:27" ht="14.25" customHeight="1" x14ac:dyDescent="0.15">
      <c r="A17" s="12" t="s">
        <v>63</v>
      </c>
      <c r="B17" s="13" t="s">
        <v>64</v>
      </c>
      <c r="C17" s="6" t="s">
        <v>440</v>
      </c>
      <c r="D17" s="10"/>
      <c r="E17" s="10">
        <v>14</v>
      </c>
      <c r="F17" s="14">
        <v>500</v>
      </c>
      <c r="G17" s="14"/>
      <c r="H17" s="14"/>
      <c r="I17" s="14">
        <v>500</v>
      </c>
      <c r="J17" s="21">
        <v>1.66</v>
      </c>
      <c r="K17" s="21"/>
      <c r="L17" s="10"/>
      <c r="M17" s="24"/>
      <c r="N17" s="25">
        <f t="shared" si="7"/>
        <v>91990080</v>
      </c>
      <c r="O17" s="25">
        <f t="shared" ref="O17:P17" si="9">O16*1.2</f>
        <v>3311.6428799999994</v>
      </c>
      <c r="P17" s="25">
        <f t="shared" si="9"/>
        <v>202378176</v>
      </c>
      <c r="Q17" s="25">
        <v>10000</v>
      </c>
      <c r="R17" s="25">
        <v>415</v>
      </c>
      <c r="S17" s="29">
        <v>0.9</v>
      </c>
      <c r="T17" s="25">
        <f t="shared" si="0"/>
        <v>20237.817600000002</v>
      </c>
      <c r="U17" s="25">
        <v>0</v>
      </c>
      <c r="V17" s="30">
        <v>200</v>
      </c>
      <c r="W17" s="10">
        <v>150</v>
      </c>
      <c r="X17" s="17">
        <v>20</v>
      </c>
      <c r="Y17" s="17">
        <v>1500</v>
      </c>
      <c r="Z17" s="17">
        <v>5</v>
      </c>
      <c r="AA17" s="17">
        <v>50</v>
      </c>
    </row>
    <row r="18" spans="1:27" ht="15" x14ac:dyDescent="0.15">
      <c r="A18" s="12" t="s">
        <v>66</v>
      </c>
      <c r="B18" s="13" t="s">
        <v>67</v>
      </c>
      <c r="C18" s="6" t="s">
        <v>440</v>
      </c>
      <c r="D18" s="10"/>
      <c r="E18" s="3">
        <v>15</v>
      </c>
      <c r="F18" s="14">
        <v>500</v>
      </c>
      <c r="G18" s="14"/>
      <c r="H18" s="14"/>
      <c r="I18" s="14">
        <v>500</v>
      </c>
      <c r="J18" s="21">
        <v>1.66</v>
      </c>
      <c r="K18" s="21"/>
      <c r="L18" s="10"/>
      <c r="M18" s="24"/>
      <c r="N18" s="25">
        <f t="shared" si="7"/>
        <v>110388096</v>
      </c>
      <c r="O18" s="25">
        <f t="shared" ref="O18:P18" si="10">O17*1.2</f>
        <v>3973.9714559999993</v>
      </c>
      <c r="P18" s="25">
        <f t="shared" si="10"/>
        <v>242853811.19999999</v>
      </c>
      <c r="Q18" s="25">
        <v>10000</v>
      </c>
      <c r="R18" s="25">
        <v>420</v>
      </c>
      <c r="S18" s="29">
        <v>0.9</v>
      </c>
      <c r="T18" s="25">
        <f t="shared" si="0"/>
        <v>24285.381119999998</v>
      </c>
      <c r="U18" s="25">
        <v>0</v>
      </c>
      <c r="V18" s="30">
        <v>200</v>
      </c>
      <c r="W18" s="10">
        <v>150</v>
      </c>
      <c r="X18" s="17">
        <v>20</v>
      </c>
      <c r="Y18" s="17">
        <v>1500</v>
      </c>
      <c r="Z18" s="17">
        <v>5</v>
      </c>
      <c r="AA18" s="17">
        <v>50</v>
      </c>
    </row>
    <row r="19" spans="1:27" ht="15" x14ac:dyDescent="0.15">
      <c r="A19" s="12" t="s">
        <v>69</v>
      </c>
      <c r="B19" s="13" t="s">
        <v>70</v>
      </c>
      <c r="C19" s="6" t="s">
        <v>440</v>
      </c>
      <c r="D19" s="10"/>
      <c r="E19" s="10">
        <v>16</v>
      </c>
      <c r="F19" s="14">
        <v>500</v>
      </c>
      <c r="G19" s="14"/>
      <c r="H19" s="14"/>
      <c r="I19" s="14">
        <v>500</v>
      </c>
      <c r="J19" s="21">
        <v>1.66</v>
      </c>
      <c r="K19" s="21"/>
      <c r="L19" s="10"/>
      <c r="M19" s="24"/>
      <c r="N19" s="25">
        <f>N18*1.4</f>
        <v>154543334.39999998</v>
      </c>
      <c r="O19" s="25">
        <f t="shared" ref="O19:P19" si="11">O18*1.4</f>
        <v>5563.560038399999</v>
      </c>
      <c r="P19" s="25">
        <f t="shared" si="11"/>
        <v>339995335.67999995</v>
      </c>
      <c r="Q19" s="25">
        <v>10000</v>
      </c>
      <c r="R19" s="25">
        <v>425</v>
      </c>
      <c r="S19" s="29">
        <v>0.9</v>
      </c>
      <c r="T19" s="25">
        <f t="shared" si="0"/>
        <v>33999.533567999999</v>
      </c>
      <c r="U19" s="25">
        <v>0</v>
      </c>
      <c r="V19" s="30">
        <v>200</v>
      </c>
      <c r="W19" s="10">
        <v>200</v>
      </c>
      <c r="X19" s="17">
        <v>20</v>
      </c>
      <c r="Y19" s="17">
        <v>3500</v>
      </c>
      <c r="Z19" s="17">
        <v>10</v>
      </c>
      <c r="AA19" s="17">
        <v>100</v>
      </c>
    </row>
    <row r="20" spans="1:27" ht="15" x14ac:dyDescent="0.15">
      <c r="A20" s="12" t="s">
        <v>72</v>
      </c>
      <c r="B20" s="13" t="s">
        <v>73</v>
      </c>
      <c r="C20" s="6" t="s">
        <v>440</v>
      </c>
      <c r="D20" s="10"/>
      <c r="E20" s="3">
        <v>17</v>
      </c>
      <c r="F20" s="14">
        <v>500</v>
      </c>
      <c r="G20" s="14"/>
      <c r="H20" s="14"/>
      <c r="I20" s="14">
        <v>500</v>
      </c>
      <c r="J20" s="21">
        <v>1.66</v>
      </c>
      <c r="K20" s="21"/>
      <c r="L20" s="10"/>
      <c r="M20" s="24"/>
      <c r="N20" s="25">
        <f>N19*1.3</f>
        <v>200906334.71999997</v>
      </c>
      <c r="O20" s="25">
        <f t="shared" ref="O20:P20" si="12">O19*1.3</f>
        <v>7232.6280499199993</v>
      </c>
      <c r="P20" s="25">
        <f t="shared" si="12"/>
        <v>441993936.38399994</v>
      </c>
      <c r="Q20" s="25">
        <v>10000</v>
      </c>
      <c r="R20" s="25">
        <v>430</v>
      </c>
      <c r="S20" s="29">
        <v>0.9</v>
      </c>
      <c r="T20" s="25">
        <f t="shared" si="0"/>
        <v>44199.393638399997</v>
      </c>
      <c r="U20" s="25">
        <v>0</v>
      </c>
      <c r="V20" s="30">
        <v>200</v>
      </c>
      <c r="W20" s="10">
        <v>200</v>
      </c>
      <c r="X20" s="17">
        <v>20</v>
      </c>
      <c r="Y20" s="17">
        <v>3500</v>
      </c>
      <c r="Z20" s="17">
        <v>10</v>
      </c>
      <c r="AA20" s="17">
        <v>100</v>
      </c>
    </row>
    <row r="21" spans="1:27" ht="15" x14ac:dyDescent="0.15">
      <c r="A21" s="12" t="s">
        <v>75</v>
      </c>
      <c r="B21" s="13" t="s">
        <v>76</v>
      </c>
      <c r="C21" s="6" t="s">
        <v>440</v>
      </c>
      <c r="D21" s="10"/>
      <c r="E21" s="10">
        <v>18</v>
      </c>
      <c r="F21" s="14">
        <v>500</v>
      </c>
      <c r="G21" s="14"/>
      <c r="H21" s="14"/>
      <c r="I21" s="14">
        <v>500</v>
      </c>
      <c r="J21" s="21">
        <v>1.66</v>
      </c>
      <c r="K21" s="21"/>
      <c r="L21" s="10"/>
      <c r="M21" s="24"/>
      <c r="N21" s="25">
        <f t="shared" si="7"/>
        <v>241087601.66399994</v>
      </c>
      <c r="O21" s="25">
        <f t="shared" ref="O21:P21" si="13">O20*1.2</f>
        <v>8679.1536599039991</v>
      </c>
      <c r="P21" s="25">
        <f t="shared" si="13"/>
        <v>530392723.66079992</v>
      </c>
      <c r="Q21" s="25">
        <v>10000</v>
      </c>
      <c r="R21" s="25">
        <v>435</v>
      </c>
      <c r="S21" s="29">
        <v>0.9</v>
      </c>
      <c r="T21" s="25">
        <f t="shared" si="0"/>
        <v>53039.272366079997</v>
      </c>
      <c r="U21" s="25">
        <v>0</v>
      </c>
      <c r="V21" s="30">
        <v>200</v>
      </c>
      <c r="W21" s="10">
        <v>200</v>
      </c>
      <c r="X21" s="17">
        <v>20</v>
      </c>
      <c r="Y21" s="17">
        <v>3500</v>
      </c>
      <c r="Z21" s="17">
        <v>10</v>
      </c>
      <c r="AA21" s="17">
        <v>100</v>
      </c>
    </row>
    <row r="22" spans="1:27" ht="15" x14ac:dyDescent="0.15">
      <c r="A22" s="15" t="s">
        <v>78</v>
      </c>
      <c r="B22" s="13" t="s">
        <v>79</v>
      </c>
      <c r="C22" s="6" t="s">
        <v>440</v>
      </c>
      <c r="D22" s="10"/>
      <c r="E22" s="3">
        <v>19</v>
      </c>
      <c r="F22" s="14">
        <v>500</v>
      </c>
      <c r="G22" s="14"/>
      <c r="H22" s="14"/>
      <c r="I22" s="14">
        <v>500</v>
      </c>
      <c r="J22" s="21">
        <v>1.66</v>
      </c>
      <c r="K22" s="21"/>
      <c r="L22" s="10"/>
      <c r="M22" s="24"/>
      <c r="N22" s="25">
        <f t="shared" si="7"/>
        <v>289305121.99679995</v>
      </c>
      <c r="O22" s="25">
        <f t="shared" ref="O22:P22" si="14">O21*1.2</f>
        <v>10414.984391884798</v>
      </c>
      <c r="P22" s="25">
        <f t="shared" si="14"/>
        <v>636471268.39295983</v>
      </c>
      <c r="Q22" s="25">
        <v>10000</v>
      </c>
      <c r="R22" s="25">
        <v>440</v>
      </c>
      <c r="S22" s="29">
        <v>0.9</v>
      </c>
      <c r="T22" s="25">
        <f t="shared" si="0"/>
        <v>63647.126839295983</v>
      </c>
      <c r="U22" s="25">
        <v>0</v>
      </c>
      <c r="V22" s="30">
        <v>200</v>
      </c>
      <c r="W22" s="10">
        <v>200</v>
      </c>
      <c r="X22" s="17">
        <v>20</v>
      </c>
      <c r="Y22" s="17">
        <v>3500</v>
      </c>
      <c r="Z22" s="17">
        <v>10</v>
      </c>
      <c r="AA22" s="17">
        <v>100</v>
      </c>
    </row>
    <row r="23" spans="1:27" ht="15" x14ac:dyDescent="0.15">
      <c r="A23" s="15" t="s">
        <v>81</v>
      </c>
      <c r="B23" s="13" t="s">
        <v>82</v>
      </c>
      <c r="C23" s="6" t="s">
        <v>440</v>
      </c>
      <c r="D23" s="10"/>
      <c r="E23" s="10">
        <v>20</v>
      </c>
      <c r="F23" s="14">
        <v>500</v>
      </c>
      <c r="G23" s="14"/>
      <c r="H23" s="14"/>
      <c r="I23" s="14">
        <v>500</v>
      </c>
      <c r="J23" s="21">
        <v>1.66</v>
      </c>
      <c r="K23" s="21"/>
      <c r="L23" s="10"/>
      <c r="M23" s="24"/>
      <c r="N23" s="25">
        <f t="shared" si="7"/>
        <v>347166146.39615995</v>
      </c>
      <c r="O23" s="25">
        <f t="shared" ref="O23:P23" si="15">O22*1.2</f>
        <v>12497.981270261758</v>
      </c>
      <c r="P23" s="25">
        <f t="shared" si="15"/>
        <v>763765522.0715518</v>
      </c>
      <c r="Q23" s="25">
        <v>10000</v>
      </c>
      <c r="R23" s="25">
        <v>445</v>
      </c>
      <c r="S23" s="29">
        <v>0.9</v>
      </c>
      <c r="T23" s="25">
        <f t="shared" si="0"/>
        <v>76376.552207155182</v>
      </c>
      <c r="U23" s="25">
        <v>0</v>
      </c>
      <c r="V23" s="30">
        <v>200</v>
      </c>
      <c r="W23" s="10">
        <v>200</v>
      </c>
      <c r="X23" s="17">
        <v>20</v>
      </c>
      <c r="Y23" s="17">
        <v>3500</v>
      </c>
      <c r="Z23" s="17">
        <v>10</v>
      </c>
      <c r="AA23" s="17">
        <v>100</v>
      </c>
    </row>
    <row r="24" spans="1:27" ht="15" x14ac:dyDescent="0.15">
      <c r="A24" s="12" t="s">
        <v>84</v>
      </c>
      <c r="B24" s="13" t="s">
        <v>85</v>
      </c>
      <c r="C24" s="6" t="s">
        <v>440</v>
      </c>
      <c r="D24" s="10"/>
      <c r="E24" s="3">
        <v>21</v>
      </c>
      <c r="F24" s="14">
        <v>500</v>
      </c>
      <c r="G24" s="14"/>
      <c r="H24" s="14"/>
      <c r="I24" s="14">
        <v>500</v>
      </c>
      <c r="J24" s="21">
        <v>1.66</v>
      </c>
      <c r="K24" s="21"/>
      <c r="L24" s="10"/>
      <c r="M24" s="24"/>
      <c r="N24" s="25">
        <f>N23*1.4</f>
        <v>486032604.95462388</v>
      </c>
      <c r="O24" s="25">
        <f t="shared" ref="O24:P24" si="16">O23*1.4</f>
        <v>17497.173778366461</v>
      </c>
      <c r="P24" s="25">
        <f t="shared" si="16"/>
        <v>1069271730.9001725</v>
      </c>
      <c r="Q24" s="25">
        <v>10000</v>
      </c>
      <c r="R24" s="25">
        <v>450</v>
      </c>
      <c r="S24" s="29">
        <v>0.75</v>
      </c>
      <c r="T24" s="25">
        <f t="shared" si="0"/>
        <v>106927.17309001726</v>
      </c>
      <c r="U24" s="25">
        <v>0</v>
      </c>
      <c r="V24" s="30">
        <v>200</v>
      </c>
      <c r="W24" s="10">
        <v>300</v>
      </c>
      <c r="X24" s="17">
        <v>20</v>
      </c>
      <c r="Y24" s="17">
        <v>7500</v>
      </c>
      <c r="Z24" s="17">
        <v>20</v>
      </c>
      <c r="AA24" s="17">
        <v>200</v>
      </c>
    </row>
    <row r="25" spans="1:27" ht="15" x14ac:dyDescent="0.15">
      <c r="A25" s="12" t="s">
        <v>87</v>
      </c>
      <c r="B25" s="13" t="s">
        <v>88</v>
      </c>
      <c r="C25" s="6" t="s">
        <v>440</v>
      </c>
      <c r="D25" s="10"/>
      <c r="E25" s="10">
        <v>22</v>
      </c>
      <c r="F25" s="14">
        <v>500</v>
      </c>
      <c r="G25" s="14"/>
      <c r="H25" s="14"/>
      <c r="I25" s="14">
        <v>500</v>
      </c>
      <c r="J25" s="21">
        <v>1.66</v>
      </c>
      <c r="K25" s="21"/>
      <c r="L25" s="10"/>
      <c r="M25" s="24"/>
      <c r="N25" s="25">
        <f>N24*1.3</f>
        <v>631842386.44101107</v>
      </c>
      <c r="O25" s="25">
        <f t="shared" ref="O25:P25" si="17">O24*1.3</f>
        <v>22746.3259118764</v>
      </c>
      <c r="P25" s="25">
        <f t="shared" si="17"/>
        <v>1390053250.1702242</v>
      </c>
      <c r="Q25" s="25">
        <v>10000</v>
      </c>
      <c r="R25" s="25">
        <v>455</v>
      </c>
      <c r="S25" s="29">
        <v>0.75</v>
      </c>
      <c r="T25" s="25">
        <f t="shared" si="0"/>
        <v>139005.32501702243</v>
      </c>
      <c r="U25" s="25">
        <v>0</v>
      </c>
      <c r="V25" s="30">
        <v>200</v>
      </c>
      <c r="W25" s="10">
        <v>300</v>
      </c>
      <c r="X25" s="17">
        <v>20</v>
      </c>
      <c r="Y25" s="17">
        <v>7500</v>
      </c>
      <c r="Z25" s="17">
        <v>20</v>
      </c>
      <c r="AA25" s="17">
        <v>200</v>
      </c>
    </row>
    <row r="26" spans="1:27" ht="15" x14ac:dyDescent="0.15">
      <c r="A26" s="12" t="s">
        <v>90</v>
      </c>
      <c r="B26" s="13" t="s">
        <v>91</v>
      </c>
      <c r="C26" s="6" t="s">
        <v>440</v>
      </c>
      <c r="D26" s="10"/>
      <c r="E26" s="3">
        <v>23</v>
      </c>
      <c r="F26" s="14">
        <v>500</v>
      </c>
      <c r="G26" s="14"/>
      <c r="H26" s="14"/>
      <c r="I26" s="14">
        <v>500</v>
      </c>
      <c r="J26" s="21">
        <v>1.66</v>
      </c>
      <c r="K26" s="21"/>
      <c r="L26" s="10"/>
      <c r="M26" s="24"/>
      <c r="N26" s="25">
        <f>N25*1.3</f>
        <v>821395102.37331438</v>
      </c>
      <c r="O26" s="25">
        <f t="shared" ref="O26:P27" si="18">O25*1.3</f>
        <v>29570.22368543932</v>
      </c>
      <c r="P26" s="25">
        <f t="shared" si="18"/>
        <v>1807069225.2212915</v>
      </c>
      <c r="Q26" s="25">
        <v>10000</v>
      </c>
      <c r="R26" s="25">
        <v>460</v>
      </c>
      <c r="S26" s="29">
        <v>0.75</v>
      </c>
      <c r="T26" s="25">
        <f t="shared" si="0"/>
        <v>180706.92252212917</v>
      </c>
      <c r="U26" s="25">
        <v>0</v>
      </c>
      <c r="V26" s="30">
        <v>200</v>
      </c>
      <c r="W26" s="10">
        <v>300</v>
      </c>
      <c r="X26" s="17">
        <v>20</v>
      </c>
      <c r="Y26" s="17">
        <v>7500</v>
      </c>
      <c r="Z26" s="17">
        <v>20</v>
      </c>
      <c r="AA26" s="17">
        <v>200</v>
      </c>
    </row>
    <row r="27" spans="1:27" ht="15" x14ac:dyDescent="0.15">
      <c r="A27" s="12" t="s">
        <v>93</v>
      </c>
      <c r="B27" s="13" t="s">
        <v>94</v>
      </c>
      <c r="C27" s="6" t="s">
        <v>440</v>
      </c>
      <c r="D27" s="10"/>
      <c r="E27" s="10">
        <v>24</v>
      </c>
      <c r="F27" s="14">
        <v>500</v>
      </c>
      <c r="G27" s="14"/>
      <c r="H27" s="14"/>
      <c r="I27" s="14">
        <v>500</v>
      </c>
      <c r="J27" s="21">
        <v>1.66</v>
      </c>
      <c r="K27" s="21"/>
      <c r="L27" s="10"/>
      <c r="M27" s="24"/>
      <c r="N27" s="25">
        <f>N26*1.3</f>
        <v>1067813633.0853088</v>
      </c>
      <c r="O27" s="25">
        <f t="shared" si="18"/>
        <v>38441.290791071115</v>
      </c>
      <c r="P27" s="25">
        <f t="shared" si="18"/>
        <v>2349189992.7876792</v>
      </c>
      <c r="Q27" s="25">
        <v>10000</v>
      </c>
      <c r="R27" s="25">
        <v>465</v>
      </c>
      <c r="S27" s="29">
        <v>0.75</v>
      </c>
      <c r="T27" s="25">
        <f t="shared" si="0"/>
        <v>234918.99927876794</v>
      </c>
      <c r="U27" s="25">
        <v>0</v>
      </c>
      <c r="V27" s="30">
        <v>200</v>
      </c>
      <c r="W27" s="10">
        <v>300</v>
      </c>
      <c r="X27" s="17">
        <v>20</v>
      </c>
      <c r="Y27" s="17">
        <v>7500</v>
      </c>
      <c r="Z27" s="17">
        <v>20</v>
      </c>
      <c r="AA27" s="17">
        <v>200</v>
      </c>
    </row>
    <row r="28" spans="1:27" ht="15" x14ac:dyDescent="0.15">
      <c r="A28" s="12" t="s">
        <v>96</v>
      </c>
      <c r="B28" s="13" t="s">
        <v>97</v>
      </c>
      <c r="C28" s="6" t="s">
        <v>440</v>
      </c>
      <c r="D28" s="10"/>
      <c r="E28" s="3">
        <v>25</v>
      </c>
      <c r="F28" s="14">
        <v>500</v>
      </c>
      <c r="G28" s="14"/>
      <c r="H28" s="14"/>
      <c r="I28" s="14">
        <v>500</v>
      </c>
      <c r="J28" s="21">
        <v>1.66</v>
      </c>
      <c r="K28" s="21"/>
      <c r="L28" s="10"/>
      <c r="M28" s="24"/>
      <c r="N28" s="25">
        <f>N27*1.2</f>
        <v>1281376359.7023704</v>
      </c>
      <c r="O28" s="25">
        <f t="shared" ref="O28:P28" si="19">O27*1.2</f>
        <v>46129.548949285338</v>
      </c>
      <c r="P28" s="25">
        <f t="shared" si="19"/>
        <v>2819027991.3452148</v>
      </c>
      <c r="Q28" s="25">
        <v>10000</v>
      </c>
      <c r="R28" s="25">
        <v>470</v>
      </c>
      <c r="S28" s="29">
        <v>0.75</v>
      </c>
      <c r="T28" s="25">
        <f t="shared" si="0"/>
        <v>281902.79913452151</v>
      </c>
      <c r="U28" s="25">
        <v>0</v>
      </c>
      <c r="V28" s="30">
        <v>200</v>
      </c>
      <c r="W28" s="10">
        <v>300</v>
      </c>
      <c r="X28" s="17">
        <v>20</v>
      </c>
      <c r="Y28" s="17">
        <v>7500</v>
      </c>
      <c r="Z28" s="17">
        <v>20</v>
      </c>
      <c r="AA28" s="17">
        <v>200</v>
      </c>
    </row>
    <row r="29" spans="1:27" ht="15" x14ac:dyDescent="0.15">
      <c r="A29" s="12" t="s">
        <v>99</v>
      </c>
      <c r="B29" s="13" t="s">
        <v>100</v>
      </c>
      <c r="C29" s="6" t="s">
        <v>441</v>
      </c>
      <c r="D29" s="10"/>
      <c r="E29" s="14">
        <v>5</v>
      </c>
      <c r="F29" s="14">
        <v>500</v>
      </c>
      <c r="G29" s="14"/>
      <c r="H29" s="14"/>
      <c r="I29" s="14">
        <v>500</v>
      </c>
      <c r="J29" s="21">
        <v>100</v>
      </c>
      <c r="K29" s="21"/>
      <c r="L29" s="10"/>
      <c r="M29" s="24"/>
      <c r="N29" s="10">
        <f>N8*5</f>
        <v>20000000</v>
      </c>
      <c r="O29" s="10">
        <f t="shared" ref="O29:P29" si="20">O8*5</f>
        <v>720</v>
      </c>
      <c r="P29" s="10">
        <f t="shared" si="20"/>
        <v>40000000</v>
      </c>
      <c r="Q29" s="25">
        <v>10000</v>
      </c>
      <c r="R29" s="25">
        <v>370</v>
      </c>
      <c r="S29" s="29">
        <v>1</v>
      </c>
      <c r="T29" s="25">
        <f t="shared" si="0"/>
        <v>4000</v>
      </c>
      <c r="U29" s="25">
        <v>0</v>
      </c>
      <c r="V29" s="10">
        <v>200</v>
      </c>
      <c r="W29" s="10">
        <f>W8*5</f>
        <v>250</v>
      </c>
      <c r="X29" s="17">
        <v>20</v>
      </c>
      <c r="Y29" s="17">
        <v>2700</v>
      </c>
      <c r="Z29" s="17">
        <v>0</v>
      </c>
      <c r="AA29" s="17">
        <v>0</v>
      </c>
    </row>
    <row r="30" spans="1:27" ht="15" x14ac:dyDescent="0.15">
      <c r="A30" s="12" t="s">
        <v>102</v>
      </c>
      <c r="B30" s="13" t="s">
        <v>103</v>
      </c>
      <c r="C30" s="6" t="s">
        <v>441</v>
      </c>
      <c r="D30" s="10"/>
      <c r="E30" s="14">
        <v>10</v>
      </c>
      <c r="F30" s="14">
        <v>500</v>
      </c>
      <c r="G30" s="14"/>
      <c r="H30" s="14"/>
      <c r="I30" s="14">
        <v>500</v>
      </c>
      <c r="J30" s="21">
        <v>100</v>
      </c>
      <c r="K30" s="21"/>
      <c r="L30" s="10"/>
      <c r="M30" s="24"/>
      <c r="N30" s="10">
        <f>N13*5</f>
        <v>189000000</v>
      </c>
      <c r="O30" s="10">
        <f t="shared" ref="O30:P30" si="21">O13*5</f>
        <v>6804</v>
      </c>
      <c r="P30" s="10">
        <f t="shared" si="21"/>
        <v>415800000</v>
      </c>
      <c r="Q30" s="25">
        <v>10000</v>
      </c>
      <c r="R30" s="25">
        <v>395</v>
      </c>
      <c r="S30" s="29">
        <v>0.9</v>
      </c>
      <c r="T30" s="25">
        <f t="shared" si="0"/>
        <v>41580</v>
      </c>
      <c r="U30" s="25">
        <v>0</v>
      </c>
      <c r="V30" s="10">
        <v>200</v>
      </c>
      <c r="W30" s="10">
        <f>W13*5</f>
        <v>500</v>
      </c>
      <c r="X30" s="17">
        <v>20</v>
      </c>
      <c r="Y30" s="17">
        <v>6912</v>
      </c>
      <c r="Z30" s="17">
        <v>0</v>
      </c>
      <c r="AA30" s="17">
        <v>0</v>
      </c>
    </row>
    <row r="31" spans="1:27" ht="15" x14ac:dyDescent="0.15">
      <c r="A31" s="12" t="s">
        <v>105</v>
      </c>
      <c r="B31" s="13" t="s">
        <v>106</v>
      </c>
      <c r="C31" s="6" t="s">
        <v>441</v>
      </c>
      <c r="D31" s="10"/>
      <c r="E31" s="14">
        <v>15</v>
      </c>
      <c r="F31" s="14">
        <v>500</v>
      </c>
      <c r="G31" s="14"/>
      <c r="H31" s="14"/>
      <c r="I31" s="14">
        <v>500</v>
      </c>
      <c r="J31" s="21">
        <v>100</v>
      </c>
      <c r="K31" s="21"/>
      <c r="L31" s="10"/>
      <c r="M31" s="24"/>
      <c r="N31" s="10">
        <f>N18*5</f>
        <v>551940480</v>
      </c>
      <c r="O31" s="10">
        <f t="shared" ref="O31:P31" si="22">O18*5</f>
        <v>19869.857279999997</v>
      </c>
      <c r="P31" s="10">
        <f t="shared" si="22"/>
        <v>1214269056</v>
      </c>
      <c r="Q31" s="25">
        <v>10000</v>
      </c>
      <c r="R31" s="25">
        <v>410</v>
      </c>
      <c r="S31" s="29">
        <v>0.8</v>
      </c>
      <c r="T31" s="25">
        <f t="shared" si="0"/>
        <v>121426.90560000001</v>
      </c>
      <c r="U31" s="25">
        <v>0</v>
      </c>
      <c r="V31" s="10">
        <v>200</v>
      </c>
      <c r="W31" s="10">
        <f>W18*5</f>
        <v>750</v>
      </c>
      <c r="X31" s="17">
        <v>20</v>
      </c>
      <c r="Y31" s="17">
        <v>13500</v>
      </c>
      <c r="Z31" s="17">
        <v>5</v>
      </c>
      <c r="AA31" s="17">
        <v>50</v>
      </c>
    </row>
    <row r="32" spans="1:27" ht="15" x14ac:dyDescent="0.15">
      <c r="A32" s="16" t="s">
        <v>108</v>
      </c>
      <c r="B32" s="13" t="s">
        <v>109</v>
      </c>
      <c r="C32" s="6" t="s">
        <v>441</v>
      </c>
      <c r="D32" s="10"/>
      <c r="E32" s="14">
        <v>20</v>
      </c>
      <c r="F32" s="14">
        <v>500</v>
      </c>
      <c r="G32" s="14"/>
      <c r="H32" s="14"/>
      <c r="I32" s="14">
        <v>500</v>
      </c>
      <c r="J32" s="21">
        <v>100</v>
      </c>
      <c r="K32" s="21"/>
      <c r="L32" s="10"/>
      <c r="M32" s="24"/>
      <c r="N32" s="10">
        <f>N23*5</f>
        <v>1735830731.9807997</v>
      </c>
      <c r="O32" s="10">
        <f>O23*5</f>
        <v>62489.906351308789</v>
      </c>
      <c r="P32" s="10">
        <f t="shared" ref="P32" si="23">P23*5</f>
        <v>3818827610.357759</v>
      </c>
      <c r="Q32" s="25">
        <v>10000</v>
      </c>
      <c r="R32" s="25">
        <v>435</v>
      </c>
      <c r="S32" s="29">
        <v>0.6</v>
      </c>
      <c r="T32" s="25">
        <f t="shared" si="0"/>
        <v>381882.76103577594</v>
      </c>
      <c r="U32" s="25">
        <v>0</v>
      </c>
      <c r="V32" s="10">
        <v>200</v>
      </c>
      <c r="W32" s="10">
        <f>W23*5</f>
        <v>1000</v>
      </c>
      <c r="X32" s="17">
        <v>20</v>
      </c>
      <c r="Y32" s="17">
        <v>25000</v>
      </c>
      <c r="Z32" s="17">
        <v>20</v>
      </c>
      <c r="AA32" s="17">
        <v>500</v>
      </c>
    </row>
    <row r="33" spans="1:27" ht="15" x14ac:dyDescent="0.15">
      <c r="A33" s="16" t="s">
        <v>111</v>
      </c>
      <c r="B33" s="13" t="s">
        <v>112</v>
      </c>
      <c r="C33" s="6" t="s">
        <v>441</v>
      </c>
      <c r="D33" s="10"/>
      <c r="E33" s="14">
        <v>25</v>
      </c>
      <c r="F33" s="14">
        <v>500</v>
      </c>
      <c r="G33" s="14"/>
      <c r="H33" s="14"/>
      <c r="I33" s="14">
        <v>500</v>
      </c>
      <c r="J33" s="21">
        <v>100</v>
      </c>
      <c r="K33" s="21"/>
      <c r="L33" s="10"/>
      <c r="M33" s="24"/>
      <c r="N33" s="10">
        <f>N32*1.8</f>
        <v>3124495317.5654397</v>
      </c>
      <c r="O33" s="10">
        <f>O32*1.8</f>
        <v>112481.83143235583</v>
      </c>
      <c r="P33" s="10">
        <f>P32*1.8</f>
        <v>6873889698.6439667</v>
      </c>
      <c r="Q33" s="25">
        <v>10000</v>
      </c>
      <c r="R33" s="10">
        <v>470</v>
      </c>
      <c r="S33" s="29">
        <v>0.5</v>
      </c>
      <c r="T33" s="25">
        <f t="shared" si="0"/>
        <v>687388.96986439673</v>
      </c>
      <c r="U33" s="25">
        <v>100</v>
      </c>
      <c r="V33" s="10">
        <v>200</v>
      </c>
      <c r="W33" s="10">
        <f>W28*5</f>
        <v>1500</v>
      </c>
      <c r="X33" s="17">
        <v>20</v>
      </c>
      <c r="Y33" s="17">
        <v>50000</v>
      </c>
      <c r="Z33" s="17">
        <v>20</v>
      </c>
      <c r="AA33" s="17">
        <v>500</v>
      </c>
    </row>
    <row r="34" spans="1:27" ht="15" x14ac:dyDescent="0.15">
      <c r="A34" s="12" t="s">
        <v>114</v>
      </c>
      <c r="B34" s="13" t="s">
        <v>115</v>
      </c>
      <c r="C34" s="6" t="s">
        <v>441</v>
      </c>
      <c r="D34" s="10"/>
      <c r="E34" s="10"/>
      <c r="F34" s="14">
        <v>500</v>
      </c>
      <c r="G34" s="14"/>
      <c r="H34" s="14"/>
      <c r="I34" s="14">
        <v>500</v>
      </c>
      <c r="J34" s="27">
        <v>0.1</v>
      </c>
      <c r="K34" s="21"/>
      <c r="L34" s="10"/>
      <c r="M34" s="24"/>
      <c r="N34" s="26">
        <f>N33*0.5</f>
        <v>1562247658.7827199</v>
      </c>
      <c r="O34" s="26">
        <f t="shared" ref="O34:P34" si="24">O33*0.5</f>
        <v>56240.915716177915</v>
      </c>
      <c r="P34" s="26">
        <f t="shared" si="24"/>
        <v>3436944849.3219833</v>
      </c>
      <c r="Q34" s="25">
        <v>10000</v>
      </c>
      <c r="R34" s="26">
        <v>350</v>
      </c>
      <c r="S34" s="31">
        <v>0.6</v>
      </c>
      <c r="T34" s="26">
        <f t="shared" si="0"/>
        <v>343694.48493219836</v>
      </c>
      <c r="U34" s="25">
        <v>0</v>
      </c>
      <c r="V34" s="32">
        <v>200</v>
      </c>
      <c r="W34" s="26">
        <v>200</v>
      </c>
      <c r="X34" s="17">
        <v>20</v>
      </c>
      <c r="Y34" s="17">
        <v>20000</v>
      </c>
      <c r="Z34" s="17">
        <v>20</v>
      </c>
      <c r="AA34" s="17">
        <v>500</v>
      </c>
    </row>
    <row r="35" spans="1:27" ht="15" x14ac:dyDescent="0.15">
      <c r="A35" s="12" t="s">
        <v>117</v>
      </c>
      <c r="B35" s="13" t="s">
        <v>118</v>
      </c>
      <c r="C35" s="6" t="s">
        <v>440</v>
      </c>
      <c r="D35" s="10"/>
      <c r="E35" s="10"/>
      <c r="F35" s="14">
        <v>10</v>
      </c>
      <c r="G35" s="14"/>
      <c r="H35" s="14"/>
      <c r="I35" s="14">
        <v>500</v>
      </c>
      <c r="J35" s="27">
        <v>0.1</v>
      </c>
      <c r="K35" s="21" t="s">
        <v>442</v>
      </c>
      <c r="L35" s="10"/>
      <c r="M35" s="24"/>
      <c r="N35" s="26">
        <v>50</v>
      </c>
      <c r="O35" s="26">
        <v>2.25</v>
      </c>
      <c r="P35" s="26">
        <v>2500</v>
      </c>
      <c r="Q35" s="26">
        <f t="shared" ref="Q35:W35" si="25">Q4</f>
        <v>100</v>
      </c>
      <c r="R35" s="26">
        <f t="shared" si="25"/>
        <v>350</v>
      </c>
      <c r="S35" s="31">
        <f t="shared" si="25"/>
        <v>1</v>
      </c>
      <c r="T35" s="26">
        <f t="shared" si="25"/>
        <v>11.000000000000002</v>
      </c>
      <c r="U35" s="25">
        <v>0</v>
      </c>
      <c r="V35" s="26">
        <f t="shared" si="25"/>
        <v>200</v>
      </c>
      <c r="W35" s="26">
        <f t="shared" si="25"/>
        <v>10</v>
      </c>
      <c r="X35" s="17">
        <v>20</v>
      </c>
      <c r="Y35" s="17">
        <v>100</v>
      </c>
      <c r="Z35" s="17">
        <v>0</v>
      </c>
      <c r="AA35" s="17">
        <v>0</v>
      </c>
    </row>
    <row r="36" spans="1:27" ht="15" x14ac:dyDescent="0.15">
      <c r="A36" s="12" t="s">
        <v>119</v>
      </c>
      <c r="B36" s="13" t="s">
        <v>120</v>
      </c>
      <c r="C36" s="6" t="s">
        <v>440</v>
      </c>
      <c r="D36" s="10"/>
      <c r="E36" s="10"/>
      <c r="F36" s="14">
        <v>1000</v>
      </c>
      <c r="G36" s="14"/>
      <c r="H36" s="14"/>
      <c r="I36" s="14">
        <v>500</v>
      </c>
      <c r="J36" s="27">
        <v>0.1</v>
      </c>
      <c r="K36" s="21" t="s">
        <v>442</v>
      </c>
      <c r="L36" s="10"/>
      <c r="M36" s="24"/>
      <c r="N36" s="26">
        <v>50000</v>
      </c>
      <c r="O36" s="26">
        <f>O35*5</f>
        <v>11.25</v>
      </c>
      <c r="P36" s="26">
        <v>200000</v>
      </c>
      <c r="Q36" s="26">
        <f t="shared" ref="Q36:W36" si="26">Q6</f>
        <v>100</v>
      </c>
      <c r="R36" s="26">
        <f t="shared" si="26"/>
        <v>360</v>
      </c>
      <c r="S36" s="31">
        <f t="shared" si="26"/>
        <v>1</v>
      </c>
      <c r="T36" s="26">
        <f t="shared" si="26"/>
        <v>200</v>
      </c>
      <c r="U36" s="25">
        <v>0</v>
      </c>
      <c r="V36" s="26">
        <f t="shared" si="26"/>
        <v>200</v>
      </c>
      <c r="W36" s="26">
        <f t="shared" si="26"/>
        <v>30</v>
      </c>
      <c r="X36" s="17">
        <v>20</v>
      </c>
      <c r="Y36" s="17">
        <v>100</v>
      </c>
      <c r="Z36" s="17">
        <v>0</v>
      </c>
      <c r="AA36" s="17">
        <v>0</v>
      </c>
    </row>
    <row r="37" spans="1:27" ht="15" x14ac:dyDescent="0.15">
      <c r="A37" s="12" t="s">
        <v>122</v>
      </c>
      <c r="B37" s="13" t="s">
        <v>123</v>
      </c>
      <c r="C37" s="6" t="s">
        <v>440</v>
      </c>
      <c r="D37" s="10"/>
      <c r="E37" s="10"/>
      <c r="F37" s="14">
        <v>3500</v>
      </c>
      <c r="G37" s="14"/>
      <c r="H37" s="14"/>
      <c r="I37" s="14">
        <v>500</v>
      </c>
      <c r="J37" s="27">
        <v>0.1</v>
      </c>
      <c r="K37" s="21" t="s">
        <v>442</v>
      </c>
      <c r="L37" s="10"/>
      <c r="M37" s="24"/>
      <c r="N37" s="26">
        <f>N5</f>
        <v>200000</v>
      </c>
      <c r="O37" s="26">
        <f>O36*2.5</f>
        <v>28.125</v>
      </c>
      <c r="P37" s="26">
        <f>P5</f>
        <v>1000000</v>
      </c>
      <c r="Q37" s="26">
        <f t="shared" ref="Q37:W37" si="27">Q8</f>
        <v>1000</v>
      </c>
      <c r="R37" s="26">
        <f t="shared" si="27"/>
        <v>370</v>
      </c>
      <c r="S37" s="31">
        <f t="shared" si="27"/>
        <v>1</v>
      </c>
      <c r="T37" s="26">
        <f t="shared" si="27"/>
        <v>800</v>
      </c>
      <c r="U37" s="25">
        <v>0</v>
      </c>
      <c r="V37" s="26">
        <f t="shared" si="27"/>
        <v>200</v>
      </c>
      <c r="W37" s="26">
        <f t="shared" si="27"/>
        <v>50</v>
      </c>
      <c r="X37" s="17">
        <v>20</v>
      </c>
      <c r="Y37" s="17">
        <v>100</v>
      </c>
      <c r="Z37" s="17">
        <v>0</v>
      </c>
      <c r="AA37" s="17">
        <v>0</v>
      </c>
    </row>
    <row r="38" spans="1:27" ht="15" x14ac:dyDescent="0.15">
      <c r="A38" s="12" t="s">
        <v>124</v>
      </c>
      <c r="B38" s="13" t="s">
        <v>125</v>
      </c>
      <c r="C38" s="6" t="s">
        <v>440</v>
      </c>
      <c r="D38" s="10"/>
      <c r="E38" s="10"/>
      <c r="F38" s="14">
        <v>10000</v>
      </c>
      <c r="G38" s="14"/>
      <c r="H38" s="14"/>
      <c r="I38" s="14">
        <v>500</v>
      </c>
      <c r="J38" s="27">
        <v>0.1</v>
      </c>
      <c r="K38" s="21" t="s">
        <v>442</v>
      </c>
      <c r="L38" s="10"/>
      <c r="M38" s="24"/>
      <c r="N38" s="26">
        <v>1000000</v>
      </c>
      <c r="O38" s="26">
        <f>O37*1.5</f>
        <v>42.1875</v>
      </c>
      <c r="P38" s="26">
        <v>4000000</v>
      </c>
      <c r="Q38" s="26">
        <f t="shared" ref="Q38:W38" si="28">Q10</f>
        <v>10000</v>
      </c>
      <c r="R38" s="26">
        <f t="shared" si="28"/>
        <v>380</v>
      </c>
      <c r="S38" s="31">
        <f t="shared" si="28"/>
        <v>1</v>
      </c>
      <c r="T38" s="26">
        <f t="shared" si="28"/>
        <v>2640</v>
      </c>
      <c r="U38" s="25">
        <v>0</v>
      </c>
      <c r="V38" s="26">
        <f t="shared" si="28"/>
        <v>200</v>
      </c>
      <c r="W38" s="26">
        <f t="shared" si="28"/>
        <v>70</v>
      </c>
      <c r="X38" s="17">
        <v>20</v>
      </c>
      <c r="Y38" s="17">
        <v>100</v>
      </c>
      <c r="Z38" s="17">
        <v>0</v>
      </c>
      <c r="AA38" s="17">
        <v>0</v>
      </c>
    </row>
    <row r="39" spans="1:27" ht="15" x14ac:dyDescent="0.15">
      <c r="A39" s="12" t="s">
        <v>126</v>
      </c>
      <c r="B39" s="13" t="s">
        <v>127</v>
      </c>
      <c r="C39" s="6" t="s">
        <v>440</v>
      </c>
      <c r="D39" s="10"/>
      <c r="E39" s="10"/>
      <c r="F39" s="17"/>
      <c r="G39" s="17">
        <v>2.5</v>
      </c>
      <c r="H39" s="17"/>
      <c r="I39" s="14">
        <v>500</v>
      </c>
      <c r="J39" s="27">
        <v>0.1</v>
      </c>
      <c r="K39" s="21" t="s">
        <v>442</v>
      </c>
      <c r="L39" s="10"/>
      <c r="M39" s="24"/>
      <c r="N39" s="26">
        <v>5000000</v>
      </c>
      <c r="O39" s="26">
        <f>O38*3</f>
        <v>126.5625</v>
      </c>
      <c r="P39" s="26">
        <f>P38*2</f>
        <v>8000000</v>
      </c>
      <c r="Q39" s="26">
        <f t="shared" ref="Q39:W39" si="29">Q12</f>
        <v>10000</v>
      </c>
      <c r="R39" s="26">
        <f t="shared" si="29"/>
        <v>390</v>
      </c>
      <c r="S39" s="31">
        <f t="shared" si="29"/>
        <v>1</v>
      </c>
      <c r="T39" s="26">
        <f t="shared" si="29"/>
        <v>5940</v>
      </c>
      <c r="U39" s="25">
        <v>0</v>
      </c>
      <c r="V39" s="26">
        <f t="shared" si="29"/>
        <v>200</v>
      </c>
      <c r="W39" s="26">
        <f t="shared" si="29"/>
        <v>90</v>
      </c>
      <c r="X39" s="26">
        <v>20</v>
      </c>
      <c r="Y39" s="26">
        <v>500</v>
      </c>
      <c r="Z39" s="17">
        <v>0</v>
      </c>
      <c r="AA39" s="17">
        <v>0</v>
      </c>
    </row>
    <row r="40" spans="1:27" ht="14.25" customHeight="1" x14ac:dyDescent="0.15">
      <c r="A40" s="12" t="s">
        <v>129</v>
      </c>
      <c r="B40" s="13" t="s">
        <v>130</v>
      </c>
      <c r="C40" s="6" t="s">
        <v>440</v>
      </c>
      <c r="D40" s="10"/>
      <c r="E40" s="10"/>
      <c r="F40" s="17"/>
      <c r="G40" s="14">
        <v>6</v>
      </c>
      <c r="H40" s="14"/>
      <c r="I40" s="14">
        <v>500</v>
      </c>
      <c r="J40" s="27">
        <v>0.1</v>
      </c>
      <c r="K40" s="21" t="s">
        <v>442</v>
      </c>
      <c r="L40" s="10"/>
      <c r="M40" s="24"/>
      <c r="N40" s="26">
        <f t="shared" ref="N40:P40" si="30">N43*2</f>
        <v>20000000</v>
      </c>
      <c r="O40" s="26">
        <f t="shared" si="30"/>
        <v>506.25</v>
      </c>
      <c r="P40" s="26">
        <f t="shared" si="30"/>
        <v>32000000</v>
      </c>
      <c r="Q40" s="26">
        <f t="shared" ref="Q40:W40" si="31">Q14</f>
        <v>10000</v>
      </c>
      <c r="R40" s="26">
        <f t="shared" si="31"/>
        <v>400</v>
      </c>
      <c r="S40" s="31">
        <f t="shared" si="31"/>
        <v>0.9</v>
      </c>
      <c r="T40" s="26">
        <f t="shared" si="31"/>
        <v>10810.800000000001</v>
      </c>
      <c r="U40" s="25">
        <v>0</v>
      </c>
      <c r="V40" s="26">
        <f t="shared" si="31"/>
        <v>200</v>
      </c>
      <c r="W40" s="26">
        <f t="shared" si="31"/>
        <v>150</v>
      </c>
      <c r="X40" s="26">
        <v>20</v>
      </c>
      <c r="Y40" s="26">
        <v>1000</v>
      </c>
      <c r="Z40" s="17">
        <v>0</v>
      </c>
      <c r="AA40" s="17">
        <v>0</v>
      </c>
    </row>
    <row r="41" spans="1:27" ht="15" x14ac:dyDescent="0.15">
      <c r="A41" s="12" t="s">
        <v>131</v>
      </c>
      <c r="B41" s="13" t="s">
        <v>132</v>
      </c>
      <c r="C41" s="6" t="s">
        <v>440</v>
      </c>
      <c r="D41" s="10"/>
      <c r="E41" s="10"/>
      <c r="F41" s="17"/>
      <c r="G41" s="14">
        <v>15</v>
      </c>
      <c r="H41" s="14"/>
      <c r="I41" s="14">
        <v>500</v>
      </c>
      <c r="J41" s="27">
        <v>0.1</v>
      </c>
      <c r="K41" s="21" t="s">
        <v>442</v>
      </c>
      <c r="L41" s="10"/>
      <c r="M41" s="24"/>
      <c r="N41" s="26">
        <f>N44*2.05</f>
        <v>84050000</v>
      </c>
      <c r="O41" s="26">
        <f>O44*2.05</f>
        <v>2127.515625</v>
      </c>
      <c r="P41" s="26">
        <f>P44*2.05</f>
        <v>134479999.99999997</v>
      </c>
      <c r="Q41" s="26">
        <f t="shared" ref="Q41:W41" si="32">Q16</f>
        <v>10000</v>
      </c>
      <c r="R41" s="26">
        <f t="shared" si="32"/>
        <v>410</v>
      </c>
      <c r="S41" s="31">
        <f t="shared" si="32"/>
        <v>0.9</v>
      </c>
      <c r="T41" s="26">
        <f t="shared" si="32"/>
        <v>16864.848000000002</v>
      </c>
      <c r="U41" s="25">
        <v>0</v>
      </c>
      <c r="V41" s="26">
        <f t="shared" si="32"/>
        <v>200</v>
      </c>
      <c r="W41" s="26">
        <f t="shared" si="32"/>
        <v>150</v>
      </c>
      <c r="X41" s="26">
        <v>20</v>
      </c>
      <c r="Y41" s="26">
        <v>1500</v>
      </c>
      <c r="Z41" s="17">
        <v>0</v>
      </c>
      <c r="AA41" s="17">
        <v>0</v>
      </c>
    </row>
    <row r="42" spans="1:27" ht="15" x14ac:dyDescent="0.15">
      <c r="A42" s="12" t="s">
        <v>133</v>
      </c>
      <c r="B42" s="13" t="s">
        <v>134</v>
      </c>
      <c r="C42" s="6" t="s">
        <v>440</v>
      </c>
      <c r="D42" s="10"/>
      <c r="E42" s="10"/>
      <c r="F42" s="17"/>
      <c r="G42" s="14">
        <v>35</v>
      </c>
      <c r="H42" s="14"/>
      <c r="I42" s="14">
        <v>500</v>
      </c>
      <c r="J42" s="27">
        <v>0.1</v>
      </c>
      <c r="K42" s="21" t="s">
        <v>442</v>
      </c>
      <c r="L42" s="10"/>
      <c r="M42" s="24"/>
      <c r="N42" s="26">
        <f>N45*2.05</f>
        <v>353220124.99999988</v>
      </c>
      <c r="O42" s="26">
        <f t="shared" ref="O42:P42" si="33">O45*2.05</f>
        <v>8940.8844140624988</v>
      </c>
      <c r="P42" s="26">
        <f t="shared" si="33"/>
        <v>565152199.99999988</v>
      </c>
      <c r="Q42" s="26">
        <f t="shared" ref="Q42:W42" si="34">Q18</f>
        <v>10000</v>
      </c>
      <c r="R42" s="26">
        <f t="shared" si="34"/>
        <v>420</v>
      </c>
      <c r="S42" s="31">
        <f t="shared" si="34"/>
        <v>0.9</v>
      </c>
      <c r="T42" s="26">
        <f t="shared" si="34"/>
        <v>24285.381119999998</v>
      </c>
      <c r="U42" s="25">
        <v>0</v>
      </c>
      <c r="V42" s="26">
        <f t="shared" si="34"/>
        <v>200</v>
      </c>
      <c r="W42" s="26">
        <f t="shared" si="34"/>
        <v>150</v>
      </c>
      <c r="X42" s="26">
        <v>20</v>
      </c>
      <c r="Y42" s="26">
        <v>2500</v>
      </c>
      <c r="Z42" s="17">
        <v>0</v>
      </c>
      <c r="AA42" s="17">
        <v>0</v>
      </c>
    </row>
    <row r="43" spans="1:27" ht="15" x14ac:dyDescent="0.15">
      <c r="A43" s="12" t="s">
        <v>135</v>
      </c>
      <c r="B43" s="13" t="s">
        <v>136</v>
      </c>
      <c r="C43" s="6" t="s">
        <v>440</v>
      </c>
      <c r="D43" s="10"/>
      <c r="E43" s="10"/>
      <c r="F43" s="17"/>
      <c r="G43" s="14"/>
      <c r="H43" s="14">
        <v>12</v>
      </c>
      <c r="I43" s="14">
        <v>500</v>
      </c>
      <c r="J43" s="27">
        <v>0.1</v>
      </c>
      <c r="K43" s="21" t="s">
        <v>442</v>
      </c>
      <c r="L43" s="10"/>
      <c r="M43" s="24"/>
      <c r="N43" s="26">
        <f t="shared" ref="N43:P43" si="35">N39*2</f>
        <v>10000000</v>
      </c>
      <c r="O43" s="26">
        <f t="shared" si="35"/>
        <v>253.125</v>
      </c>
      <c r="P43" s="26">
        <f t="shared" si="35"/>
        <v>16000000</v>
      </c>
      <c r="Q43" s="26">
        <f t="shared" ref="Q43:V43" si="36">Q8</f>
        <v>1000</v>
      </c>
      <c r="R43" s="26">
        <f t="shared" si="36"/>
        <v>370</v>
      </c>
      <c r="S43" s="31">
        <f t="shared" si="36"/>
        <v>1</v>
      </c>
      <c r="T43" s="26">
        <f t="shared" si="36"/>
        <v>800</v>
      </c>
      <c r="U43" s="25">
        <v>0</v>
      </c>
      <c r="V43" s="26">
        <f t="shared" si="36"/>
        <v>200</v>
      </c>
      <c r="W43" s="26">
        <v>100</v>
      </c>
      <c r="X43" s="26">
        <v>20</v>
      </c>
      <c r="Y43" s="26">
        <v>750</v>
      </c>
      <c r="Z43" s="26">
        <f>Z13</f>
        <v>0</v>
      </c>
      <c r="AA43" s="26">
        <v>0</v>
      </c>
    </row>
    <row r="44" spans="1:27" ht="15" x14ac:dyDescent="0.15">
      <c r="A44" s="12" t="s">
        <v>138</v>
      </c>
      <c r="B44" s="13" t="s">
        <v>139</v>
      </c>
      <c r="C44" s="6" t="s">
        <v>440</v>
      </c>
      <c r="D44" s="10"/>
      <c r="E44" s="10"/>
      <c r="F44" s="17"/>
      <c r="G44" s="14"/>
      <c r="H44" s="14">
        <v>40</v>
      </c>
      <c r="I44" s="14">
        <v>500</v>
      </c>
      <c r="J44" s="27">
        <v>0.1</v>
      </c>
      <c r="K44" s="21" t="s">
        <v>442</v>
      </c>
      <c r="L44" s="10"/>
      <c r="M44" s="24"/>
      <c r="N44" s="26">
        <f>N40*2.05</f>
        <v>41000000</v>
      </c>
      <c r="O44" s="26">
        <f t="shared" ref="O44:P44" si="37">O40*2.05</f>
        <v>1037.8125</v>
      </c>
      <c r="P44" s="26">
        <f t="shared" si="37"/>
        <v>65599999.999999993</v>
      </c>
      <c r="Q44" s="26">
        <f t="shared" ref="Q44:W44" si="38">Q14</f>
        <v>10000</v>
      </c>
      <c r="R44" s="26">
        <f t="shared" si="38"/>
        <v>400</v>
      </c>
      <c r="S44" s="31">
        <f t="shared" si="38"/>
        <v>0.9</v>
      </c>
      <c r="T44" s="26">
        <f t="shared" si="38"/>
        <v>10810.800000000001</v>
      </c>
      <c r="U44" s="25">
        <v>0</v>
      </c>
      <c r="V44" s="26">
        <f t="shared" si="38"/>
        <v>200</v>
      </c>
      <c r="W44" s="26">
        <f t="shared" si="38"/>
        <v>150</v>
      </c>
      <c r="X44" s="26">
        <v>20</v>
      </c>
      <c r="Y44" s="26">
        <v>1250</v>
      </c>
      <c r="Z44" s="26">
        <v>0</v>
      </c>
      <c r="AA44" s="26">
        <v>0</v>
      </c>
    </row>
    <row r="45" spans="1:27" ht="14.25" customHeight="1" x14ac:dyDescent="0.15">
      <c r="A45" s="12" t="s">
        <v>140</v>
      </c>
      <c r="B45" s="13" t="s">
        <v>141</v>
      </c>
      <c r="C45" s="6" t="s">
        <v>440</v>
      </c>
      <c r="D45" s="10"/>
      <c r="E45" s="10"/>
      <c r="F45" s="17"/>
      <c r="G45" s="14"/>
      <c r="H45" s="14">
        <v>100</v>
      </c>
      <c r="I45" s="14">
        <v>500</v>
      </c>
      <c r="J45" s="27">
        <v>0.1</v>
      </c>
      <c r="K45" s="21" t="s">
        <v>442</v>
      </c>
      <c r="L45" s="10"/>
      <c r="M45" s="24"/>
      <c r="N45" s="26">
        <f>N41*2.05</f>
        <v>172302499.99999997</v>
      </c>
      <c r="O45" s="26">
        <f t="shared" ref="O45:P45" si="39">O41*2.05</f>
        <v>4361.4070312499998</v>
      </c>
      <c r="P45" s="26">
        <f t="shared" si="39"/>
        <v>275683999.99999994</v>
      </c>
      <c r="Q45" s="26">
        <f t="shared" ref="Q45:W45" si="40">Q23</f>
        <v>10000</v>
      </c>
      <c r="R45" s="26">
        <f t="shared" si="40"/>
        <v>445</v>
      </c>
      <c r="S45" s="31">
        <f t="shared" si="40"/>
        <v>0.9</v>
      </c>
      <c r="T45" s="26">
        <f t="shared" si="40"/>
        <v>76376.552207155182</v>
      </c>
      <c r="U45" s="25">
        <v>0</v>
      </c>
      <c r="V45" s="26">
        <f t="shared" si="40"/>
        <v>200</v>
      </c>
      <c r="W45" s="26">
        <f t="shared" si="40"/>
        <v>200</v>
      </c>
      <c r="X45" s="26">
        <v>20</v>
      </c>
      <c r="Y45" s="26">
        <v>2000</v>
      </c>
      <c r="Z45" s="26">
        <v>0</v>
      </c>
      <c r="AA45" s="26">
        <v>0</v>
      </c>
    </row>
    <row r="46" spans="1:27" ht="15" x14ac:dyDescent="0.15">
      <c r="A46" s="12" t="s">
        <v>142</v>
      </c>
      <c r="B46" s="13" t="s">
        <v>143</v>
      </c>
      <c r="C46" s="6" t="s">
        <v>441</v>
      </c>
      <c r="D46" s="10"/>
      <c r="E46" s="10"/>
      <c r="F46" s="14">
        <v>500</v>
      </c>
      <c r="G46" s="14"/>
      <c r="H46" s="14"/>
      <c r="I46" s="14">
        <v>500</v>
      </c>
      <c r="J46" s="27">
        <v>0.1</v>
      </c>
      <c r="K46" s="21"/>
      <c r="L46" s="11" t="str">
        <f>"{'wjhy33', '"&amp;A46&amp;"*1',15,270,10 }"</f>
        <v>{'wjhy33', '武器boss1*1',15,270,10 }</v>
      </c>
      <c r="M46" s="24"/>
      <c r="N46" s="26">
        <v>1250000</v>
      </c>
      <c r="O46" s="26">
        <v>50</v>
      </c>
      <c r="P46" s="26">
        <v>7500000</v>
      </c>
      <c r="Q46" s="26">
        <f t="shared" ref="Q46:Q70" si="41">Q4*3</f>
        <v>300</v>
      </c>
      <c r="R46" s="25">
        <f t="shared" ref="R46:R70" si="42">R4</f>
        <v>350</v>
      </c>
      <c r="S46" s="29">
        <v>0.75</v>
      </c>
      <c r="T46" s="25">
        <f t="shared" ref="T46:W70" si="43">T4</f>
        <v>11.000000000000002</v>
      </c>
      <c r="U46" s="25">
        <v>0</v>
      </c>
      <c r="V46" s="25">
        <f t="shared" si="43"/>
        <v>200</v>
      </c>
      <c r="W46" s="25">
        <v>50</v>
      </c>
      <c r="X46" s="17">
        <v>20</v>
      </c>
      <c r="Y46" s="17">
        <v>450</v>
      </c>
      <c r="Z46" s="17">
        <v>0</v>
      </c>
      <c r="AA46" s="17">
        <v>0</v>
      </c>
    </row>
    <row r="47" spans="1:27" ht="15" x14ac:dyDescent="0.15">
      <c r="A47" s="12" t="s">
        <v>145</v>
      </c>
      <c r="B47" s="13" t="s">
        <v>146</v>
      </c>
      <c r="C47" s="6" t="s">
        <v>441</v>
      </c>
      <c r="D47" s="10"/>
      <c r="E47" s="10"/>
      <c r="F47" s="14">
        <v>500</v>
      </c>
      <c r="G47" s="14"/>
      <c r="H47" s="14"/>
      <c r="I47" s="14">
        <v>500</v>
      </c>
      <c r="J47" s="27">
        <v>0.1</v>
      </c>
      <c r="K47" s="21"/>
      <c r="L47" s="11" t="str">
        <f>"{'wjhy33', '"&amp;A47&amp;"*1',15,270,10 }"</f>
        <v>{'wjhy33', '防具boss1*1',15,270,10 }</v>
      </c>
      <c r="M47" s="24"/>
      <c r="N47" s="26">
        <f>N46*1.25</f>
        <v>1562500</v>
      </c>
      <c r="O47" s="26">
        <f>O46*1.25</f>
        <v>62.5</v>
      </c>
      <c r="P47" s="26">
        <f t="shared" ref="P47" si="44">P46*1.25</f>
        <v>9375000</v>
      </c>
      <c r="Q47" s="26">
        <f t="shared" si="41"/>
        <v>300</v>
      </c>
      <c r="R47" s="25">
        <f t="shared" si="42"/>
        <v>355</v>
      </c>
      <c r="S47" s="29">
        <v>0.75</v>
      </c>
      <c r="T47" s="25">
        <f t="shared" si="43"/>
        <v>100</v>
      </c>
      <c r="U47" s="25">
        <v>0</v>
      </c>
      <c r="V47" s="25">
        <f t="shared" si="43"/>
        <v>200</v>
      </c>
      <c r="W47" s="25">
        <v>75</v>
      </c>
      <c r="X47" s="17">
        <v>20</v>
      </c>
      <c r="Y47" s="17">
        <v>450</v>
      </c>
      <c r="Z47" s="17">
        <v>0</v>
      </c>
      <c r="AA47" s="17">
        <v>0</v>
      </c>
    </row>
    <row r="48" spans="1:27" ht="15" x14ac:dyDescent="0.15">
      <c r="A48" s="12" t="s">
        <v>147</v>
      </c>
      <c r="B48" s="13" t="s">
        <v>148</v>
      </c>
      <c r="C48" s="6" t="s">
        <v>441</v>
      </c>
      <c r="D48" s="10"/>
      <c r="E48" s="10"/>
      <c r="F48" s="14">
        <v>500</v>
      </c>
      <c r="G48" s="14"/>
      <c r="H48" s="14"/>
      <c r="I48" s="14">
        <v>500</v>
      </c>
      <c r="J48" s="27">
        <v>0.1</v>
      </c>
      <c r="K48" s="21"/>
      <c r="L48" s="11" t="str">
        <f t="shared" ref="L48:L64" si="45">"{'wjhy33', '"&amp;A48&amp;"*1',15,270,10 }"</f>
        <v>{'wjhy33', '武器boss2*1',15,270,10 }</v>
      </c>
      <c r="M48" s="24"/>
      <c r="N48" s="26">
        <v>9000000</v>
      </c>
      <c r="O48" s="26">
        <v>120</v>
      </c>
      <c r="P48" s="26">
        <v>18310546.875</v>
      </c>
      <c r="Q48" s="26">
        <f t="shared" si="41"/>
        <v>300</v>
      </c>
      <c r="R48" s="25">
        <f t="shared" si="42"/>
        <v>360</v>
      </c>
      <c r="S48" s="29">
        <v>0.75</v>
      </c>
      <c r="T48" s="25">
        <f t="shared" si="43"/>
        <v>200</v>
      </c>
      <c r="U48" s="25">
        <v>0</v>
      </c>
      <c r="V48" s="25">
        <f t="shared" si="43"/>
        <v>200</v>
      </c>
      <c r="W48" s="25">
        <v>100</v>
      </c>
      <c r="X48" s="17">
        <v>20</v>
      </c>
      <c r="Y48" s="17">
        <v>900</v>
      </c>
      <c r="Z48" s="17">
        <v>0</v>
      </c>
      <c r="AA48" s="17">
        <v>0</v>
      </c>
    </row>
    <row r="49" spans="1:27" ht="15" x14ac:dyDescent="0.15">
      <c r="A49" s="12" t="s">
        <v>150</v>
      </c>
      <c r="B49" s="13" t="s">
        <v>151</v>
      </c>
      <c r="C49" s="6" t="s">
        <v>441</v>
      </c>
      <c r="D49" s="10"/>
      <c r="E49" s="10"/>
      <c r="F49" s="14">
        <v>500</v>
      </c>
      <c r="G49" s="14"/>
      <c r="H49" s="14"/>
      <c r="I49" s="14">
        <v>500</v>
      </c>
      <c r="J49" s="27">
        <v>0.1</v>
      </c>
      <c r="K49" s="21"/>
      <c r="L49" s="11" t="str">
        <f t="shared" si="45"/>
        <v>{'wjhy33', '防具boss2*1',15,270,10 }</v>
      </c>
      <c r="M49" s="24"/>
      <c r="N49" s="26">
        <f>N48*1.25</f>
        <v>11250000</v>
      </c>
      <c r="O49" s="26">
        <f t="shared" ref="O49:P49" si="46">O48*1.25</f>
        <v>150</v>
      </c>
      <c r="P49" s="26">
        <f t="shared" si="46"/>
        <v>22888183.59375</v>
      </c>
      <c r="Q49" s="26">
        <f t="shared" si="41"/>
        <v>3000</v>
      </c>
      <c r="R49" s="25">
        <f t="shared" si="42"/>
        <v>365</v>
      </c>
      <c r="S49" s="29">
        <v>0.75</v>
      </c>
      <c r="T49" s="25">
        <f t="shared" si="43"/>
        <v>400</v>
      </c>
      <c r="U49" s="25">
        <v>0</v>
      </c>
      <c r="V49" s="25">
        <f t="shared" si="43"/>
        <v>200</v>
      </c>
      <c r="W49" s="25">
        <v>125</v>
      </c>
      <c r="X49" s="17">
        <v>20</v>
      </c>
      <c r="Y49" s="17">
        <v>900</v>
      </c>
      <c r="Z49" s="17">
        <v>0</v>
      </c>
      <c r="AA49" s="17">
        <v>0</v>
      </c>
    </row>
    <row r="50" spans="1:27" ht="15" x14ac:dyDescent="0.15">
      <c r="A50" s="12" t="s">
        <v>153</v>
      </c>
      <c r="B50" s="13" t="s">
        <v>154</v>
      </c>
      <c r="C50" s="6" t="s">
        <v>441</v>
      </c>
      <c r="D50" s="10"/>
      <c r="E50" s="10"/>
      <c r="F50" s="14">
        <v>500</v>
      </c>
      <c r="G50" s="14"/>
      <c r="H50" s="14"/>
      <c r="I50" s="14">
        <v>500</v>
      </c>
      <c r="J50" s="27">
        <v>0.1</v>
      </c>
      <c r="K50" s="21"/>
      <c r="L50" s="11" t="str">
        <f t="shared" si="45"/>
        <v>{'wjhy33', '武器boss3*1',15,270,10 }</v>
      </c>
      <c r="M50" s="24"/>
      <c r="N50" s="26">
        <v>25000000</v>
      </c>
      <c r="O50" s="26">
        <v>250</v>
      </c>
      <c r="P50" s="26">
        <v>50000000</v>
      </c>
      <c r="Q50" s="26">
        <f t="shared" si="41"/>
        <v>3000</v>
      </c>
      <c r="R50" s="25">
        <f t="shared" si="42"/>
        <v>370</v>
      </c>
      <c r="S50" s="29">
        <v>0.75</v>
      </c>
      <c r="T50" s="25">
        <f t="shared" si="43"/>
        <v>800</v>
      </c>
      <c r="U50" s="25">
        <v>0</v>
      </c>
      <c r="V50" s="25">
        <f t="shared" si="43"/>
        <v>200</v>
      </c>
      <c r="W50" s="25">
        <v>150</v>
      </c>
      <c r="X50" s="17">
        <v>20</v>
      </c>
      <c r="Y50" s="17">
        <v>1350</v>
      </c>
      <c r="Z50" s="17">
        <v>0</v>
      </c>
      <c r="AA50" s="17">
        <v>0</v>
      </c>
    </row>
    <row r="51" spans="1:27" ht="15" x14ac:dyDescent="0.15">
      <c r="A51" s="12" t="s">
        <v>155</v>
      </c>
      <c r="B51" s="13" t="s">
        <v>156</v>
      </c>
      <c r="C51" s="6" t="s">
        <v>441</v>
      </c>
      <c r="D51" s="10"/>
      <c r="E51" s="10"/>
      <c r="F51" s="14">
        <v>500</v>
      </c>
      <c r="G51" s="14"/>
      <c r="H51" s="14"/>
      <c r="I51" s="14">
        <v>500</v>
      </c>
      <c r="J51" s="27">
        <v>0.1</v>
      </c>
      <c r="K51" s="21"/>
      <c r="L51" s="11" t="str">
        <f t="shared" si="45"/>
        <v>{'wjhy33', '防具boss3*1',15,270,10 }</v>
      </c>
      <c r="M51" s="24"/>
      <c r="N51" s="26">
        <f>N50*1.25</f>
        <v>31250000</v>
      </c>
      <c r="O51" s="26">
        <f t="shared" ref="O51:P51" si="47">O50*1.25</f>
        <v>312.5</v>
      </c>
      <c r="P51" s="26">
        <f t="shared" si="47"/>
        <v>62500000</v>
      </c>
      <c r="Q51" s="26">
        <f t="shared" si="41"/>
        <v>30000</v>
      </c>
      <c r="R51" s="25">
        <f t="shared" si="42"/>
        <v>375</v>
      </c>
      <c r="S51" s="29">
        <v>0.75</v>
      </c>
      <c r="T51" s="25">
        <f t="shared" si="43"/>
        <v>1760</v>
      </c>
      <c r="U51" s="25">
        <v>0</v>
      </c>
      <c r="V51" s="25">
        <f t="shared" si="43"/>
        <v>200</v>
      </c>
      <c r="W51" s="25">
        <v>175</v>
      </c>
      <c r="X51" s="17">
        <v>20</v>
      </c>
      <c r="Y51" s="17">
        <v>1350</v>
      </c>
      <c r="Z51" s="17">
        <v>0</v>
      </c>
      <c r="AA51" s="17">
        <v>0</v>
      </c>
    </row>
    <row r="52" spans="1:27" ht="15" x14ac:dyDescent="0.15">
      <c r="A52" s="12" t="s">
        <v>158</v>
      </c>
      <c r="B52" s="13" t="s">
        <v>159</v>
      </c>
      <c r="C52" s="6" t="s">
        <v>441</v>
      </c>
      <c r="D52" s="10"/>
      <c r="E52" s="10"/>
      <c r="F52" s="14">
        <v>500</v>
      </c>
      <c r="G52" s="14"/>
      <c r="H52" s="14"/>
      <c r="I52" s="14">
        <v>500</v>
      </c>
      <c r="J52" s="27">
        <v>0.1</v>
      </c>
      <c r="K52" s="21"/>
      <c r="L52" s="11" t="str">
        <f t="shared" si="45"/>
        <v>{'wjhy33', '武器boss4*1',15,270,10 }</v>
      </c>
      <c r="M52" s="24"/>
      <c r="N52" s="26">
        <f>N51*2</f>
        <v>62500000</v>
      </c>
      <c r="O52" s="26">
        <v>550</v>
      </c>
      <c r="P52" s="26">
        <f>P51*2</f>
        <v>125000000</v>
      </c>
      <c r="Q52" s="26">
        <f t="shared" si="41"/>
        <v>30000</v>
      </c>
      <c r="R52" s="25">
        <f t="shared" si="42"/>
        <v>380</v>
      </c>
      <c r="S52" s="29">
        <v>0.75</v>
      </c>
      <c r="T52" s="25">
        <f t="shared" si="43"/>
        <v>2640</v>
      </c>
      <c r="U52" s="25">
        <v>0</v>
      </c>
      <c r="V52" s="25">
        <f t="shared" si="43"/>
        <v>200</v>
      </c>
      <c r="W52" s="25">
        <v>200</v>
      </c>
      <c r="X52" s="17">
        <v>20</v>
      </c>
      <c r="Y52" s="17">
        <v>1800</v>
      </c>
      <c r="Z52" s="17">
        <v>0</v>
      </c>
      <c r="AA52" s="17">
        <v>0</v>
      </c>
    </row>
    <row r="53" spans="1:27" ht="15" x14ac:dyDescent="0.15">
      <c r="A53" s="12" t="s">
        <v>161</v>
      </c>
      <c r="B53" s="13" t="s">
        <v>162</v>
      </c>
      <c r="C53" s="6" t="s">
        <v>441</v>
      </c>
      <c r="D53" s="10"/>
      <c r="E53" s="10"/>
      <c r="F53" s="14">
        <v>500</v>
      </c>
      <c r="G53" s="14"/>
      <c r="H53" s="14"/>
      <c r="I53" s="14">
        <v>500</v>
      </c>
      <c r="J53" s="27">
        <v>0.1</v>
      </c>
      <c r="K53" s="21"/>
      <c r="L53" s="11" t="str">
        <f t="shared" si="45"/>
        <v>{'wjhy33', '防具boss4*1',15,270,10 }</v>
      </c>
      <c r="M53" s="24"/>
      <c r="N53" s="26">
        <f>N52*1.25</f>
        <v>78125000</v>
      </c>
      <c r="O53" s="26">
        <f>O52*1.25</f>
        <v>687.5</v>
      </c>
      <c r="P53" s="26">
        <f>P52*1.25</f>
        <v>156250000</v>
      </c>
      <c r="Q53" s="26">
        <f t="shared" si="41"/>
        <v>30000</v>
      </c>
      <c r="R53" s="25">
        <f t="shared" si="42"/>
        <v>385</v>
      </c>
      <c r="S53" s="29">
        <v>0.75</v>
      </c>
      <c r="T53" s="25">
        <f t="shared" si="43"/>
        <v>3960</v>
      </c>
      <c r="U53" s="25">
        <v>0</v>
      </c>
      <c r="V53" s="25">
        <f t="shared" si="43"/>
        <v>200</v>
      </c>
      <c r="W53" s="25">
        <v>225</v>
      </c>
      <c r="X53" s="17">
        <v>20</v>
      </c>
      <c r="Y53" s="17">
        <v>1800</v>
      </c>
      <c r="Z53" s="17">
        <v>0</v>
      </c>
      <c r="AA53" s="17">
        <v>0</v>
      </c>
    </row>
    <row r="54" spans="1:27" ht="15" x14ac:dyDescent="0.15">
      <c r="A54" s="12" t="s">
        <v>164</v>
      </c>
      <c r="B54" s="13" t="s">
        <v>165</v>
      </c>
      <c r="C54" s="6" t="s">
        <v>441</v>
      </c>
      <c r="D54" s="10"/>
      <c r="E54" s="10"/>
      <c r="F54" s="14">
        <v>500</v>
      </c>
      <c r="G54" s="14"/>
      <c r="H54" s="14"/>
      <c r="I54" s="14">
        <v>500</v>
      </c>
      <c r="J54" s="27">
        <v>0.1</v>
      </c>
      <c r="K54" s="21"/>
      <c r="L54" s="11" t="str">
        <f t="shared" si="45"/>
        <v>{'wjhy33', '武器boss5*1',15,270,10 }</v>
      </c>
      <c r="M54" s="24"/>
      <c r="N54" s="26">
        <f>N53*1.7</f>
        <v>132812500</v>
      </c>
      <c r="O54" s="26">
        <f t="shared" ref="O54:P54" si="48">O53*1.7</f>
        <v>1168.75</v>
      </c>
      <c r="P54" s="26">
        <f t="shared" si="48"/>
        <v>265625000</v>
      </c>
      <c r="Q54" s="26">
        <f t="shared" si="41"/>
        <v>30000</v>
      </c>
      <c r="R54" s="25">
        <f t="shared" si="42"/>
        <v>390</v>
      </c>
      <c r="S54" s="29">
        <v>0.75</v>
      </c>
      <c r="T54" s="25">
        <f t="shared" si="43"/>
        <v>5940</v>
      </c>
      <c r="U54" s="25">
        <v>0</v>
      </c>
      <c r="V54" s="25">
        <f t="shared" si="43"/>
        <v>200</v>
      </c>
      <c r="W54" s="25">
        <v>250</v>
      </c>
      <c r="X54" s="17">
        <v>20</v>
      </c>
      <c r="Y54" s="17">
        <v>2250</v>
      </c>
      <c r="Z54" s="17">
        <v>0</v>
      </c>
      <c r="AA54" s="17">
        <v>0</v>
      </c>
    </row>
    <row r="55" spans="1:27" ht="15" x14ac:dyDescent="0.15">
      <c r="A55" s="12" t="s">
        <v>167</v>
      </c>
      <c r="B55" s="13" t="s">
        <v>168</v>
      </c>
      <c r="C55" s="6" t="s">
        <v>441</v>
      </c>
      <c r="D55" s="10"/>
      <c r="E55" s="10"/>
      <c r="F55" s="14">
        <v>500</v>
      </c>
      <c r="G55" s="14"/>
      <c r="H55" s="14"/>
      <c r="I55" s="14">
        <v>500</v>
      </c>
      <c r="J55" s="27">
        <v>0.1</v>
      </c>
      <c r="K55" s="21"/>
      <c r="L55" s="11" t="str">
        <f t="shared" si="45"/>
        <v>{'wjhy33', '防具boss5*1',15,270,10 }</v>
      </c>
      <c r="M55" s="24"/>
      <c r="N55" s="26">
        <f>N54*1.25</f>
        <v>166015625</v>
      </c>
      <c r="O55" s="26">
        <f t="shared" ref="O55:P55" si="49">O54*1.25</f>
        <v>1460.9375</v>
      </c>
      <c r="P55" s="26">
        <f t="shared" si="49"/>
        <v>332031250</v>
      </c>
      <c r="Q55" s="26">
        <f t="shared" si="41"/>
        <v>30000</v>
      </c>
      <c r="R55" s="25">
        <f t="shared" si="42"/>
        <v>395</v>
      </c>
      <c r="S55" s="29">
        <v>0.75</v>
      </c>
      <c r="T55" s="25">
        <f t="shared" si="43"/>
        <v>8316</v>
      </c>
      <c r="U55" s="25">
        <v>0</v>
      </c>
      <c r="V55" s="25">
        <f t="shared" si="43"/>
        <v>200</v>
      </c>
      <c r="W55" s="25">
        <v>275</v>
      </c>
      <c r="X55" s="17">
        <v>20</v>
      </c>
      <c r="Y55" s="17">
        <v>2250</v>
      </c>
      <c r="Z55" s="17">
        <v>0</v>
      </c>
      <c r="AA55" s="17">
        <v>0</v>
      </c>
    </row>
    <row r="56" spans="1:27" ht="14.25" customHeight="1" x14ac:dyDescent="0.15">
      <c r="A56" s="12" t="s">
        <v>170</v>
      </c>
      <c r="B56" s="13" t="s">
        <v>171</v>
      </c>
      <c r="C56" s="6" t="s">
        <v>441</v>
      </c>
      <c r="D56" s="10"/>
      <c r="E56" s="10"/>
      <c r="F56" s="14">
        <v>500</v>
      </c>
      <c r="G56" s="14"/>
      <c r="H56" s="14"/>
      <c r="I56" s="14">
        <v>500</v>
      </c>
      <c r="J56" s="27">
        <v>0.1</v>
      </c>
      <c r="K56" s="21"/>
      <c r="L56" s="11" t="str">
        <f t="shared" si="45"/>
        <v>{'wjhy33', '武器boss6*1',15,270,10 }</v>
      </c>
      <c r="M56" s="24"/>
      <c r="N56" s="26">
        <f>N55*1.6</f>
        <v>265625000</v>
      </c>
      <c r="O56" s="26">
        <f t="shared" ref="O56:P56" si="50">O55*1.6</f>
        <v>2337.5</v>
      </c>
      <c r="P56" s="26">
        <f t="shared" si="50"/>
        <v>531250000</v>
      </c>
      <c r="Q56" s="26">
        <f t="shared" si="41"/>
        <v>30000</v>
      </c>
      <c r="R56" s="25">
        <f t="shared" si="42"/>
        <v>400</v>
      </c>
      <c r="S56" s="29">
        <v>0.75</v>
      </c>
      <c r="T56" s="25">
        <f t="shared" si="43"/>
        <v>10810.800000000001</v>
      </c>
      <c r="U56" s="25">
        <v>0</v>
      </c>
      <c r="V56" s="25">
        <f t="shared" si="43"/>
        <v>200</v>
      </c>
      <c r="W56" s="25">
        <v>300</v>
      </c>
      <c r="X56" s="17">
        <v>20</v>
      </c>
      <c r="Y56" s="17">
        <v>2700</v>
      </c>
      <c r="Z56" s="17">
        <v>0</v>
      </c>
      <c r="AA56" s="17">
        <v>0</v>
      </c>
    </row>
    <row r="57" spans="1:27" ht="15" x14ac:dyDescent="0.15">
      <c r="A57" s="12" t="s">
        <v>173</v>
      </c>
      <c r="B57" s="13" t="s">
        <v>174</v>
      </c>
      <c r="C57" s="6" t="s">
        <v>441</v>
      </c>
      <c r="D57" s="10"/>
      <c r="E57" s="10"/>
      <c r="F57" s="14">
        <v>500</v>
      </c>
      <c r="G57" s="14"/>
      <c r="H57" s="14"/>
      <c r="I57" s="14">
        <v>500</v>
      </c>
      <c r="J57" s="27">
        <v>0.1</v>
      </c>
      <c r="K57" s="21"/>
      <c r="L57" s="11" t="str">
        <f t="shared" si="45"/>
        <v>{'wjhy33', '防具boss6*1',15,270,10 }</v>
      </c>
      <c r="M57" s="24"/>
      <c r="N57" s="26">
        <f>N56*1.1</f>
        <v>292187500</v>
      </c>
      <c r="O57" s="26">
        <f t="shared" ref="O57:P57" si="51">O56*1.1</f>
        <v>2571.25</v>
      </c>
      <c r="P57" s="26">
        <f t="shared" si="51"/>
        <v>584375000</v>
      </c>
      <c r="Q57" s="26">
        <f t="shared" si="41"/>
        <v>30000</v>
      </c>
      <c r="R57" s="25">
        <f t="shared" si="42"/>
        <v>405</v>
      </c>
      <c r="S57" s="29">
        <v>0.75</v>
      </c>
      <c r="T57" s="25">
        <f t="shared" si="43"/>
        <v>14054.04</v>
      </c>
      <c r="U57" s="25">
        <v>0</v>
      </c>
      <c r="V57" s="25">
        <f t="shared" si="43"/>
        <v>200</v>
      </c>
      <c r="W57" s="25">
        <v>325</v>
      </c>
      <c r="X57" s="17">
        <v>20</v>
      </c>
      <c r="Y57" s="17">
        <v>2700</v>
      </c>
      <c r="Z57" s="17">
        <v>0</v>
      </c>
      <c r="AA57" s="17">
        <v>0</v>
      </c>
    </row>
    <row r="58" spans="1:27" ht="15" x14ac:dyDescent="0.15">
      <c r="A58" s="12" t="s">
        <v>176</v>
      </c>
      <c r="B58" s="13" t="s">
        <v>177</v>
      </c>
      <c r="C58" s="6" t="s">
        <v>441</v>
      </c>
      <c r="D58" s="10"/>
      <c r="E58" s="10"/>
      <c r="F58" s="14">
        <v>500</v>
      </c>
      <c r="G58" s="14"/>
      <c r="H58" s="14"/>
      <c r="I58" s="14">
        <v>500</v>
      </c>
      <c r="J58" s="27">
        <v>0.1</v>
      </c>
      <c r="K58" s="21"/>
      <c r="L58" s="11" t="str">
        <f t="shared" si="45"/>
        <v>{'wjhy33', '武器boss7*1',15,270,10 }</v>
      </c>
      <c r="M58" s="24"/>
      <c r="N58" s="26">
        <f>N57*1.6</f>
        <v>467500000</v>
      </c>
      <c r="O58" s="26">
        <f t="shared" ref="O58:P58" si="52">O57*1.6</f>
        <v>4114</v>
      </c>
      <c r="P58" s="26">
        <f t="shared" si="52"/>
        <v>935000000</v>
      </c>
      <c r="Q58" s="26">
        <f t="shared" si="41"/>
        <v>30000</v>
      </c>
      <c r="R58" s="25">
        <f t="shared" si="42"/>
        <v>410</v>
      </c>
      <c r="S58" s="29">
        <v>0.75</v>
      </c>
      <c r="T58" s="25">
        <f t="shared" si="43"/>
        <v>16864.848000000002</v>
      </c>
      <c r="U58" s="25">
        <v>0</v>
      </c>
      <c r="V58" s="25">
        <f t="shared" si="43"/>
        <v>200</v>
      </c>
      <c r="W58" s="25">
        <v>350</v>
      </c>
      <c r="X58" s="17">
        <v>20</v>
      </c>
      <c r="Y58" s="17">
        <v>3150</v>
      </c>
      <c r="Z58" s="17">
        <v>0</v>
      </c>
      <c r="AA58" s="17">
        <v>0</v>
      </c>
    </row>
    <row r="59" spans="1:27" ht="15" x14ac:dyDescent="0.15">
      <c r="A59" s="12" t="s">
        <v>179</v>
      </c>
      <c r="B59" s="13" t="s">
        <v>180</v>
      </c>
      <c r="C59" s="6" t="s">
        <v>441</v>
      </c>
      <c r="D59" s="10"/>
      <c r="E59" s="10"/>
      <c r="F59" s="14">
        <v>500</v>
      </c>
      <c r="G59" s="14"/>
      <c r="H59" s="14"/>
      <c r="I59" s="14">
        <v>500</v>
      </c>
      <c r="J59" s="27">
        <v>0.1</v>
      </c>
      <c r="K59" s="21"/>
      <c r="L59" s="11" t="str">
        <f t="shared" si="45"/>
        <v>{'wjhy33', '防具boss7*1',15,270,10 }</v>
      </c>
      <c r="M59" s="24"/>
      <c r="N59" s="26">
        <f>N58*1.1</f>
        <v>514250000.00000006</v>
      </c>
      <c r="O59" s="26">
        <f t="shared" ref="O59:P59" si="53">O58*1.1</f>
        <v>4525.4000000000005</v>
      </c>
      <c r="P59" s="26">
        <f t="shared" si="53"/>
        <v>1028500000.0000001</v>
      </c>
      <c r="Q59" s="26">
        <f t="shared" si="41"/>
        <v>30000</v>
      </c>
      <c r="R59" s="25">
        <f t="shared" si="42"/>
        <v>415</v>
      </c>
      <c r="S59" s="29">
        <v>0.75</v>
      </c>
      <c r="T59" s="25">
        <f t="shared" si="43"/>
        <v>20237.817600000002</v>
      </c>
      <c r="U59" s="25">
        <v>0</v>
      </c>
      <c r="V59" s="25">
        <f t="shared" si="43"/>
        <v>200</v>
      </c>
      <c r="W59" s="25">
        <v>375</v>
      </c>
      <c r="X59" s="17">
        <v>20</v>
      </c>
      <c r="Y59" s="17">
        <v>3150</v>
      </c>
      <c r="Z59" s="17">
        <v>0</v>
      </c>
      <c r="AA59" s="17">
        <v>0</v>
      </c>
    </row>
    <row r="60" spans="1:27" ht="15" x14ac:dyDescent="0.15">
      <c r="A60" s="12" t="s">
        <v>182</v>
      </c>
      <c r="B60" s="13" t="s">
        <v>183</v>
      </c>
      <c r="C60" s="6" t="s">
        <v>441</v>
      </c>
      <c r="D60" s="10"/>
      <c r="E60" s="10"/>
      <c r="F60" s="14">
        <v>500</v>
      </c>
      <c r="G60" s="14"/>
      <c r="H60" s="14"/>
      <c r="I60" s="14">
        <v>500</v>
      </c>
      <c r="J60" s="27">
        <v>0.1</v>
      </c>
      <c r="K60" s="21"/>
      <c r="L60" s="11" t="str">
        <f t="shared" si="45"/>
        <v>{'wjhy33', '武器boss8*1',15,270,10 }</v>
      </c>
      <c r="M60" s="24"/>
      <c r="N60" s="26">
        <f>N59*1.5</f>
        <v>771375000.00000012</v>
      </c>
      <c r="O60" s="26">
        <f t="shared" ref="O60:P60" si="54">O59*1.5</f>
        <v>6788.1</v>
      </c>
      <c r="P60" s="26">
        <f t="shared" si="54"/>
        <v>1542750000.0000002</v>
      </c>
      <c r="Q60" s="26">
        <f t="shared" si="41"/>
        <v>30000</v>
      </c>
      <c r="R60" s="25">
        <f t="shared" si="42"/>
        <v>420</v>
      </c>
      <c r="S60" s="29">
        <v>0.75</v>
      </c>
      <c r="T60" s="25">
        <f t="shared" si="43"/>
        <v>24285.381119999998</v>
      </c>
      <c r="U60" s="25">
        <v>0</v>
      </c>
      <c r="V60" s="25">
        <f t="shared" si="43"/>
        <v>200</v>
      </c>
      <c r="W60" s="25">
        <v>400</v>
      </c>
      <c r="X60" s="17">
        <v>20</v>
      </c>
      <c r="Y60" s="17">
        <v>3600</v>
      </c>
      <c r="Z60" s="17">
        <v>0</v>
      </c>
      <c r="AA60" s="17">
        <v>0</v>
      </c>
    </row>
    <row r="61" spans="1:27" ht="15" x14ac:dyDescent="0.15">
      <c r="A61" s="12" t="s">
        <v>185</v>
      </c>
      <c r="B61" s="13" t="s">
        <v>186</v>
      </c>
      <c r="C61" s="6" t="s">
        <v>441</v>
      </c>
      <c r="D61" s="10"/>
      <c r="E61" s="10"/>
      <c r="F61" s="14">
        <v>500</v>
      </c>
      <c r="G61" s="14"/>
      <c r="H61" s="14"/>
      <c r="I61" s="14">
        <v>500</v>
      </c>
      <c r="J61" s="27">
        <v>0.1</v>
      </c>
      <c r="K61" s="21"/>
      <c r="L61" s="11" t="str">
        <f t="shared" si="45"/>
        <v>{'wjhy33', '防具boss8*1',15,270,10 }</v>
      </c>
      <c r="M61" s="24"/>
      <c r="N61" s="26">
        <f>N60*1.1</f>
        <v>848512500.00000024</v>
      </c>
      <c r="O61" s="26">
        <f t="shared" ref="O61:P61" si="55">O60*1.1</f>
        <v>7466.9100000000008</v>
      </c>
      <c r="P61" s="26">
        <f t="shared" si="55"/>
        <v>1697025000.0000005</v>
      </c>
      <c r="Q61" s="26">
        <f t="shared" si="41"/>
        <v>30000</v>
      </c>
      <c r="R61" s="25">
        <f t="shared" si="42"/>
        <v>425</v>
      </c>
      <c r="S61" s="29">
        <v>0.75</v>
      </c>
      <c r="T61" s="25">
        <f t="shared" si="43"/>
        <v>33999.533567999999</v>
      </c>
      <c r="U61" s="25">
        <v>0</v>
      </c>
      <c r="V61" s="25">
        <f t="shared" si="43"/>
        <v>200</v>
      </c>
      <c r="W61" s="25">
        <v>425</v>
      </c>
      <c r="X61" s="17">
        <v>20</v>
      </c>
      <c r="Y61" s="17">
        <v>3600</v>
      </c>
      <c r="Z61" s="17">
        <v>0</v>
      </c>
      <c r="AA61" s="17">
        <v>0</v>
      </c>
    </row>
    <row r="62" spans="1:27" ht="15" x14ac:dyDescent="0.15">
      <c r="A62" s="12" t="s">
        <v>188</v>
      </c>
      <c r="B62" s="13" t="s">
        <v>189</v>
      </c>
      <c r="C62" s="6" t="s">
        <v>441</v>
      </c>
      <c r="D62" s="10"/>
      <c r="E62" s="10"/>
      <c r="F62" s="14">
        <v>500</v>
      </c>
      <c r="G62" s="14"/>
      <c r="H62" s="14"/>
      <c r="I62" s="14">
        <v>500</v>
      </c>
      <c r="J62" s="27">
        <v>0.1</v>
      </c>
      <c r="K62" s="21"/>
      <c r="L62" s="11" t="str">
        <f t="shared" si="45"/>
        <v>{'wjhy33', '武器boss9*1',15,270,10 }</v>
      </c>
      <c r="M62" s="24"/>
      <c r="N62" s="26">
        <f>N61*1.5</f>
        <v>1272768750.0000005</v>
      </c>
      <c r="O62" s="26">
        <f t="shared" ref="O62:P62" si="56">O61*1.5</f>
        <v>11200.365000000002</v>
      </c>
      <c r="P62" s="26">
        <f t="shared" si="56"/>
        <v>2545537500.000001</v>
      </c>
      <c r="Q62" s="26">
        <f t="shared" si="41"/>
        <v>30000</v>
      </c>
      <c r="R62" s="25">
        <f t="shared" si="42"/>
        <v>430</v>
      </c>
      <c r="S62" s="29">
        <v>0.75</v>
      </c>
      <c r="T62" s="25">
        <f t="shared" si="43"/>
        <v>44199.393638399997</v>
      </c>
      <c r="U62" s="25">
        <v>0</v>
      </c>
      <c r="V62" s="25">
        <f t="shared" si="43"/>
        <v>200</v>
      </c>
      <c r="W62" s="25">
        <v>450</v>
      </c>
      <c r="X62" s="17">
        <v>20</v>
      </c>
      <c r="Y62" s="17">
        <v>4050</v>
      </c>
      <c r="Z62" s="17">
        <v>10</v>
      </c>
      <c r="AA62" s="17">
        <v>250</v>
      </c>
    </row>
    <row r="63" spans="1:27" ht="15" x14ac:dyDescent="0.15">
      <c r="A63" s="12" t="s">
        <v>191</v>
      </c>
      <c r="B63" s="13" t="s">
        <v>192</v>
      </c>
      <c r="C63" s="6" t="s">
        <v>441</v>
      </c>
      <c r="D63" s="10"/>
      <c r="E63" s="10"/>
      <c r="F63" s="14">
        <v>500</v>
      </c>
      <c r="G63" s="14"/>
      <c r="H63" s="14"/>
      <c r="I63" s="14">
        <v>500</v>
      </c>
      <c r="J63" s="27">
        <v>0.1</v>
      </c>
      <c r="K63" s="21"/>
      <c r="L63" s="11" t="str">
        <f t="shared" si="45"/>
        <v>{'wjhy33', '防具boss9*1',15,270,10 }</v>
      </c>
      <c r="M63" s="24"/>
      <c r="N63" s="26">
        <f>N62*1.1</f>
        <v>1400045625.0000007</v>
      </c>
      <c r="O63" s="26">
        <f t="shared" ref="O63:P63" si="57">O62*1.1</f>
        <v>12320.401500000004</v>
      </c>
      <c r="P63" s="26">
        <f t="shared" si="57"/>
        <v>2800091250.0000014</v>
      </c>
      <c r="Q63" s="26">
        <f t="shared" si="41"/>
        <v>30000</v>
      </c>
      <c r="R63" s="25">
        <f t="shared" si="42"/>
        <v>435</v>
      </c>
      <c r="S63" s="29">
        <v>0.75</v>
      </c>
      <c r="T63" s="25">
        <f t="shared" si="43"/>
        <v>53039.272366079997</v>
      </c>
      <c r="U63" s="25">
        <v>0</v>
      </c>
      <c r="V63" s="25">
        <f t="shared" si="43"/>
        <v>200</v>
      </c>
      <c r="W63" s="25">
        <v>475</v>
      </c>
      <c r="X63" s="17">
        <v>20</v>
      </c>
      <c r="Y63" s="17">
        <v>4050</v>
      </c>
      <c r="Z63" s="17">
        <v>10</v>
      </c>
      <c r="AA63" s="17">
        <v>250</v>
      </c>
    </row>
    <row r="64" spans="1:27" ht="15" x14ac:dyDescent="0.15">
      <c r="A64" s="12" t="s">
        <v>194</v>
      </c>
      <c r="B64" s="13" t="s">
        <v>195</v>
      </c>
      <c r="C64" s="6" t="s">
        <v>441</v>
      </c>
      <c r="D64" s="10"/>
      <c r="E64" s="10"/>
      <c r="F64" s="14">
        <v>500</v>
      </c>
      <c r="G64" s="14"/>
      <c r="H64" s="14"/>
      <c r="I64" s="14">
        <v>500</v>
      </c>
      <c r="J64" s="27">
        <v>0.1</v>
      </c>
      <c r="K64" s="21"/>
      <c r="L64" s="11" t="str">
        <f t="shared" si="45"/>
        <v>{'wjhy33', '武器boss10*1',15,270,10 }</v>
      </c>
      <c r="M64" s="24"/>
      <c r="N64" s="26">
        <f>N63*1.5</f>
        <v>2100068437.500001</v>
      </c>
      <c r="O64" s="26">
        <f t="shared" ref="O64:P64" si="58">O63*1.5</f>
        <v>18480.602250000004</v>
      </c>
      <c r="P64" s="26">
        <f t="shared" si="58"/>
        <v>4200136875.0000019</v>
      </c>
      <c r="Q64" s="26">
        <f t="shared" si="41"/>
        <v>30000</v>
      </c>
      <c r="R64" s="25">
        <f t="shared" si="42"/>
        <v>440</v>
      </c>
      <c r="S64" s="29">
        <v>0.75</v>
      </c>
      <c r="T64" s="25">
        <f t="shared" si="43"/>
        <v>63647.126839295983</v>
      </c>
      <c r="U64" s="25">
        <v>0</v>
      </c>
      <c r="V64" s="25">
        <f t="shared" si="43"/>
        <v>200</v>
      </c>
      <c r="W64" s="25">
        <v>500</v>
      </c>
      <c r="X64" s="17">
        <v>20</v>
      </c>
      <c r="Y64" s="17">
        <v>4500</v>
      </c>
      <c r="Z64" s="17">
        <v>20</v>
      </c>
      <c r="AA64" s="17">
        <v>500</v>
      </c>
    </row>
    <row r="65" spans="1:27" ht="15" x14ac:dyDescent="0.15">
      <c r="A65" s="12" t="s">
        <v>197</v>
      </c>
      <c r="B65" s="13" t="s">
        <v>198</v>
      </c>
      <c r="C65" s="6" t="s">
        <v>441</v>
      </c>
      <c r="D65" s="10"/>
      <c r="E65" s="10"/>
      <c r="F65" s="14">
        <v>500</v>
      </c>
      <c r="G65" s="14"/>
      <c r="H65" s="14"/>
      <c r="I65" s="14">
        <v>500</v>
      </c>
      <c r="J65" s="27">
        <v>0.1</v>
      </c>
      <c r="K65" s="21"/>
      <c r="L65" s="10"/>
      <c r="M65" s="24"/>
      <c r="N65" s="26">
        <f>N64*1.1</f>
        <v>2310075281.2500014</v>
      </c>
      <c r="O65" s="26">
        <f>O64*1.1</f>
        <v>20328.662475000005</v>
      </c>
      <c r="P65" s="26">
        <f t="shared" ref="P65" si="59">P64*1.1</f>
        <v>4620150562.5000029</v>
      </c>
      <c r="Q65" s="26">
        <f t="shared" si="41"/>
        <v>30000</v>
      </c>
      <c r="R65" s="25">
        <f t="shared" si="42"/>
        <v>445</v>
      </c>
      <c r="S65" s="29">
        <v>0.75</v>
      </c>
      <c r="T65" s="25">
        <f t="shared" si="43"/>
        <v>76376.552207155182</v>
      </c>
      <c r="U65" s="25">
        <v>0</v>
      </c>
      <c r="V65" s="25">
        <f t="shared" si="43"/>
        <v>200</v>
      </c>
      <c r="W65" s="25">
        <v>525</v>
      </c>
      <c r="X65" s="17">
        <v>20</v>
      </c>
      <c r="Y65" s="17">
        <v>4500</v>
      </c>
      <c r="Z65" s="17">
        <v>20</v>
      </c>
      <c r="AA65" s="17">
        <v>500</v>
      </c>
    </row>
    <row r="66" spans="1:27" ht="15" x14ac:dyDescent="0.15">
      <c r="A66" s="12" t="s">
        <v>200</v>
      </c>
      <c r="B66" s="13" t="s">
        <v>201</v>
      </c>
      <c r="C66" s="6" t="s">
        <v>441</v>
      </c>
      <c r="D66" s="10"/>
      <c r="E66" s="10"/>
      <c r="F66" s="14">
        <v>500</v>
      </c>
      <c r="G66" s="14"/>
      <c r="H66" s="14"/>
      <c r="I66" s="14">
        <v>500</v>
      </c>
      <c r="J66" s="27">
        <v>0.1</v>
      </c>
      <c r="K66" s="21"/>
      <c r="L66" s="10"/>
      <c r="M66" s="24"/>
      <c r="N66" s="26">
        <f>N24*3</f>
        <v>1458097814.8638716</v>
      </c>
      <c r="O66" s="26">
        <v>29417.697965994601</v>
      </c>
      <c r="P66" s="26">
        <f>P24*3</f>
        <v>3207815192.7005177</v>
      </c>
      <c r="Q66" s="26">
        <f t="shared" si="41"/>
        <v>30000</v>
      </c>
      <c r="R66" s="25">
        <f t="shared" si="42"/>
        <v>450</v>
      </c>
      <c r="S66" s="29">
        <v>0.75</v>
      </c>
      <c r="T66" s="25">
        <f t="shared" si="43"/>
        <v>106927.17309001726</v>
      </c>
      <c r="U66" s="25">
        <v>0</v>
      </c>
      <c r="V66" s="25">
        <f t="shared" si="43"/>
        <v>200</v>
      </c>
      <c r="W66" s="25">
        <v>500</v>
      </c>
      <c r="X66" s="17">
        <v>20</v>
      </c>
      <c r="Y66" s="17">
        <v>900</v>
      </c>
      <c r="Z66" s="17">
        <v>0</v>
      </c>
      <c r="AA66" s="17">
        <v>0</v>
      </c>
    </row>
    <row r="67" spans="1:27" ht="15" x14ac:dyDescent="0.15">
      <c r="A67" s="12" t="s">
        <v>200</v>
      </c>
      <c r="B67" s="13" t="s">
        <v>202</v>
      </c>
      <c r="C67" s="6" t="s">
        <v>441</v>
      </c>
      <c r="D67" s="10"/>
      <c r="E67" s="10"/>
      <c r="F67" s="14">
        <v>500</v>
      </c>
      <c r="G67" s="14"/>
      <c r="H67" s="14"/>
      <c r="I67" s="14">
        <v>500</v>
      </c>
      <c r="J67" s="27">
        <v>0.1</v>
      </c>
      <c r="K67" s="21"/>
      <c r="L67" s="10"/>
      <c r="M67" s="24"/>
      <c r="N67" s="26">
        <f>N25*3</f>
        <v>1895527159.3230333</v>
      </c>
      <c r="O67" s="26">
        <v>21572.9785083961</v>
      </c>
      <c r="P67" s="26">
        <f>P25*3</f>
        <v>4170159750.5106726</v>
      </c>
      <c r="Q67" s="26">
        <f t="shared" si="41"/>
        <v>30000</v>
      </c>
      <c r="R67" s="25">
        <f t="shared" si="42"/>
        <v>455</v>
      </c>
      <c r="S67" s="29">
        <v>0.75</v>
      </c>
      <c r="T67" s="25">
        <f t="shared" si="43"/>
        <v>139005.32501702243</v>
      </c>
      <c r="U67" s="25">
        <v>0</v>
      </c>
      <c r="V67" s="25">
        <f t="shared" si="43"/>
        <v>200</v>
      </c>
      <c r="W67" s="25">
        <f t="shared" si="43"/>
        <v>300</v>
      </c>
      <c r="X67" s="17">
        <v>20</v>
      </c>
      <c r="Y67" s="17">
        <v>900</v>
      </c>
      <c r="Z67" s="17">
        <v>20</v>
      </c>
      <c r="AA67" s="17">
        <v>500</v>
      </c>
    </row>
    <row r="68" spans="1:27" ht="15" x14ac:dyDescent="0.15">
      <c r="A68" s="12" t="s">
        <v>200</v>
      </c>
      <c r="B68" s="13" t="s">
        <v>203</v>
      </c>
      <c r="C68" s="6" t="s">
        <v>441</v>
      </c>
      <c r="D68" s="10"/>
      <c r="E68" s="10"/>
      <c r="F68" s="14">
        <v>500</v>
      </c>
      <c r="G68" s="14"/>
      <c r="H68" s="14"/>
      <c r="I68" s="14">
        <v>500</v>
      </c>
      <c r="J68" s="27">
        <v>0.1</v>
      </c>
      <c r="K68" s="21"/>
      <c r="L68" s="10"/>
      <c r="M68" s="24"/>
      <c r="N68" s="26">
        <f>N26*3</f>
        <v>2464185307.1199431</v>
      </c>
      <c r="O68" s="26">
        <v>23730.276359235701</v>
      </c>
      <c r="P68" s="26">
        <f>P26*3</f>
        <v>5421207675.6638746</v>
      </c>
      <c r="Q68" s="26">
        <f t="shared" si="41"/>
        <v>30000</v>
      </c>
      <c r="R68" s="25">
        <f t="shared" si="42"/>
        <v>460</v>
      </c>
      <c r="S68" s="29">
        <v>0.75</v>
      </c>
      <c r="T68" s="25">
        <f t="shared" si="43"/>
        <v>180706.92252212917</v>
      </c>
      <c r="U68" s="25">
        <v>0</v>
      </c>
      <c r="V68" s="25">
        <f t="shared" si="43"/>
        <v>200</v>
      </c>
      <c r="W68" s="25">
        <f t="shared" si="43"/>
        <v>300</v>
      </c>
      <c r="X68" s="17">
        <v>20</v>
      </c>
      <c r="Y68" s="17">
        <v>900</v>
      </c>
      <c r="Z68" s="17">
        <v>20</v>
      </c>
      <c r="AA68" s="17">
        <v>500</v>
      </c>
    </row>
    <row r="69" spans="1:27" ht="15" x14ac:dyDescent="0.15">
      <c r="A69" s="12" t="s">
        <v>200</v>
      </c>
      <c r="B69" s="13" t="s">
        <v>204</v>
      </c>
      <c r="C69" s="6" t="s">
        <v>441</v>
      </c>
      <c r="D69" s="10"/>
      <c r="E69" s="10"/>
      <c r="F69" s="14">
        <v>500</v>
      </c>
      <c r="G69" s="14"/>
      <c r="H69" s="14"/>
      <c r="I69" s="14">
        <v>500</v>
      </c>
      <c r="J69" s="27">
        <v>0.1</v>
      </c>
      <c r="K69" s="21"/>
      <c r="L69" s="10"/>
      <c r="M69" s="24"/>
      <c r="N69" s="26">
        <f>N27*3</f>
        <v>3203440899.2559261</v>
      </c>
      <c r="O69" s="26">
        <v>26103.303995159298</v>
      </c>
      <c r="P69" s="26">
        <f>P27*3</f>
        <v>7047569978.3630371</v>
      </c>
      <c r="Q69" s="26">
        <f t="shared" si="41"/>
        <v>30000</v>
      </c>
      <c r="R69" s="25">
        <f t="shared" si="42"/>
        <v>465</v>
      </c>
      <c r="S69" s="29">
        <v>0.75</v>
      </c>
      <c r="T69" s="25">
        <f t="shared" si="43"/>
        <v>234918.99927876794</v>
      </c>
      <c r="U69" s="25">
        <v>0</v>
      </c>
      <c r="V69" s="25">
        <f t="shared" si="43"/>
        <v>200</v>
      </c>
      <c r="W69" s="25">
        <f t="shared" si="43"/>
        <v>300</v>
      </c>
      <c r="X69" s="17">
        <v>20</v>
      </c>
      <c r="Y69" s="17">
        <v>900</v>
      </c>
      <c r="Z69" s="17">
        <v>20</v>
      </c>
      <c r="AA69" s="17">
        <v>500</v>
      </c>
    </row>
    <row r="70" spans="1:27" ht="15" x14ac:dyDescent="0.15">
      <c r="A70" s="12" t="s">
        <v>200</v>
      </c>
      <c r="B70" s="13" t="s">
        <v>205</v>
      </c>
      <c r="C70" s="6" t="s">
        <v>441</v>
      </c>
      <c r="D70" s="10"/>
      <c r="E70" s="10"/>
      <c r="F70" s="14">
        <v>500</v>
      </c>
      <c r="G70" s="14"/>
      <c r="H70" s="14"/>
      <c r="I70" s="14">
        <v>500</v>
      </c>
      <c r="J70" s="27">
        <v>0.1</v>
      </c>
      <c r="K70" s="21"/>
      <c r="L70" s="10"/>
      <c r="M70" s="24"/>
      <c r="N70" s="26">
        <f>N28*3</f>
        <v>3844129079.107111</v>
      </c>
      <c r="O70" s="26">
        <v>28713.634394675199</v>
      </c>
      <c r="P70" s="26">
        <f>P28*3</f>
        <v>8457083974.0356445</v>
      </c>
      <c r="Q70" s="26">
        <f t="shared" si="41"/>
        <v>30000</v>
      </c>
      <c r="R70" s="25">
        <f t="shared" si="42"/>
        <v>470</v>
      </c>
      <c r="S70" s="29">
        <v>0.75</v>
      </c>
      <c r="T70" s="25">
        <f t="shared" si="43"/>
        <v>281902.79913452151</v>
      </c>
      <c r="U70" s="25">
        <v>0</v>
      </c>
      <c r="V70" s="25">
        <f t="shared" si="43"/>
        <v>200</v>
      </c>
      <c r="W70" s="25">
        <f t="shared" si="43"/>
        <v>300</v>
      </c>
      <c r="X70" s="17">
        <v>20</v>
      </c>
      <c r="Y70" s="17">
        <v>900</v>
      </c>
      <c r="Z70" s="17">
        <v>20</v>
      </c>
      <c r="AA70" s="17">
        <v>500</v>
      </c>
    </row>
    <row r="71" spans="1:27" ht="15" x14ac:dyDescent="0.15">
      <c r="A71" s="12" t="s">
        <v>206</v>
      </c>
      <c r="B71" s="13" t="s">
        <v>207</v>
      </c>
      <c r="C71" s="6" t="s">
        <v>441</v>
      </c>
      <c r="D71" s="10"/>
      <c r="E71" s="10"/>
      <c r="F71" s="14">
        <v>500</v>
      </c>
      <c r="G71" s="14"/>
      <c r="H71" s="14"/>
      <c r="I71" s="14">
        <v>500</v>
      </c>
      <c r="J71" s="27">
        <v>0.1</v>
      </c>
      <c r="K71" s="21"/>
      <c r="L71" s="10"/>
      <c r="M71" s="24"/>
      <c r="N71" s="26">
        <f>17578125*0.9</f>
        <v>15820312.5</v>
      </c>
      <c r="O71" s="26">
        <v>386.23809814453102</v>
      </c>
      <c r="P71" s="26">
        <f>35762786.8652344*2</f>
        <v>71525573.730468795</v>
      </c>
      <c r="Q71" s="26">
        <f>Q48</f>
        <v>300</v>
      </c>
      <c r="R71" s="26">
        <f>R48</f>
        <v>360</v>
      </c>
      <c r="S71" s="29">
        <v>0.75</v>
      </c>
      <c r="T71" s="26">
        <f>T48</f>
        <v>200</v>
      </c>
      <c r="U71" s="25">
        <v>0</v>
      </c>
      <c r="V71" s="26">
        <f>V48</f>
        <v>200</v>
      </c>
      <c r="W71" s="26">
        <f>W48</f>
        <v>100</v>
      </c>
      <c r="X71" s="17">
        <v>20</v>
      </c>
      <c r="Y71" s="17">
        <v>900</v>
      </c>
      <c r="Z71" s="17">
        <v>0</v>
      </c>
      <c r="AA71" s="17">
        <v>0</v>
      </c>
    </row>
    <row r="72" spans="1:27" ht="15" x14ac:dyDescent="0.15">
      <c r="A72" s="12" t="s">
        <v>208</v>
      </c>
      <c r="B72" s="13" t="s">
        <v>209</v>
      </c>
      <c r="C72" s="6" t="s">
        <v>441</v>
      </c>
      <c r="D72" s="10"/>
      <c r="E72" s="10"/>
      <c r="F72" s="14">
        <v>500</v>
      </c>
      <c r="G72" s="14"/>
      <c r="H72" s="14"/>
      <c r="I72" s="14">
        <v>500</v>
      </c>
      <c r="J72" s="27">
        <v>0.1</v>
      </c>
      <c r="K72" s="21"/>
      <c r="L72" s="10"/>
      <c r="M72" s="24"/>
      <c r="N72" s="26">
        <f t="shared" ref="N72:O72" si="60">N54*0.9</f>
        <v>119531250</v>
      </c>
      <c r="O72" s="26">
        <f t="shared" si="60"/>
        <v>1051.875</v>
      </c>
      <c r="P72" s="26">
        <f>P54*0.9*2</f>
        <v>478125000</v>
      </c>
      <c r="Q72" s="26">
        <f>Q51</f>
        <v>30000</v>
      </c>
      <c r="R72" s="26">
        <f>R51</f>
        <v>375</v>
      </c>
      <c r="S72" s="29">
        <v>0.75</v>
      </c>
      <c r="T72" s="26">
        <f>T51</f>
        <v>1760</v>
      </c>
      <c r="U72" s="25">
        <v>0</v>
      </c>
      <c r="V72" s="26">
        <f>V51</f>
        <v>200</v>
      </c>
      <c r="W72" s="26">
        <v>200</v>
      </c>
      <c r="X72" s="17">
        <v>20</v>
      </c>
      <c r="Y72" s="17">
        <v>2304</v>
      </c>
      <c r="Z72" s="17">
        <v>0</v>
      </c>
      <c r="AA72" s="17">
        <v>0</v>
      </c>
    </row>
    <row r="73" spans="1:27" ht="15" x14ac:dyDescent="0.15">
      <c r="A73" s="12" t="s">
        <v>211</v>
      </c>
      <c r="B73" s="13" t="s">
        <v>212</v>
      </c>
      <c r="C73" s="6" t="s">
        <v>441</v>
      </c>
      <c r="D73" s="10"/>
      <c r="E73" s="10"/>
      <c r="F73" s="14">
        <v>500</v>
      </c>
      <c r="G73" s="14"/>
      <c r="H73" s="14"/>
      <c r="I73" s="14">
        <v>500</v>
      </c>
      <c r="J73" s="27">
        <v>0.1</v>
      </c>
      <c r="K73" s="21"/>
      <c r="L73" s="10"/>
      <c r="M73" s="24"/>
      <c r="N73" s="26">
        <f>N61*0.9*0.8</f>
        <v>610929000.00000024</v>
      </c>
      <c r="O73" s="26">
        <f t="shared" ref="O73" si="61">O61*0.9*0.8</f>
        <v>5376.1752000000015</v>
      </c>
      <c r="P73" s="26">
        <f>P61*0.9*0.8*2</f>
        <v>2443716000.000001</v>
      </c>
      <c r="Q73" s="26">
        <f>Q55</f>
        <v>30000</v>
      </c>
      <c r="R73" s="26">
        <f>R55</f>
        <v>395</v>
      </c>
      <c r="S73" s="29">
        <v>0.75</v>
      </c>
      <c r="T73" s="26">
        <f>T55</f>
        <v>8316</v>
      </c>
      <c r="U73" s="25">
        <v>0</v>
      </c>
      <c r="V73" s="26">
        <f>V55</f>
        <v>200</v>
      </c>
      <c r="W73" s="26">
        <v>300</v>
      </c>
      <c r="X73" s="17">
        <v>20</v>
      </c>
      <c r="Y73" s="17">
        <v>3000</v>
      </c>
      <c r="Z73" s="17">
        <v>0</v>
      </c>
      <c r="AA73" s="17">
        <v>0</v>
      </c>
    </row>
    <row r="74" spans="1:27" ht="15" x14ac:dyDescent="0.15">
      <c r="A74" s="12" t="s">
        <v>214</v>
      </c>
      <c r="B74" s="13" t="s">
        <v>215</v>
      </c>
      <c r="C74" s="6" t="s">
        <v>441</v>
      </c>
      <c r="D74" s="10"/>
      <c r="E74" s="10"/>
      <c r="F74" s="14">
        <v>500</v>
      </c>
      <c r="G74" s="14"/>
      <c r="H74" s="14"/>
      <c r="I74" s="14">
        <v>500</v>
      </c>
      <c r="J74" s="27">
        <v>0.1</v>
      </c>
      <c r="K74" s="21"/>
      <c r="L74" s="10"/>
      <c r="M74" s="24"/>
      <c r="N74" s="26">
        <f>N65*0.9*0.8</f>
        <v>1663254202.5000012</v>
      </c>
      <c r="O74" s="26">
        <f t="shared" ref="O74" si="62">O65*0.9*0.8</f>
        <v>14636.636982000005</v>
      </c>
      <c r="P74" s="26">
        <f>P65*0.9*0.8*2</f>
        <v>6653016810.0000048</v>
      </c>
      <c r="Q74" s="26">
        <f>Q60*1</f>
        <v>30000</v>
      </c>
      <c r="R74" s="26">
        <f>R60*1</f>
        <v>420</v>
      </c>
      <c r="S74" s="29">
        <v>0.75</v>
      </c>
      <c r="T74" s="26">
        <f>T60*1</f>
        <v>24285.381119999998</v>
      </c>
      <c r="U74" s="25">
        <v>0</v>
      </c>
      <c r="V74" s="26">
        <f>V60*1</f>
        <v>200</v>
      </c>
      <c r="W74" s="26">
        <v>500</v>
      </c>
      <c r="X74" s="17">
        <v>20</v>
      </c>
      <c r="Y74" s="17">
        <v>4000</v>
      </c>
      <c r="Z74" s="17">
        <v>20</v>
      </c>
      <c r="AA74" s="17">
        <v>500</v>
      </c>
    </row>
    <row r="75" spans="1:27" ht="15" x14ac:dyDescent="0.15">
      <c r="A75" s="12" t="s">
        <v>217</v>
      </c>
      <c r="B75" s="13" t="s">
        <v>218</v>
      </c>
      <c r="C75" s="6" t="s">
        <v>441</v>
      </c>
      <c r="D75" s="10"/>
      <c r="E75" s="10"/>
      <c r="F75" s="14">
        <v>500</v>
      </c>
      <c r="G75" s="14"/>
      <c r="H75" s="14"/>
      <c r="I75" s="14">
        <v>500</v>
      </c>
      <c r="J75" s="27">
        <v>0.1</v>
      </c>
      <c r="K75" s="21"/>
      <c r="L75" s="10"/>
      <c r="M75" s="24"/>
      <c r="N75" s="26">
        <v>39062500</v>
      </c>
      <c r="O75" s="26">
        <v>316.40625</v>
      </c>
      <c r="P75" s="26">
        <v>78125000</v>
      </c>
      <c r="Q75" s="26">
        <f>Q49*1</f>
        <v>3000</v>
      </c>
      <c r="R75" s="26">
        <f>R49*1</f>
        <v>365</v>
      </c>
      <c r="S75" s="29">
        <v>0.75</v>
      </c>
      <c r="T75" s="26">
        <f>T49*1</f>
        <v>400</v>
      </c>
      <c r="U75" s="25">
        <v>0</v>
      </c>
      <c r="V75" s="26">
        <f>V49*1</f>
        <v>200</v>
      </c>
      <c r="W75" s="26">
        <v>100</v>
      </c>
      <c r="X75" s="17">
        <v>20</v>
      </c>
      <c r="Y75" s="17">
        <v>1382.4</v>
      </c>
      <c r="Z75" s="17">
        <v>0</v>
      </c>
      <c r="AA75" s="17">
        <v>0</v>
      </c>
    </row>
    <row r="76" spans="1:27" ht="15" x14ac:dyDescent="0.15">
      <c r="A76" s="12" t="s">
        <v>220</v>
      </c>
      <c r="B76" s="13" t="s">
        <v>221</v>
      </c>
      <c r="C76" s="6" t="s">
        <v>441</v>
      </c>
      <c r="D76" s="10"/>
      <c r="E76" s="10"/>
      <c r="F76" s="14">
        <v>500</v>
      </c>
      <c r="G76" s="14"/>
      <c r="H76" s="14"/>
      <c r="I76" s="14">
        <v>500</v>
      </c>
      <c r="J76" s="27">
        <v>0.1</v>
      </c>
      <c r="K76" s="21"/>
      <c r="L76" s="10"/>
      <c r="M76" s="24"/>
      <c r="N76" s="26">
        <f t="shared" ref="N76:P76" si="63">N55*1.1</f>
        <v>182617187.5</v>
      </c>
      <c r="O76" s="26">
        <f t="shared" si="63"/>
        <v>1607.0312500000002</v>
      </c>
      <c r="P76" s="26">
        <f t="shared" si="63"/>
        <v>365234375</v>
      </c>
      <c r="Q76" s="26">
        <f>Q53*1</f>
        <v>30000</v>
      </c>
      <c r="R76" s="26">
        <f>R53*1</f>
        <v>385</v>
      </c>
      <c r="S76" s="29">
        <v>0.75</v>
      </c>
      <c r="T76" s="26">
        <f>T53*1</f>
        <v>3960</v>
      </c>
      <c r="U76" s="25">
        <v>0</v>
      </c>
      <c r="V76" s="26">
        <f>V53*1</f>
        <v>200</v>
      </c>
      <c r="W76" s="26">
        <v>200</v>
      </c>
      <c r="X76" s="17">
        <v>20</v>
      </c>
      <c r="Y76" s="17">
        <v>2534.4</v>
      </c>
      <c r="Z76" s="17">
        <v>0</v>
      </c>
      <c r="AA76" s="17">
        <v>0</v>
      </c>
    </row>
    <row r="77" spans="1:27" ht="15" x14ac:dyDescent="0.15">
      <c r="A77" s="12" t="s">
        <v>223</v>
      </c>
      <c r="B77" s="13" t="s">
        <v>224</v>
      </c>
      <c r="C77" s="6" t="s">
        <v>441</v>
      </c>
      <c r="D77" s="10"/>
      <c r="E77" s="10"/>
      <c r="F77" s="14">
        <v>500</v>
      </c>
      <c r="G77" s="14"/>
      <c r="H77" s="14"/>
      <c r="I77" s="14">
        <v>500</v>
      </c>
      <c r="J77" s="27">
        <v>0.1</v>
      </c>
      <c r="K77" s="21"/>
      <c r="L77" s="10"/>
      <c r="M77" s="24"/>
      <c r="N77" s="26">
        <f t="shared" ref="N77:P77" si="64">N63*0.9</f>
        <v>1260041062.5000007</v>
      </c>
      <c r="O77" s="26">
        <f t="shared" si="64"/>
        <v>11088.361350000003</v>
      </c>
      <c r="P77" s="26">
        <f t="shared" si="64"/>
        <v>2520082125.0000014</v>
      </c>
      <c r="Q77" s="26">
        <f>Q58</f>
        <v>30000</v>
      </c>
      <c r="R77" s="26">
        <f>R58</f>
        <v>410</v>
      </c>
      <c r="S77" s="29">
        <v>0.75</v>
      </c>
      <c r="T77" s="26">
        <f>T58</f>
        <v>16864.848000000002</v>
      </c>
      <c r="U77" s="25">
        <v>0</v>
      </c>
      <c r="V77" s="26">
        <f>V58</f>
        <v>200</v>
      </c>
      <c r="W77" s="26">
        <v>300</v>
      </c>
      <c r="X77" s="17">
        <v>20</v>
      </c>
      <c r="Y77" s="17">
        <v>3600</v>
      </c>
      <c r="Z77" s="17">
        <v>10</v>
      </c>
      <c r="AA77" s="17">
        <v>250</v>
      </c>
    </row>
    <row r="78" spans="1:27" ht="15" x14ac:dyDescent="0.15">
      <c r="A78" s="12" t="s">
        <v>225</v>
      </c>
      <c r="B78" s="13" t="s">
        <v>226</v>
      </c>
      <c r="C78" s="6" t="s">
        <v>441</v>
      </c>
      <c r="D78" s="10"/>
      <c r="E78" s="10"/>
      <c r="F78" s="14">
        <v>500</v>
      </c>
      <c r="G78" s="14"/>
      <c r="H78" s="14"/>
      <c r="I78" s="14">
        <v>500</v>
      </c>
      <c r="J78" s="27">
        <v>0.1</v>
      </c>
      <c r="K78" s="21"/>
      <c r="L78" s="10"/>
      <c r="M78" s="24"/>
      <c r="N78" s="26">
        <f t="shared" ref="N78:P78" si="65">N65*1.2</f>
        <v>2772090337.5000014</v>
      </c>
      <c r="O78" s="26">
        <f t="shared" si="65"/>
        <v>24394.394970000005</v>
      </c>
      <c r="P78" s="26">
        <f t="shared" si="65"/>
        <v>5544180675.0000029</v>
      </c>
      <c r="Q78" s="26">
        <f>Q64</f>
        <v>30000</v>
      </c>
      <c r="R78" s="26">
        <f>R64</f>
        <v>440</v>
      </c>
      <c r="S78" s="29">
        <v>0.75</v>
      </c>
      <c r="T78" s="26">
        <f>T64</f>
        <v>63647.126839295983</v>
      </c>
      <c r="U78" s="25">
        <v>0</v>
      </c>
      <c r="V78" s="26">
        <f>V64</f>
        <v>200</v>
      </c>
      <c r="W78" s="26">
        <f>W64</f>
        <v>500</v>
      </c>
      <c r="X78" s="17">
        <v>20</v>
      </c>
      <c r="Y78" s="17">
        <v>5529.6</v>
      </c>
      <c r="Z78" s="17">
        <v>20</v>
      </c>
      <c r="AA78" s="17">
        <v>500</v>
      </c>
    </row>
    <row r="79" spans="1:27" ht="15" x14ac:dyDescent="0.15">
      <c r="A79" s="12" t="s">
        <v>228</v>
      </c>
      <c r="B79" s="13" t="s">
        <v>229</v>
      </c>
      <c r="C79" s="6" t="s">
        <v>441</v>
      </c>
      <c r="D79" s="10"/>
      <c r="E79" s="10"/>
      <c r="F79" s="14">
        <v>500</v>
      </c>
      <c r="G79" s="14"/>
      <c r="H79" s="14"/>
      <c r="I79" s="14">
        <v>500</v>
      </c>
      <c r="J79" s="27">
        <v>0.1</v>
      </c>
      <c r="K79" s="21"/>
      <c r="L79" s="10"/>
      <c r="M79" s="24"/>
      <c r="N79" s="26">
        <f>N53*1.1</f>
        <v>85937500</v>
      </c>
      <c r="O79" s="26">
        <f t="shared" ref="O79:P79" si="66">O53*1.1</f>
        <v>756.25000000000011</v>
      </c>
      <c r="P79" s="26">
        <f t="shared" si="66"/>
        <v>171875000</v>
      </c>
      <c r="Q79" s="26">
        <f>Q50*1</f>
        <v>3000</v>
      </c>
      <c r="R79" s="26">
        <f>R50*1</f>
        <v>370</v>
      </c>
      <c r="S79" s="29">
        <v>0.75</v>
      </c>
      <c r="T79" s="26">
        <f>T50*1</f>
        <v>800</v>
      </c>
      <c r="U79" s="25">
        <v>0</v>
      </c>
      <c r="V79" s="26">
        <f>V50*1</f>
        <v>200</v>
      </c>
      <c r="W79" s="26">
        <v>100</v>
      </c>
      <c r="X79" s="17">
        <v>20</v>
      </c>
      <c r="Y79" s="17">
        <v>1350</v>
      </c>
      <c r="Z79" s="17">
        <v>0</v>
      </c>
      <c r="AA79" s="17">
        <v>0</v>
      </c>
    </row>
    <row r="80" spans="1:27" ht="15" x14ac:dyDescent="0.15">
      <c r="A80" s="12" t="s">
        <v>231</v>
      </c>
      <c r="B80" s="13" t="s">
        <v>232</v>
      </c>
      <c r="C80" s="6" t="s">
        <v>441</v>
      </c>
      <c r="D80" s="10"/>
      <c r="E80" s="10"/>
      <c r="F80" s="14">
        <v>500</v>
      </c>
      <c r="G80" s="14"/>
      <c r="H80" s="14"/>
      <c r="I80" s="14">
        <v>500</v>
      </c>
      <c r="J80" s="27">
        <v>0.1</v>
      </c>
      <c r="K80" s="21"/>
      <c r="L80" s="10"/>
      <c r="M80" s="24"/>
      <c r="N80" s="26">
        <f>N55*1.1</f>
        <v>182617187.5</v>
      </c>
      <c r="O80" s="26">
        <f t="shared" ref="O80:P80" si="67">O55*1.1</f>
        <v>1607.0312500000002</v>
      </c>
      <c r="P80" s="26">
        <f t="shared" si="67"/>
        <v>365234375</v>
      </c>
      <c r="Q80" s="26">
        <f t="shared" ref="Q80:R88" si="68">Q52*1</f>
        <v>30000</v>
      </c>
      <c r="R80" s="26">
        <f t="shared" si="68"/>
        <v>380</v>
      </c>
      <c r="S80" s="29">
        <v>0.75</v>
      </c>
      <c r="T80" s="26">
        <f t="shared" ref="T80:V88" si="69">T52*1</f>
        <v>2640</v>
      </c>
      <c r="U80" s="25">
        <v>0</v>
      </c>
      <c r="V80" s="26">
        <f t="shared" si="69"/>
        <v>200</v>
      </c>
      <c r="W80" s="26">
        <v>150</v>
      </c>
      <c r="X80" s="17">
        <v>20</v>
      </c>
      <c r="Y80" s="17">
        <v>2250</v>
      </c>
      <c r="Z80" s="17">
        <v>0</v>
      </c>
      <c r="AA80" s="17">
        <v>0</v>
      </c>
    </row>
    <row r="81" spans="1:27" ht="15" x14ac:dyDescent="0.15">
      <c r="A81" s="12" t="s">
        <v>234</v>
      </c>
      <c r="B81" s="13" t="s">
        <v>235</v>
      </c>
      <c r="C81" s="6" t="s">
        <v>441</v>
      </c>
      <c r="D81" s="10"/>
      <c r="E81" s="10"/>
      <c r="F81" s="14">
        <v>500</v>
      </c>
      <c r="G81" s="14"/>
      <c r="H81" s="14"/>
      <c r="I81" s="14">
        <v>500</v>
      </c>
      <c r="J81" s="27">
        <v>0.1</v>
      </c>
      <c r="K81" s="21"/>
      <c r="L81" s="10"/>
      <c r="M81" s="24"/>
      <c r="N81" s="26">
        <f>N57*1.1</f>
        <v>321406250</v>
      </c>
      <c r="O81" s="26">
        <f t="shared" ref="O81:P81" si="70">O57*1.1</f>
        <v>2828.3750000000005</v>
      </c>
      <c r="P81" s="26">
        <f t="shared" si="70"/>
        <v>642812500</v>
      </c>
      <c r="Q81" s="26">
        <f t="shared" si="68"/>
        <v>30000</v>
      </c>
      <c r="R81" s="26">
        <f t="shared" si="68"/>
        <v>385</v>
      </c>
      <c r="S81" s="29">
        <v>0.75</v>
      </c>
      <c r="T81" s="26">
        <f t="shared" si="69"/>
        <v>3960</v>
      </c>
      <c r="U81" s="25">
        <v>0</v>
      </c>
      <c r="V81" s="26">
        <f t="shared" si="69"/>
        <v>200</v>
      </c>
      <c r="W81" s="26">
        <v>200</v>
      </c>
      <c r="X81" s="17">
        <v>20</v>
      </c>
      <c r="Y81" s="17">
        <v>3150</v>
      </c>
      <c r="Z81" s="17">
        <v>0</v>
      </c>
      <c r="AA81" s="17">
        <v>0</v>
      </c>
    </row>
    <row r="82" spans="1:27" ht="15" x14ac:dyDescent="0.15">
      <c r="A82" s="12" t="s">
        <v>237</v>
      </c>
      <c r="B82" s="13" t="s">
        <v>238</v>
      </c>
      <c r="C82" s="6" t="s">
        <v>441</v>
      </c>
      <c r="D82" s="10"/>
      <c r="E82" s="10"/>
      <c r="F82" s="14">
        <v>500</v>
      </c>
      <c r="G82" s="14"/>
      <c r="H82" s="14"/>
      <c r="I82" s="14">
        <v>500</v>
      </c>
      <c r="J82" s="27">
        <v>0.1</v>
      </c>
      <c r="K82" s="21"/>
      <c r="L82" s="10"/>
      <c r="M82" s="24"/>
      <c r="N82" s="26">
        <f>N59*1.1</f>
        <v>565675000.00000012</v>
      </c>
      <c r="O82" s="26">
        <f t="shared" ref="O82:P82" si="71">O59*1.1</f>
        <v>4977.9400000000014</v>
      </c>
      <c r="P82" s="26">
        <f t="shared" si="71"/>
        <v>1131350000.0000002</v>
      </c>
      <c r="Q82" s="26">
        <f t="shared" si="68"/>
        <v>30000</v>
      </c>
      <c r="R82" s="26">
        <f t="shared" si="68"/>
        <v>390</v>
      </c>
      <c r="S82" s="29">
        <v>0.75</v>
      </c>
      <c r="T82" s="26">
        <f t="shared" si="69"/>
        <v>5940</v>
      </c>
      <c r="U82" s="25">
        <v>0</v>
      </c>
      <c r="V82" s="26">
        <f t="shared" si="69"/>
        <v>200</v>
      </c>
      <c r="W82" s="26">
        <v>250</v>
      </c>
      <c r="X82" s="17">
        <v>20</v>
      </c>
      <c r="Y82" s="17">
        <v>4050</v>
      </c>
      <c r="Z82" s="17">
        <v>0</v>
      </c>
      <c r="AA82" s="17">
        <v>0</v>
      </c>
    </row>
    <row r="83" spans="1:27" ht="15" x14ac:dyDescent="0.15">
      <c r="A83" s="12" t="s">
        <v>240</v>
      </c>
      <c r="B83" s="13" t="s">
        <v>241</v>
      </c>
      <c r="C83" s="6" t="s">
        <v>441</v>
      </c>
      <c r="D83" s="10"/>
      <c r="E83" s="10"/>
      <c r="F83" s="14">
        <v>500</v>
      </c>
      <c r="G83" s="17"/>
      <c r="H83" s="17"/>
      <c r="I83" s="14">
        <v>500</v>
      </c>
      <c r="J83" s="27">
        <v>0.1</v>
      </c>
      <c r="K83" s="21"/>
      <c r="L83" s="10"/>
      <c r="M83" s="24"/>
      <c r="N83" s="26">
        <f>N61*1.1</f>
        <v>933363750.00000036</v>
      </c>
      <c r="O83" s="26">
        <f t="shared" ref="O83:P83" si="72">O61*1.1</f>
        <v>8213.6010000000024</v>
      </c>
      <c r="P83" s="26">
        <f t="shared" si="72"/>
        <v>1866727500.0000007</v>
      </c>
      <c r="Q83" s="26">
        <f t="shared" si="68"/>
        <v>30000</v>
      </c>
      <c r="R83" s="26">
        <f t="shared" si="68"/>
        <v>395</v>
      </c>
      <c r="S83" s="29">
        <v>0.75</v>
      </c>
      <c r="T83" s="26">
        <f t="shared" si="69"/>
        <v>8316</v>
      </c>
      <c r="U83" s="25">
        <v>0</v>
      </c>
      <c r="V83" s="26">
        <f t="shared" si="69"/>
        <v>200</v>
      </c>
      <c r="W83" s="26">
        <v>300</v>
      </c>
      <c r="X83" s="17">
        <v>20</v>
      </c>
      <c r="Y83" s="17">
        <v>4950</v>
      </c>
      <c r="Z83" s="17">
        <v>0</v>
      </c>
      <c r="AA83" s="17">
        <v>0</v>
      </c>
    </row>
    <row r="84" spans="1:27" ht="15" x14ac:dyDescent="0.15">
      <c r="A84" s="12" t="s">
        <v>243</v>
      </c>
      <c r="B84" s="13" t="s">
        <v>244</v>
      </c>
      <c r="C84" s="6" t="s">
        <v>441</v>
      </c>
      <c r="D84" s="10"/>
      <c r="E84" s="10"/>
      <c r="F84" s="14">
        <v>500</v>
      </c>
      <c r="G84" s="17"/>
      <c r="H84" s="17"/>
      <c r="I84" s="14">
        <v>500</v>
      </c>
      <c r="J84" s="27">
        <v>0.1</v>
      </c>
      <c r="K84" s="21"/>
      <c r="L84" s="10"/>
      <c r="M84" s="24"/>
      <c r="N84" s="26">
        <f>N63*1.1</f>
        <v>1540050187.500001</v>
      </c>
      <c r="O84" s="26">
        <f t="shared" ref="O84:P84" si="73">O63*1.1</f>
        <v>13552.441650000004</v>
      </c>
      <c r="P84" s="26">
        <f t="shared" si="73"/>
        <v>3080100375.0000019</v>
      </c>
      <c r="Q84" s="26">
        <f t="shared" si="68"/>
        <v>30000</v>
      </c>
      <c r="R84" s="26">
        <f t="shared" si="68"/>
        <v>400</v>
      </c>
      <c r="S84" s="29">
        <v>0.75</v>
      </c>
      <c r="T84" s="26">
        <f t="shared" si="69"/>
        <v>10810.800000000001</v>
      </c>
      <c r="U84" s="25">
        <v>0</v>
      </c>
      <c r="V84" s="26">
        <f t="shared" si="69"/>
        <v>200</v>
      </c>
      <c r="W84" s="26">
        <v>350</v>
      </c>
      <c r="X84" s="17">
        <v>20</v>
      </c>
      <c r="Y84" s="17">
        <v>5850</v>
      </c>
      <c r="Z84" s="17">
        <v>10</v>
      </c>
      <c r="AA84" s="17">
        <v>250</v>
      </c>
    </row>
    <row r="85" spans="1:27" ht="15" x14ac:dyDescent="0.15">
      <c r="A85" s="12" t="s">
        <v>245</v>
      </c>
      <c r="B85" s="13" t="s">
        <v>246</v>
      </c>
      <c r="C85" s="6" t="s">
        <v>441</v>
      </c>
      <c r="D85" s="10"/>
      <c r="E85" s="10"/>
      <c r="F85" s="14">
        <v>500</v>
      </c>
      <c r="G85" s="17"/>
      <c r="H85" s="17"/>
      <c r="I85" s="14">
        <v>500</v>
      </c>
      <c r="J85" s="27">
        <v>0.1</v>
      </c>
      <c r="K85" s="21"/>
      <c r="L85" s="10"/>
      <c r="M85" s="24"/>
      <c r="N85" s="26">
        <f>N65*1.05</f>
        <v>2425579045.3125014</v>
      </c>
      <c r="O85" s="26">
        <f t="shared" ref="O85:P85" si="74">O65*1.05</f>
        <v>21345.095598750006</v>
      </c>
      <c r="P85" s="26">
        <f t="shared" si="74"/>
        <v>4851158090.6250029</v>
      </c>
      <c r="Q85" s="26">
        <f t="shared" si="68"/>
        <v>30000</v>
      </c>
      <c r="R85" s="26">
        <f t="shared" si="68"/>
        <v>405</v>
      </c>
      <c r="S85" s="29">
        <v>0.75</v>
      </c>
      <c r="T85" s="26">
        <f t="shared" si="69"/>
        <v>14054.04</v>
      </c>
      <c r="U85" s="25">
        <v>0</v>
      </c>
      <c r="V85" s="26">
        <f t="shared" si="69"/>
        <v>200</v>
      </c>
      <c r="W85" s="26">
        <v>400</v>
      </c>
      <c r="X85" s="17">
        <v>20</v>
      </c>
      <c r="Y85" s="17">
        <v>6750</v>
      </c>
      <c r="Z85" s="17">
        <v>20</v>
      </c>
      <c r="AA85" s="17">
        <v>500</v>
      </c>
    </row>
    <row r="86" spans="1:27" ht="15" x14ac:dyDescent="0.15">
      <c r="A86" s="12" t="s">
        <v>248</v>
      </c>
      <c r="B86" s="13" t="s">
        <v>249</v>
      </c>
      <c r="C86" s="6" t="s">
        <v>441</v>
      </c>
      <c r="D86" s="10"/>
      <c r="E86" s="10"/>
      <c r="F86" s="14">
        <v>500</v>
      </c>
      <c r="G86" s="17"/>
      <c r="H86" s="17"/>
      <c r="I86" s="14">
        <v>500</v>
      </c>
      <c r="J86" s="27">
        <v>0.1</v>
      </c>
      <c r="K86" s="21"/>
      <c r="L86" s="10"/>
      <c r="M86" s="24"/>
      <c r="N86" s="26">
        <f>N85*1.1</f>
        <v>2668136949.8437519</v>
      </c>
      <c r="O86" s="26">
        <f t="shared" ref="O86:P88" si="75">O85*1.1</f>
        <v>23479.605158625007</v>
      </c>
      <c r="P86" s="26">
        <f t="shared" si="75"/>
        <v>5336273899.6875038</v>
      </c>
      <c r="Q86" s="26">
        <f t="shared" si="68"/>
        <v>30000</v>
      </c>
      <c r="R86" s="26">
        <f t="shared" si="68"/>
        <v>410</v>
      </c>
      <c r="S86" s="29">
        <v>0.75</v>
      </c>
      <c r="T86" s="26">
        <f t="shared" si="69"/>
        <v>16864.848000000002</v>
      </c>
      <c r="U86" s="25">
        <v>0</v>
      </c>
      <c r="V86" s="26">
        <f t="shared" si="69"/>
        <v>200</v>
      </c>
      <c r="W86" s="26">
        <v>450</v>
      </c>
      <c r="X86" s="17">
        <v>20</v>
      </c>
      <c r="Y86" s="17">
        <v>7650</v>
      </c>
      <c r="Z86" s="17">
        <v>20</v>
      </c>
      <c r="AA86" s="17">
        <v>500</v>
      </c>
    </row>
    <row r="87" spans="1:27" ht="15" x14ac:dyDescent="0.15">
      <c r="A87" s="12" t="s">
        <v>251</v>
      </c>
      <c r="B87" s="13" t="s">
        <v>252</v>
      </c>
      <c r="C87" s="6" t="s">
        <v>441</v>
      </c>
      <c r="E87" s="18"/>
      <c r="F87" s="14">
        <v>500</v>
      </c>
      <c r="G87" s="17"/>
      <c r="H87" s="17"/>
      <c r="I87" s="14">
        <v>500</v>
      </c>
      <c r="J87" s="27">
        <v>0.1</v>
      </c>
      <c r="K87" s="21"/>
      <c r="M87" s="24"/>
      <c r="N87" s="26">
        <f>N86*1.1</f>
        <v>2934950644.8281274</v>
      </c>
      <c r="O87" s="26">
        <f t="shared" si="75"/>
        <v>25827.565674487509</v>
      </c>
      <c r="P87" s="26">
        <f t="shared" si="75"/>
        <v>5869901289.6562548</v>
      </c>
      <c r="Q87" s="26">
        <f t="shared" si="68"/>
        <v>30000</v>
      </c>
      <c r="R87" s="26">
        <f t="shared" si="68"/>
        <v>415</v>
      </c>
      <c r="S87" s="29">
        <v>0.75</v>
      </c>
      <c r="T87" s="26">
        <f t="shared" si="69"/>
        <v>20237.817600000002</v>
      </c>
      <c r="U87" s="25">
        <v>0</v>
      </c>
      <c r="V87" s="26">
        <f t="shared" si="69"/>
        <v>200</v>
      </c>
      <c r="W87" s="26">
        <v>500</v>
      </c>
      <c r="X87" s="17">
        <v>20</v>
      </c>
      <c r="Y87" s="17">
        <v>8550</v>
      </c>
      <c r="Z87" s="17">
        <v>20</v>
      </c>
      <c r="AA87" s="17">
        <v>500</v>
      </c>
    </row>
    <row r="88" spans="1:27" ht="15" x14ac:dyDescent="0.15">
      <c r="A88" s="12" t="s">
        <v>254</v>
      </c>
      <c r="B88" s="13" t="s">
        <v>255</v>
      </c>
      <c r="C88" s="6" t="s">
        <v>441</v>
      </c>
      <c r="E88" s="18"/>
      <c r="F88" s="14">
        <v>500</v>
      </c>
      <c r="G88" s="17"/>
      <c r="H88" s="17"/>
      <c r="I88" s="14">
        <v>500</v>
      </c>
      <c r="J88" s="27">
        <v>0.1</v>
      </c>
      <c r="K88" s="21"/>
      <c r="M88" s="24"/>
      <c r="N88" s="26">
        <f>N87*1.1</f>
        <v>3228445709.3109403</v>
      </c>
      <c r="O88" s="26">
        <f t="shared" si="75"/>
        <v>28410.322241936261</v>
      </c>
      <c r="P88" s="26">
        <f t="shared" si="75"/>
        <v>6456891418.6218805</v>
      </c>
      <c r="Q88" s="26">
        <f t="shared" si="68"/>
        <v>30000</v>
      </c>
      <c r="R88" s="26">
        <f t="shared" si="68"/>
        <v>420</v>
      </c>
      <c r="S88" s="29">
        <v>0.75</v>
      </c>
      <c r="T88" s="26">
        <f t="shared" si="69"/>
        <v>24285.381119999998</v>
      </c>
      <c r="U88" s="25">
        <v>0</v>
      </c>
      <c r="V88" s="26">
        <f t="shared" si="69"/>
        <v>200</v>
      </c>
      <c r="W88" s="26">
        <v>550</v>
      </c>
      <c r="X88" s="17">
        <v>20</v>
      </c>
      <c r="Y88" s="17">
        <v>13500</v>
      </c>
      <c r="Z88" s="17">
        <v>20</v>
      </c>
      <c r="AA88" s="17">
        <v>500</v>
      </c>
    </row>
    <row r="89" spans="1:27" ht="15" x14ac:dyDescent="0.15">
      <c r="A89" s="12" t="s">
        <v>257</v>
      </c>
      <c r="B89" s="13" t="s">
        <v>258</v>
      </c>
      <c r="C89" s="6" t="s">
        <v>440</v>
      </c>
      <c r="E89" s="18"/>
      <c r="F89" s="14">
        <v>500</v>
      </c>
      <c r="G89" s="17"/>
      <c r="H89" s="17"/>
      <c r="I89" s="14">
        <v>500</v>
      </c>
      <c r="J89" s="27">
        <v>0.1</v>
      </c>
      <c r="K89" s="21"/>
      <c r="M89" s="24"/>
      <c r="N89" s="26">
        <f>N93/10</f>
        <v>33747656.25</v>
      </c>
      <c r="O89" s="26">
        <f t="shared" ref="O89:P89" si="76">O93/10</f>
        <v>296.97937500000006</v>
      </c>
      <c r="P89" s="26">
        <f t="shared" si="76"/>
        <v>67495312.5</v>
      </c>
      <c r="Q89" s="26">
        <f t="shared" ref="Q89:V89" si="77">Q55*1</f>
        <v>30000</v>
      </c>
      <c r="R89" s="26">
        <f t="shared" si="77"/>
        <v>395</v>
      </c>
      <c r="S89" s="26">
        <f t="shared" si="77"/>
        <v>0.75</v>
      </c>
      <c r="T89" s="26">
        <f t="shared" si="77"/>
        <v>8316</v>
      </c>
      <c r="U89" s="25">
        <v>0</v>
      </c>
      <c r="V89" s="26">
        <f t="shared" si="77"/>
        <v>200</v>
      </c>
      <c r="W89" s="26">
        <v>200</v>
      </c>
      <c r="X89" s="26">
        <v>20</v>
      </c>
      <c r="Y89" s="26">
        <v>576</v>
      </c>
      <c r="Z89" s="26">
        <f>Z55*1</f>
        <v>0</v>
      </c>
      <c r="AA89" s="26">
        <v>0</v>
      </c>
    </row>
    <row r="90" spans="1:27" ht="15" x14ac:dyDescent="0.15">
      <c r="A90" s="12" t="s">
        <v>260</v>
      </c>
      <c r="B90" s="13" t="s">
        <v>261</v>
      </c>
      <c r="C90" s="6" t="s">
        <v>440</v>
      </c>
      <c r="E90" s="18"/>
      <c r="F90" s="14">
        <v>500</v>
      </c>
      <c r="G90" s="17"/>
      <c r="H90" s="17"/>
      <c r="I90" s="14">
        <v>500</v>
      </c>
      <c r="J90" s="27">
        <v>0.1</v>
      </c>
      <c r="K90" s="21"/>
      <c r="M90" s="24"/>
      <c r="N90" s="26">
        <f>N94/8</f>
        <v>122503992.18750004</v>
      </c>
      <c r="O90" s="26">
        <f t="shared" ref="O90:P90" si="78">O94/8</f>
        <v>1078.0351312500004</v>
      </c>
      <c r="P90" s="26">
        <f t="shared" si="78"/>
        <v>245007984.37500009</v>
      </c>
      <c r="Q90" s="26">
        <f t="shared" ref="Q90:V90" si="79">Q59*1</f>
        <v>30000</v>
      </c>
      <c r="R90" s="26">
        <f t="shared" si="79"/>
        <v>415</v>
      </c>
      <c r="S90" s="26">
        <f t="shared" si="79"/>
        <v>0.75</v>
      </c>
      <c r="T90" s="26">
        <f t="shared" si="79"/>
        <v>20237.817600000002</v>
      </c>
      <c r="U90" s="25">
        <v>0</v>
      </c>
      <c r="V90" s="26">
        <f t="shared" si="79"/>
        <v>200</v>
      </c>
      <c r="W90" s="26">
        <v>300</v>
      </c>
      <c r="X90" s="26">
        <v>20</v>
      </c>
      <c r="Y90" s="26">
        <v>1152</v>
      </c>
      <c r="Z90" s="26">
        <f>Z59*1</f>
        <v>0</v>
      </c>
      <c r="AA90" s="26">
        <v>0</v>
      </c>
    </row>
    <row r="91" spans="1:27" ht="15" x14ac:dyDescent="0.15">
      <c r="A91" s="12" t="s">
        <v>263</v>
      </c>
      <c r="B91" s="13" t="s">
        <v>264</v>
      </c>
      <c r="C91" s="6" t="s">
        <v>440</v>
      </c>
      <c r="E91" s="18"/>
      <c r="F91" s="14">
        <v>500</v>
      </c>
      <c r="G91" s="17"/>
      <c r="H91" s="17"/>
      <c r="I91" s="14">
        <v>500</v>
      </c>
      <c r="J91" s="27">
        <v>0.1</v>
      </c>
      <c r="K91" s="21"/>
      <c r="M91" s="24"/>
      <c r="N91" s="26">
        <f>N95/6</f>
        <v>424476332.92968774</v>
      </c>
      <c r="O91" s="26">
        <f t="shared" ref="O91:P91" si="80">O95/6</f>
        <v>3735.3917297812513</v>
      </c>
      <c r="P91" s="26">
        <f t="shared" si="80"/>
        <v>848952665.85937548</v>
      </c>
      <c r="Q91" s="26">
        <f t="shared" ref="Q91:V91" si="81">Q63*1</f>
        <v>30000</v>
      </c>
      <c r="R91" s="26">
        <f t="shared" si="81"/>
        <v>435</v>
      </c>
      <c r="S91" s="26">
        <f t="shared" si="81"/>
        <v>0.75</v>
      </c>
      <c r="T91" s="26">
        <f t="shared" si="81"/>
        <v>53039.272366079997</v>
      </c>
      <c r="U91" s="25">
        <v>0</v>
      </c>
      <c r="V91" s="26">
        <f t="shared" si="81"/>
        <v>200</v>
      </c>
      <c r="W91" s="26">
        <v>400</v>
      </c>
      <c r="X91" s="26">
        <v>20</v>
      </c>
      <c r="Y91" s="26">
        <v>1728</v>
      </c>
      <c r="Z91" s="26">
        <v>0</v>
      </c>
      <c r="AA91" s="26">
        <v>0</v>
      </c>
    </row>
    <row r="92" spans="1:27" ht="15" x14ac:dyDescent="0.15">
      <c r="A92" s="12" t="s">
        <v>266</v>
      </c>
      <c r="B92" s="13" t="s">
        <v>267</v>
      </c>
      <c r="C92" s="6" t="s">
        <v>440</v>
      </c>
      <c r="E92" s="18"/>
      <c r="F92" s="14">
        <v>500</v>
      </c>
      <c r="G92" s="17"/>
      <c r="H92" s="17"/>
      <c r="I92" s="14">
        <v>500</v>
      </c>
      <c r="J92" s="27">
        <v>0.1</v>
      </c>
      <c r="K92" s="21"/>
      <c r="M92" s="24"/>
      <c r="N92" s="26">
        <f>N96/4</f>
        <v>770424544.26738346</v>
      </c>
      <c r="O92" s="26">
        <f t="shared" ref="O92:P92" si="82">O96/4</f>
        <v>6779.7359895529717</v>
      </c>
      <c r="P92" s="26">
        <f t="shared" si="82"/>
        <v>1540849088.5347669</v>
      </c>
      <c r="Q92" s="26">
        <f t="shared" ref="Q92:V92" si="83">Q69*1</f>
        <v>30000</v>
      </c>
      <c r="R92" s="26">
        <f t="shared" si="83"/>
        <v>465</v>
      </c>
      <c r="S92" s="26">
        <f t="shared" si="83"/>
        <v>0.75</v>
      </c>
      <c r="T92" s="26">
        <f t="shared" si="83"/>
        <v>234918.99927876794</v>
      </c>
      <c r="U92" s="25">
        <v>0</v>
      </c>
      <c r="V92" s="26">
        <f t="shared" si="83"/>
        <v>200</v>
      </c>
      <c r="W92" s="26">
        <v>500</v>
      </c>
      <c r="X92" s="26">
        <v>20</v>
      </c>
      <c r="Y92" s="26">
        <v>2304</v>
      </c>
      <c r="Z92" s="26">
        <v>0</v>
      </c>
      <c r="AA92" s="26">
        <v>0</v>
      </c>
    </row>
    <row r="93" spans="1:27" ht="15" x14ac:dyDescent="0.15">
      <c r="A93" s="12" t="s">
        <v>268</v>
      </c>
      <c r="B93" s="13" t="s">
        <v>269</v>
      </c>
      <c r="C93" s="6" t="s">
        <v>441</v>
      </c>
      <c r="E93" s="18"/>
      <c r="F93" s="14">
        <v>500</v>
      </c>
      <c r="G93" s="17"/>
      <c r="H93" s="17"/>
      <c r="I93" s="14">
        <v>500</v>
      </c>
      <c r="J93" s="27">
        <v>0.1</v>
      </c>
      <c r="K93" s="21"/>
      <c r="M93" s="24"/>
      <c r="N93" s="26">
        <f>N81*1.05</f>
        <v>337476562.5</v>
      </c>
      <c r="O93" s="26">
        <f t="shared" ref="O93:P93" si="84">O81*1.05</f>
        <v>2969.7937500000007</v>
      </c>
      <c r="P93" s="26">
        <f t="shared" si="84"/>
        <v>674953125</v>
      </c>
      <c r="Q93" s="26">
        <f>Q57*1</f>
        <v>30000</v>
      </c>
      <c r="R93" s="26">
        <f>R57*1</f>
        <v>405</v>
      </c>
      <c r="S93" s="29">
        <v>0.75</v>
      </c>
      <c r="T93" s="26">
        <f>T57*1</f>
        <v>14054.04</v>
      </c>
      <c r="U93" s="25">
        <v>0</v>
      </c>
      <c r="V93" s="26">
        <f>V57*1</f>
        <v>200</v>
      </c>
      <c r="W93" s="26">
        <v>200</v>
      </c>
      <c r="X93" s="26">
        <v>20</v>
      </c>
      <c r="Y93" s="26">
        <v>2880</v>
      </c>
      <c r="Z93" s="26">
        <f>Z57*1</f>
        <v>0</v>
      </c>
      <c r="AA93" s="26">
        <v>0</v>
      </c>
    </row>
    <row r="94" spans="1:27" ht="15" x14ac:dyDescent="0.15">
      <c r="A94" s="12" t="s">
        <v>270</v>
      </c>
      <c r="B94" s="13" t="s">
        <v>271</v>
      </c>
      <c r="C94" s="6" t="s">
        <v>441</v>
      </c>
      <c r="E94" s="18"/>
      <c r="F94" s="14">
        <v>500</v>
      </c>
      <c r="G94" s="17"/>
      <c r="H94" s="17"/>
      <c r="I94" s="14">
        <v>500</v>
      </c>
      <c r="J94" s="27">
        <v>0.1</v>
      </c>
      <c r="K94" s="21"/>
      <c r="M94" s="24"/>
      <c r="N94" s="26">
        <f>N83*1.05</f>
        <v>980031937.50000036</v>
      </c>
      <c r="O94" s="26">
        <f t="shared" ref="O94:P94" si="85">O83*1.05</f>
        <v>8624.2810500000032</v>
      </c>
      <c r="P94" s="26">
        <f t="shared" si="85"/>
        <v>1960063875.0000007</v>
      </c>
      <c r="Q94" s="26">
        <f>Q61*1</f>
        <v>30000</v>
      </c>
      <c r="R94" s="26">
        <f>R61*1</f>
        <v>425</v>
      </c>
      <c r="S94" s="29">
        <v>0.75</v>
      </c>
      <c r="T94" s="26">
        <f>T61*1</f>
        <v>33999.533567999999</v>
      </c>
      <c r="U94" s="25">
        <v>0</v>
      </c>
      <c r="V94" s="26">
        <f>V61*1</f>
        <v>200</v>
      </c>
      <c r="W94" s="26">
        <v>300</v>
      </c>
      <c r="X94" s="26">
        <v>20</v>
      </c>
      <c r="Y94" s="26">
        <v>3456</v>
      </c>
      <c r="Z94" s="26">
        <f>Z61*1</f>
        <v>0</v>
      </c>
      <c r="AA94" s="26">
        <v>0</v>
      </c>
    </row>
    <row r="95" spans="1:27" ht="15" x14ac:dyDescent="0.15">
      <c r="A95" s="12" t="s">
        <v>272</v>
      </c>
      <c r="B95" s="13" t="s">
        <v>273</v>
      </c>
      <c r="C95" s="6" t="s">
        <v>441</v>
      </c>
      <c r="E95" s="18"/>
      <c r="F95" s="14">
        <v>500</v>
      </c>
      <c r="G95" s="17"/>
      <c r="H95" s="17"/>
      <c r="I95" s="14">
        <v>500</v>
      </c>
      <c r="J95" s="27">
        <v>0.1</v>
      </c>
      <c r="K95" s="21"/>
      <c r="M95" s="24"/>
      <c r="N95" s="26">
        <f>N85*1.05</f>
        <v>2546857997.5781264</v>
      </c>
      <c r="O95" s="26">
        <f t="shared" ref="O95:P95" si="86">O85*1.05</f>
        <v>22412.350378687508</v>
      </c>
      <c r="P95" s="26">
        <f t="shared" si="86"/>
        <v>5093715995.1562529</v>
      </c>
      <c r="Q95" s="26">
        <f>Q65*1</f>
        <v>30000</v>
      </c>
      <c r="R95" s="26">
        <f>R65*1</f>
        <v>445</v>
      </c>
      <c r="S95" s="29">
        <v>0.75</v>
      </c>
      <c r="T95" s="26">
        <f>T65*1</f>
        <v>76376.552207155182</v>
      </c>
      <c r="U95" s="25">
        <v>0</v>
      </c>
      <c r="V95" s="26">
        <f>V65*1</f>
        <v>200</v>
      </c>
      <c r="W95" s="26">
        <v>400</v>
      </c>
      <c r="X95" s="26">
        <v>20</v>
      </c>
      <c r="Y95" s="26">
        <v>4500</v>
      </c>
      <c r="Z95" s="26">
        <v>20</v>
      </c>
      <c r="AA95" s="17">
        <v>500</v>
      </c>
    </row>
    <row r="96" spans="1:27" ht="15" x14ac:dyDescent="0.15">
      <c r="A96" s="12" t="s">
        <v>274</v>
      </c>
      <c r="B96" s="13" t="s">
        <v>275</v>
      </c>
      <c r="C96" s="6" t="s">
        <v>441</v>
      </c>
      <c r="E96" s="18"/>
      <c r="F96" s="14">
        <v>500</v>
      </c>
      <c r="G96" s="17"/>
      <c r="H96" s="17"/>
      <c r="I96" s="14">
        <v>500</v>
      </c>
      <c r="J96" s="27">
        <v>0.1</v>
      </c>
      <c r="K96" s="21"/>
      <c r="M96" s="24"/>
      <c r="N96" s="26">
        <f>N87*1.05</f>
        <v>3081698177.0695338</v>
      </c>
      <c r="O96" s="26">
        <f>O87*1.05</f>
        <v>27118.943958211887</v>
      </c>
      <c r="P96" s="26">
        <f t="shared" ref="P96" si="87">P87*1.05</f>
        <v>6163396354.1390676</v>
      </c>
      <c r="Q96" s="26">
        <f>Q69*1</f>
        <v>30000</v>
      </c>
      <c r="R96" s="26">
        <f>R69*1</f>
        <v>465</v>
      </c>
      <c r="S96" s="29">
        <v>0.75</v>
      </c>
      <c r="T96" s="26">
        <f>T69*1</f>
        <v>234918.99927876794</v>
      </c>
      <c r="U96" s="25">
        <v>0</v>
      </c>
      <c r="V96" s="26">
        <f>V69*1</f>
        <v>200</v>
      </c>
      <c r="W96" s="26">
        <v>500</v>
      </c>
      <c r="X96" s="26">
        <v>20</v>
      </c>
      <c r="Y96" s="26">
        <v>6912</v>
      </c>
      <c r="Z96" s="26">
        <v>20</v>
      </c>
      <c r="AA96" s="17">
        <v>500</v>
      </c>
    </row>
    <row r="97" spans="1:27" ht="59.25" customHeight="1" x14ac:dyDescent="0.15">
      <c r="A97" s="12" t="s">
        <v>276</v>
      </c>
      <c r="B97" s="13" t="s">
        <v>277</v>
      </c>
      <c r="C97" s="6" t="s">
        <v>440</v>
      </c>
      <c r="E97" s="18"/>
      <c r="F97" s="14">
        <v>0</v>
      </c>
      <c r="G97" s="17"/>
      <c r="H97" s="17"/>
      <c r="I97" s="14">
        <v>10</v>
      </c>
      <c r="J97" s="27">
        <v>0.1</v>
      </c>
      <c r="K97" s="21"/>
      <c r="L97" s="60" t="str">
        <f>"{{'wjhy33', '"&amp;A97&amp;"*1',15,270,10 },
{'wjhy34', '"&amp;A97&amp;"*1',15,270,10 },
{'wjhy35', '"&amp;A97&amp;"*1',15,270,10 }
}"</f>
        <v>{{'wjhy33', '鸡*1',15,270,10 },
{'wjhy34', '鸡*1',15,270,10 },
{'wjhy35', '鸡*1',15,270,10 }
}</v>
      </c>
      <c r="M97" s="24"/>
      <c r="N97" s="26">
        <v>8</v>
      </c>
      <c r="O97" s="26">
        <v>4.5</v>
      </c>
      <c r="P97" s="26">
        <v>100</v>
      </c>
      <c r="Q97" s="26">
        <f t="shared" ref="Q97:V97" si="88">Q4</f>
        <v>100</v>
      </c>
      <c r="R97" s="26">
        <f t="shared" si="88"/>
        <v>350</v>
      </c>
      <c r="S97" s="26">
        <f t="shared" si="88"/>
        <v>1</v>
      </c>
      <c r="T97" s="26">
        <f t="shared" si="88"/>
        <v>11.000000000000002</v>
      </c>
      <c r="U97" s="25">
        <v>0</v>
      </c>
      <c r="V97" s="26">
        <f t="shared" si="88"/>
        <v>200</v>
      </c>
      <c r="W97" s="26">
        <v>50</v>
      </c>
      <c r="X97" s="26">
        <v>20</v>
      </c>
      <c r="Y97" s="26">
        <v>45</v>
      </c>
      <c r="Z97" s="26">
        <f>Z4</f>
        <v>0</v>
      </c>
      <c r="AA97" s="26">
        <v>0</v>
      </c>
    </row>
    <row r="98" spans="1:27" ht="15" x14ac:dyDescent="0.15">
      <c r="A98" s="5" t="s">
        <v>279</v>
      </c>
      <c r="B98" s="13" t="s">
        <v>280</v>
      </c>
      <c r="C98" s="6" t="s">
        <v>441</v>
      </c>
      <c r="E98" s="18"/>
      <c r="F98" s="14">
        <v>0</v>
      </c>
      <c r="G98" s="17"/>
      <c r="H98" s="17"/>
      <c r="I98" s="14">
        <v>10</v>
      </c>
      <c r="J98" s="27">
        <v>25</v>
      </c>
      <c r="K98" s="21"/>
      <c r="M98" s="24"/>
      <c r="N98" s="26">
        <v>400</v>
      </c>
      <c r="O98" s="26">
        <v>9</v>
      </c>
      <c r="P98" s="26">
        <v>25000</v>
      </c>
      <c r="Q98" s="26">
        <f t="shared" ref="Q98:T99" si="89">Q4</f>
        <v>100</v>
      </c>
      <c r="R98" s="26">
        <f t="shared" si="89"/>
        <v>350</v>
      </c>
      <c r="S98" s="26">
        <f t="shared" si="89"/>
        <v>1</v>
      </c>
      <c r="T98" s="26">
        <f t="shared" si="89"/>
        <v>11.000000000000002</v>
      </c>
      <c r="U98" s="25">
        <v>0</v>
      </c>
      <c r="V98" s="26">
        <v>400</v>
      </c>
      <c r="W98" s="26">
        <v>50</v>
      </c>
      <c r="X98" s="26">
        <v>20</v>
      </c>
      <c r="Y98" s="26">
        <v>450</v>
      </c>
      <c r="Z98" s="26">
        <f>Z4</f>
        <v>0</v>
      </c>
      <c r="AA98" s="26">
        <v>0</v>
      </c>
    </row>
    <row r="99" spans="1:27" ht="15" x14ac:dyDescent="0.15">
      <c r="A99" s="33" t="s">
        <v>282</v>
      </c>
      <c r="B99" s="13" t="s">
        <v>283</v>
      </c>
      <c r="C99" s="6" t="s">
        <v>441</v>
      </c>
      <c r="F99" s="14">
        <v>500</v>
      </c>
      <c r="G99" s="18"/>
      <c r="H99" s="18"/>
      <c r="I99" s="14">
        <v>500</v>
      </c>
      <c r="J99" s="27">
        <v>0.1</v>
      </c>
      <c r="K99" s="21"/>
      <c r="M99" s="18"/>
      <c r="N99" s="18">
        <v>2000000</v>
      </c>
      <c r="O99" s="18">
        <v>90</v>
      </c>
      <c r="P99" s="18">
        <v>10000000</v>
      </c>
      <c r="Q99" s="26">
        <f t="shared" si="89"/>
        <v>100</v>
      </c>
      <c r="R99" s="26">
        <f t="shared" si="89"/>
        <v>355</v>
      </c>
      <c r="S99" s="26">
        <f t="shared" si="89"/>
        <v>1</v>
      </c>
      <c r="T99" s="26">
        <f t="shared" si="89"/>
        <v>100</v>
      </c>
      <c r="U99" s="25">
        <v>0</v>
      </c>
      <c r="V99" s="26">
        <v>400</v>
      </c>
      <c r="W99" s="26">
        <v>50</v>
      </c>
      <c r="X99" s="26">
        <v>20</v>
      </c>
      <c r="Y99" s="26">
        <v>576</v>
      </c>
      <c r="Z99" s="26">
        <f>Z5</f>
        <v>0</v>
      </c>
      <c r="AA99" s="26">
        <v>0</v>
      </c>
    </row>
    <row r="100" spans="1:27" ht="15" x14ac:dyDescent="0.15">
      <c r="A100" s="34" t="s">
        <v>285</v>
      </c>
      <c r="B100" s="13" t="s">
        <v>286</v>
      </c>
      <c r="C100" s="6" t="s">
        <v>441</v>
      </c>
      <c r="F100" s="14">
        <v>500</v>
      </c>
      <c r="I100" s="14">
        <v>500</v>
      </c>
      <c r="J100" s="27">
        <v>0.1</v>
      </c>
      <c r="K100" s="21"/>
      <c r="N100">
        <f>N62*1.25</f>
        <v>1590960937.5000005</v>
      </c>
      <c r="O100">
        <f t="shared" ref="O100:P100" si="90">O62*1.25</f>
        <v>14000.456250000003</v>
      </c>
      <c r="P100">
        <f t="shared" si="90"/>
        <v>3181921875.000001</v>
      </c>
      <c r="Q100" s="26">
        <f>Q72*1</f>
        <v>30000</v>
      </c>
      <c r="R100" s="26">
        <f>R72*1</f>
        <v>375</v>
      </c>
      <c r="S100" s="29">
        <v>0.75</v>
      </c>
      <c r="T100" s="26">
        <f>T72*1</f>
        <v>1760</v>
      </c>
      <c r="U100" s="25">
        <v>0</v>
      </c>
      <c r="V100" s="26">
        <f>V72*1</f>
        <v>200</v>
      </c>
      <c r="W100" s="26">
        <f>W72*1</f>
        <v>200</v>
      </c>
      <c r="X100" s="17">
        <v>20</v>
      </c>
      <c r="Y100" s="17">
        <v>3600</v>
      </c>
      <c r="Z100" s="17">
        <v>0</v>
      </c>
      <c r="AA100" s="17">
        <v>0</v>
      </c>
    </row>
    <row r="101" spans="1:27" ht="15" x14ac:dyDescent="0.15">
      <c r="A101" s="34" t="s">
        <v>288</v>
      </c>
      <c r="B101" s="13" t="s">
        <v>289</v>
      </c>
      <c r="C101" s="6" t="s">
        <v>441</v>
      </c>
      <c r="F101" s="14">
        <v>500</v>
      </c>
      <c r="I101" s="14">
        <v>500</v>
      </c>
      <c r="J101" s="27">
        <v>0.1</v>
      </c>
      <c r="K101" s="21"/>
      <c r="N101">
        <v>1398305511.4746101</v>
      </c>
      <c r="O101">
        <v>11326.2746429443</v>
      </c>
      <c r="P101">
        <v>2796611022.9492202</v>
      </c>
      <c r="Q101" s="26">
        <v>30000</v>
      </c>
      <c r="R101" s="26">
        <v>350</v>
      </c>
      <c r="S101" s="29">
        <v>0.75</v>
      </c>
      <c r="T101" s="26">
        <v>1600</v>
      </c>
      <c r="U101" s="25">
        <v>0</v>
      </c>
      <c r="V101" s="26">
        <v>200</v>
      </c>
      <c r="W101" s="26">
        <v>100</v>
      </c>
      <c r="X101" s="17">
        <v>20</v>
      </c>
      <c r="Y101" s="17">
        <v>3600</v>
      </c>
      <c r="Z101" s="17">
        <v>0</v>
      </c>
      <c r="AA101" s="17">
        <v>0</v>
      </c>
    </row>
    <row r="102" spans="1:27" ht="15" x14ac:dyDescent="0.15">
      <c r="A102" s="34" t="s">
        <v>291</v>
      </c>
      <c r="B102" s="13" t="s">
        <v>292</v>
      </c>
      <c r="C102" s="6" t="s">
        <v>441</v>
      </c>
      <c r="F102" s="14">
        <v>500</v>
      </c>
      <c r="I102" s="14">
        <v>500</v>
      </c>
      <c r="J102" s="27">
        <v>0.1</v>
      </c>
      <c r="K102" s="21"/>
      <c r="N102">
        <v>1398305511.4746101</v>
      </c>
      <c r="O102">
        <v>11327.2746429443</v>
      </c>
      <c r="P102">
        <v>2796611022.9492202</v>
      </c>
      <c r="Q102" s="26">
        <v>30000</v>
      </c>
      <c r="R102" s="26">
        <v>350</v>
      </c>
      <c r="S102" s="29">
        <v>0.75</v>
      </c>
      <c r="T102" s="26">
        <v>1600</v>
      </c>
      <c r="U102" s="25">
        <v>0</v>
      </c>
      <c r="V102" s="26">
        <v>200</v>
      </c>
      <c r="W102" s="26">
        <v>100</v>
      </c>
      <c r="X102" s="17">
        <v>20</v>
      </c>
      <c r="Y102" s="17">
        <v>3600</v>
      </c>
      <c r="Z102" s="17">
        <v>0</v>
      </c>
      <c r="AA102" s="17">
        <v>0</v>
      </c>
    </row>
    <row r="103" spans="1:27" ht="15" x14ac:dyDescent="0.15">
      <c r="A103" s="34" t="s">
        <v>294</v>
      </c>
      <c r="B103" s="13" t="s">
        <v>295</v>
      </c>
      <c r="C103" s="6" t="s">
        <v>441</v>
      </c>
      <c r="F103" s="14">
        <v>500</v>
      </c>
      <c r="I103" s="14">
        <v>500</v>
      </c>
      <c r="J103" s="27">
        <v>0.1</v>
      </c>
      <c r="K103" s="21"/>
      <c r="N103">
        <v>1398305511.4746101</v>
      </c>
      <c r="O103">
        <v>11328.2746429443</v>
      </c>
      <c r="P103">
        <v>2796611022.9492202</v>
      </c>
      <c r="Q103" s="26">
        <v>30000</v>
      </c>
      <c r="R103" s="26">
        <v>350</v>
      </c>
      <c r="S103" s="29">
        <v>0.75</v>
      </c>
      <c r="T103" s="26">
        <v>1600</v>
      </c>
      <c r="U103" s="25">
        <v>0</v>
      </c>
      <c r="V103" s="26">
        <v>200</v>
      </c>
      <c r="W103" s="26">
        <v>100</v>
      </c>
      <c r="X103" s="17">
        <v>20</v>
      </c>
      <c r="Y103" s="17">
        <v>3600</v>
      </c>
      <c r="Z103" s="17">
        <v>0</v>
      </c>
      <c r="AA103" s="17">
        <v>0</v>
      </c>
    </row>
    <row r="104" spans="1:27" ht="15" x14ac:dyDescent="0.15">
      <c r="A104" s="34" t="s">
        <v>297</v>
      </c>
      <c r="B104" s="13" t="s">
        <v>298</v>
      </c>
      <c r="C104" s="6" t="s">
        <v>441</v>
      </c>
      <c r="F104" s="14">
        <v>500</v>
      </c>
      <c r="I104" s="14">
        <v>500</v>
      </c>
      <c r="J104" s="27">
        <v>0.1</v>
      </c>
      <c r="K104" s="21"/>
      <c r="N104">
        <v>1398305511.4746101</v>
      </c>
      <c r="O104">
        <v>11329.2746429443</v>
      </c>
      <c r="P104">
        <v>2796611022.9492202</v>
      </c>
      <c r="Q104" s="26">
        <v>30000</v>
      </c>
      <c r="R104" s="26">
        <v>350</v>
      </c>
      <c r="S104" s="29">
        <v>0.75</v>
      </c>
      <c r="T104" s="26">
        <v>1600</v>
      </c>
      <c r="U104" s="25">
        <v>0</v>
      </c>
      <c r="V104" s="26">
        <v>200</v>
      </c>
      <c r="W104" s="26">
        <v>100</v>
      </c>
      <c r="X104" s="17">
        <v>20</v>
      </c>
      <c r="Y104" s="17">
        <v>3600</v>
      </c>
      <c r="Z104" s="17">
        <v>0</v>
      </c>
      <c r="AA104" s="17">
        <v>0</v>
      </c>
    </row>
    <row r="105" spans="1:27" ht="15" x14ac:dyDescent="0.15">
      <c r="A105" s="34" t="s">
        <v>300</v>
      </c>
      <c r="B105" s="13" t="s">
        <v>301</v>
      </c>
      <c r="C105" s="6" t="s">
        <v>441</v>
      </c>
      <c r="F105" s="14">
        <v>500</v>
      </c>
      <c r="I105" s="14">
        <v>500</v>
      </c>
      <c r="J105" s="27">
        <v>0.1</v>
      </c>
      <c r="K105" s="21"/>
      <c r="N105">
        <v>1398305511.4746101</v>
      </c>
      <c r="O105">
        <v>11330.2746429443</v>
      </c>
      <c r="P105">
        <v>2796611022.9492202</v>
      </c>
      <c r="Q105" s="26">
        <v>30000</v>
      </c>
      <c r="R105" s="26">
        <v>350</v>
      </c>
      <c r="S105" s="29">
        <v>0.75</v>
      </c>
      <c r="T105" s="26">
        <v>1600</v>
      </c>
      <c r="U105" s="25">
        <v>0</v>
      </c>
      <c r="V105" s="26">
        <v>200</v>
      </c>
      <c r="W105" s="26">
        <v>100</v>
      </c>
      <c r="X105" s="17">
        <v>20</v>
      </c>
      <c r="Y105" s="17">
        <v>3600</v>
      </c>
      <c r="Z105" s="17">
        <v>0</v>
      </c>
      <c r="AA105" s="17">
        <v>0</v>
      </c>
    </row>
    <row r="106" spans="1:27" ht="15" x14ac:dyDescent="0.15">
      <c r="A106" s="34" t="s">
        <v>303</v>
      </c>
      <c r="B106" s="13" t="s">
        <v>304</v>
      </c>
      <c r="C106" s="6" t="s">
        <v>441</v>
      </c>
      <c r="F106" s="14">
        <v>500</v>
      </c>
      <c r="I106" s="14">
        <v>500</v>
      </c>
      <c r="J106" s="27">
        <v>0.1</v>
      </c>
      <c r="K106" s="21"/>
      <c r="M106" s="4"/>
      <c r="N106">
        <v>1398305511.4746101</v>
      </c>
      <c r="O106">
        <v>11331.2746429443</v>
      </c>
      <c r="P106">
        <v>2796611022.9492202</v>
      </c>
      <c r="Q106" s="26">
        <v>30000</v>
      </c>
      <c r="R106" s="26">
        <v>350</v>
      </c>
      <c r="S106" s="29">
        <v>0.75</v>
      </c>
      <c r="T106" s="26">
        <v>1600</v>
      </c>
      <c r="U106" s="25">
        <v>0</v>
      </c>
      <c r="V106" s="26">
        <v>200</v>
      </c>
      <c r="W106" s="26">
        <v>100</v>
      </c>
      <c r="X106" s="17">
        <v>20</v>
      </c>
      <c r="Y106" s="17">
        <v>3600</v>
      </c>
      <c r="Z106" s="17">
        <v>0</v>
      </c>
      <c r="AA106" s="17">
        <v>0</v>
      </c>
    </row>
    <row r="107" spans="1:27" ht="15" x14ac:dyDescent="0.15">
      <c r="A107" s="34" t="s">
        <v>306</v>
      </c>
      <c r="B107" s="13" t="s">
        <v>307</v>
      </c>
      <c r="C107" s="6" t="s">
        <v>441</v>
      </c>
      <c r="F107" s="14">
        <v>500</v>
      </c>
      <c r="I107" s="14">
        <v>500</v>
      </c>
      <c r="J107" s="27">
        <v>0.1</v>
      </c>
      <c r="K107" s="21"/>
      <c r="M107" s="4"/>
      <c r="N107">
        <v>1398305511.4746101</v>
      </c>
      <c r="O107">
        <v>11332.2746429443</v>
      </c>
      <c r="P107">
        <v>2796611022.9492202</v>
      </c>
      <c r="Q107" s="26">
        <v>30000</v>
      </c>
      <c r="R107" s="26">
        <v>350</v>
      </c>
      <c r="S107" s="29">
        <v>0.75</v>
      </c>
      <c r="T107" s="26">
        <v>1600</v>
      </c>
      <c r="U107" s="25">
        <v>0</v>
      </c>
      <c r="V107" s="26">
        <v>200</v>
      </c>
      <c r="W107" s="26">
        <v>100</v>
      </c>
      <c r="X107" s="17">
        <v>20</v>
      </c>
      <c r="Y107" s="17">
        <v>3600</v>
      </c>
      <c r="Z107" s="17">
        <v>0</v>
      </c>
      <c r="AA107" s="17">
        <v>0</v>
      </c>
    </row>
    <row r="108" spans="1:27" ht="15" x14ac:dyDescent="0.15">
      <c r="A108" s="34" t="s">
        <v>309</v>
      </c>
      <c r="B108" s="13" t="s">
        <v>310</v>
      </c>
      <c r="C108" s="6" t="s">
        <v>441</v>
      </c>
      <c r="F108" s="14">
        <v>500</v>
      </c>
      <c r="I108" s="14">
        <v>500</v>
      </c>
      <c r="J108" s="27">
        <v>0.1</v>
      </c>
      <c r="K108" s="21"/>
      <c r="N108">
        <v>1398305511.4746101</v>
      </c>
      <c r="O108">
        <v>11333.2746429443</v>
      </c>
      <c r="P108">
        <v>2796611022.9492202</v>
      </c>
      <c r="Q108" s="26">
        <v>30000</v>
      </c>
      <c r="R108" s="26">
        <v>350</v>
      </c>
      <c r="S108" s="29">
        <v>0.75</v>
      </c>
      <c r="T108" s="26">
        <v>1600</v>
      </c>
      <c r="U108" s="25">
        <v>0</v>
      </c>
      <c r="V108" s="26">
        <v>200</v>
      </c>
      <c r="W108" s="26">
        <v>100</v>
      </c>
      <c r="X108" s="17">
        <v>20</v>
      </c>
      <c r="Y108" s="17">
        <v>3600</v>
      </c>
      <c r="Z108" s="17">
        <v>0</v>
      </c>
      <c r="AA108" s="17">
        <v>0</v>
      </c>
    </row>
    <row r="109" spans="1:27" ht="15" x14ac:dyDescent="0.15">
      <c r="A109" s="35" t="s">
        <v>312</v>
      </c>
      <c r="B109" s="13" t="s">
        <v>313</v>
      </c>
      <c r="C109" s="6" t="s">
        <v>441</v>
      </c>
      <c r="F109" s="14">
        <v>500</v>
      </c>
      <c r="I109" s="14">
        <v>500</v>
      </c>
      <c r="J109" s="27">
        <v>0.1</v>
      </c>
      <c r="K109" s="21"/>
      <c r="N109">
        <f>N88*1.05</f>
        <v>3389867994.7764874</v>
      </c>
      <c r="O109">
        <f t="shared" ref="O109:P109" si="91">O88*1.05</f>
        <v>29830.838354033076</v>
      </c>
      <c r="P109">
        <f t="shared" si="91"/>
        <v>6779735989.5529747</v>
      </c>
      <c r="Q109" s="26">
        <v>30000</v>
      </c>
      <c r="R109" s="26">
        <v>350</v>
      </c>
      <c r="S109" s="29">
        <v>0.75</v>
      </c>
      <c r="T109" s="26">
        <v>1600</v>
      </c>
      <c r="U109" s="25">
        <v>0</v>
      </c>
      <c r="V109" s="26">
        <v>200</v>
      </c>
      <c r="W109" s="26">
        <v>100</v>
      </c>
      <c r="X109" s="17">
        <v>20</v>
      </c>
      <c r="Y109" s="17">
        <v>5760</v>
      </c>
      <c r="Z109" s="26">
        <v>20</v>
      </c>
      <c r="AA109" s="17">
        <v>500</v>
      </c>
    </row>
    <row r="110" spans="1:27" ht="15" x14ac:dyDescent="0.15">
      <c r="A110" s="35" t="s">
        <v>315</v>
      </c>
      <c r="B110" s="13" t="s">
        <v>316</v>
      </c>
      <c r="C110" s="6" t="s">
        <v>440</v>
      </c>
      <c r="F110" s="14">
        <v>500</v>
      </c>
      <c r="I110" s="14">
        <v>500</v>
      </c>
      <c r="J110" s="27">
        <v>0.1</v>
      </c>
      <c r="K110" s="21"/>
      <c r="N110" s="26">
        <v>200000</v>
      </c>
      <c r="O110" s="26">
        <v>18</v>
      </c>
      <c r="P110" s="26">
        <v>1000000</v>
      </c>
      <c r="Q110" s="26">
        <v>1000</v>
      </c>
      <c r="R110" s="26">
        <v>350</v>
      </c>
      <c r="S110" s="31">
        <v>1</v>
      </c>
      <c r="T110" s="26">
        <v>800</v>
      </c>
      <c r="U110" s="25">
        <v>0</v>
      </c>
      <c r="V110" s="26">
        <v>200</v>
      </c>
      <c r="W110" s="26">
        <v>50</v>
      </c>
      <c r="X110" s="17">
        <v>20</v>
      </c>
      <c r="Y110" s="17">
        <v>45</v>
      </c>
      <c r="Z110" s="17">
        <v>0</v>
      </c>
      <c r="AA110" s="17">
        <v>0</v>
      </c>
    </row>
    <row r="111" spans="1:27" ht="15" x14ac:dyDescent="0.15">
      <c r="A111" s="36" t="s">
        <v>318</v>
      </c>
      <c r="B111" s="13" t="s">
        <v>319</v>
      </c>
      <c r="C111" s="6" t="s">
        <v>441</v>
      </c>
      <c r="F111" s="14">
        <v>500</v>
      </c>
      <c r="I111" s="14">
        <v>500</v>
      </c>
      <c r="J111" s="27">
        <v>0.1</v>
      </c>
      <c r="K111" s="21"/>
      <c r="N111">
        <f>N74*1.3</f>
        <v>2162230463.2500014</v>
      </c>
      <c r="O111">
        <f>O74*1.3</f>
        <v>19027.628076600009</v>
      </c>
      <c r="P111">
        <f>P74*1.3</f>
        <v>8648921853.0000057</v>
      </c>
      <c r="Q111" s="38">
        <f t="shared" ref="Q111:Z111" si="92">Q74</f>
        <v>30000</v>
      </c>
      <c r="R111" s="38">
        <f t="shared" si="92"/>
        <v>420</v>
      </c>
      <c r="S111" s="38">
        <f t="shared" si="92"/>
        <v>0.75</v>
      </c>
      <c r="T111" s="38">
        <f t="shared" si="92"/>
        <v>24285.381119999998</v>
      </c>
      <c r="U111" s="25">
        <v>0</v>
      </c>
      <c r="V111" s="38">
        <f t="shared" si="92"/>
        <v>200</v>
      </c>
      <c r="W111" s="38">
        <f t="shared" si="92"/>
        <v>500</v>
      </c>
      <c r="X111" s="38">
        <v>20</v>
      </c>
      <c r="Y111" s="38">
        <v>4500</v>
      </c>
      <c r="Z111" s="38">
        <f t="shared" si="92"/>
        <v>20</v>
      </c>
      <c r="AA111" s="17">
        <v>500</v>
      </c>
    </row>
    <row r="112" spans="1:27" ht="15" x14ac:dyDescent="0.15">
      <c r="A112" s="36" t="s">
        <v>320</v>
      </c>
      <c r="B112" s="13" t="s">
        <v>321</v>
      </c>
      <c r="C112" s="6" t="s">
        <v>441</v>
      </c>
      <c r="F112" s="14">
        <v>500</v>
      </c>
      <c r="I112" s="14">
        <v>500</v>
      </c>
      <c r="J112" s="27">
        <v>0.1</v>
      </c>
      <c r="K112" s="21"/>
      <c r="N112">
        <f>N111*1.02</f>
        <v>2205475072.5150013</v>
      </c>
      <c r="O112">
        <f t="shared" ref="O112:P112" si="93">O111*1.02</f>
        <v>19408.180638132009</v>
      </c>
      <c r="P112">
        <f t="shared" si="93"/>
        <v>8821900290.0600052</v>
      </c>
      <c r="Q112" s="38">
        <f t="shared" ref="Q112:Z114" si="94">Q111</f>
        <v>30000</v>
      </c>
      <c r="R112" s="38">
        <f t="shared" si="94"/>
        <v>420</v>
      </c>
      <c r="S112" s="38">
        <f t="shared" si="94"/>
        <v>0.75</v>
      </c>
      <c r="T112" s="38">
        <f t="shared" si="94"/>
        <v>24285.381119999998</v>
      </c>
      <c r="U112" s="25">
        <v>0</v>
      </c>
      <c r="V112" s="38">
        <f t="shared" si="94"/>
        <v>200</v>
      </c>
      <c r="W112" s="38">
        <f t="shared" si="94"/>
        <v>500</v>
      </c>
      <c r="X112" s="38">
        <v>20</v>
      </c>
      <c r="Y112" s="38">
        <v>4500</v>
      </c>
      <c r="Z112" s="38">
        <f t="shared" si="94"/>
        <v>20</v>
      </c>
      <c r="AA112" s="17">
        <v>500</v>
      </c>
    </row>
    <row r="113" spans="1:27" ht="15" x14ac:dyDescent="0.15">
      <c r="A113" s="36" t="s">
        <v>323</v>
      </c>
      <c r="B113" s="13" t="s">
        <v>324</v>
      </c>
      <c r="C113" s="6" t="s">
        <v>441</v>
      </c>
      <c r="F113" s="14">
        <v>500</v>
      </c>
      <c r="I113" s="14">
        <v>500</v>
      </c>
      <c r="J113" s="27">
        <v>0.1</v>
      </c>
      <c r="K113" s="21"/>
      <c r="N113">
        <f t="shared" ref="N113:N114" si="95">N112*1.02</f>
        <v>2249584573.9653015</v>
      </c>
      <c r="O113">
        <f t="shared" ref="O113:O114" si="96">O112*1.02</f>
        <v>19796.34425089465</v>
      </c>
      <c r="P113">
        <f t="shared" ref="P113:P114" si="97">P112*1.02</f>
        <v>8998338295.8612061</v>
      </c>
      <c r="Q113" s="38">
        <f t="shared" si="94"/>
        <v>30000</v>
      </c>
      <c r="R113" s="38">
        <f t="shared" si="94"/>
        <v>420</v>
      </c>
      <c r="S113" s="38">
        <f t="shared" si="94"/>
        <v>0.75</v>
      </c>
      <c r="T113" s="38">
        <f t="shared" si="94"/>
        <v>24285.381119999998</v>
      </c>
      <c r="U113" s="25">
        <v>0</v>
      </c>
      <c r="V113" s="38">
        <f t="shared" si="94"/>
        <v>200</v>
      </c>
      <c r="W113" s="38">
        <f t="shared" si="94"/>
        <v>500</v>
      </c>
      <c r="X113" s="38">
        <v>20</v>
      </c>
      <c r="Y113" s="38">
        <v>4500</v>
      </c>
      <c r="Z113" s="38">
        <f t="shared" si="94"/>
        <v>20</v>
      </c>
      <c r="AA113" s="17">
        <v>500</v>
      </c>
    </row>
    <row r="114" spans="1:27" ht="15" x14ac:dyDescent="0.15">
      <c r="A114" s="36" t="s">
        <v>325</v>
      </c>
      <c r="B114" s="13" t="s">
        <v>326</v>
      </c>
      <c r="C114" s="6" t="s">
        <v>441</v>
      </c>
      <c r="F114" s="14">
        <v>500</v>
      </c>
      <c r="I114" s="14">
        <v>500</v>
      </c>
      <c r="J114" s="27">
        <v>0.1</v>
      </c>
      <c r="K114" s="21"/>
      <c r="N114">
        <f t="shared" si="95"/>
        <v>2294576265.4446077</v>
      </c>
      <c r="O114">
        <f t="shared" si="96"/>
        <v>20192.271135912542</v>
      </c>
      <c r="P114">
        <f t="shared" si="97"/>
        <v>9178305061.7784309</v>
      </c>
      <c r="Q114" s="38">
        <f t="shared" si="94"/>
        <v>30000</v>
      </c>
      <c r="R114" s="38">
        <f t="shared" si="94"/>
        <v>420</v>
      </c>
      <c r="S114" s="38">
        <f t="shared" si="94"/>
        <v>0.75</v>
      </c>
      <c r="T114" s="38">
        <f t="shared" si="94"/>
        <v>24285.381119999998</v>
      </c>
      <c r="U114" s="25">
        <v>0</v>
      </c>
      <c r="V114" s="38">
        <f t="shared" si="94"/>
        <v>200</v>
      </c>
      <c r="W114" s="38">
        <f t="shared" si="94"/>
        <v>500</v>
      </c>
      <c r="X114" s="38">
        <v>20</v>
      </c>
      <c r="Y114" s="38">
        <v>4500</v>
      </c>
      <c r="Z114" s="38">
        <f t="shared" si="94"/>
        <v>20</v>
      </c>
      <c r="AA114" s="17">
        <v>500</v>
      </c>
    </row>
    <row r="115" spans="1:27" ht="15" x14ac:dyDescent="0.15">
      <c r="A115" s="12" t="s">
        <v>328</v>
      </c>
      <c r="B115" s="13" t="s">
        <v>329</v>
      </c>
      <c r="C115" s="6" t="s">
        <v>441</v>
      </c>
      <c r="E115" s="18"/>
      <c r="F115" s="14">
        <v>500</v>
      </c>
      <c r="G115" s="17"/>
      <c r="H115" s="17"/>
      <c r="I115" s="14">
        <v>500</v>
      </c>
      <c r="J115" s="27">
        <v>0.1</v>
      </c>
      <c r="K115" s="21"/>
      <c r="M115" s="24"/>
      <c r="N115" s="26">
        <f>N88*1.05</f>
        <v>3389867994.7764874</v>
      </c>
      <c r="O115" s="26">
        <f>O88*1.2</f>
        <v>34092.38669032351</v>
      </c>
      <c r="P115" s="26">
        <f>P88*1.05</f>
        <v>6779735989.5529747</v>
      </c>
      <c r="Q115" s="26">
        <f t="shared" ref="Q115:R115" si="98">Q87*1</f>
        <v>30000</v>
      </c>
      <c r="R115" s="26">
        <f t="shared" si="98"/>
        <v>415</v>
      </c>
      <c r="S115" s="29">
        <v>0.75</v>
      </c>
      <c r="T115" s="26">
        <f t="shared" ref="T115:V115" si="99">T87*1</f>
        <v>20237.817600000002</v>
      </c>
      <c r="U115" s="25">
        <v>0</v>
      </c>
      <c r="V115" s="26">
        <f t="shared" si="99"/>
        <v>200</v>
      </c>
      <c r="W115" s="26">
        <v>550</v>
      </c>
      <c r="X115" s="17">
        <v>20</v>
      </c>
      <c r="Y115" s="17">
        <v>18000</v>
      </c>
      <c r="Z115" s="17">
        <v>20</v>
      </c>
      <c r="AA115" s="17">
        <v>500</v>
      </c>
    </row>
    <row r="116" spans="1:27" ht="15" x14ac:dyDescent="0.15">
      <c r="A116" s="34" t="s">
        <v>331</v>
      </c>
      <c r="B116" s="13" t="s">
        <v>332</v>
      </c>
      <c r="C116" s="6" t="s">
        <v>441</v>
      </c>
      <c r="F116" s="14">
        <v>500</v>
      </c>
      <c r="I116" s="14">
        <v>500</v>
      </c>
      <c r="J116" s="27">
        <v>0.1</v>
      </c>
      <c r="K116" s="21"/>
      <c r="N116">
        <v>1398305511.4746101</v>
      </c>
      <c r="O116">
        <v>11328.2746429443</v>
      </c>
      <c r="P116">
        <v>2796611022.9492202</v>
      </c>
      <c r="Q116" s="26">
        <v>30000</v>
      </c>
      <c r="R116" s="26">
        <v>350</v>
      </c>
      <c r="S116" s="29">
        <v>0.75</v>
      </c>
      <c r="T116" s="26">
        <v>1600</v>
      </c>
      <c r="U116" s="25">
        <v>0</v>
      </c>
      <c r="V116" s="26">
        <v>200</v>
      </c>
      <c r="W116" s="26">
        <v>100</v>
      </c>
      <c r="X116" s="17">
        <v>20</v>
      </c>
      <c r="Y116" s="17">
        <v>3600</v>
      </c>
      <c r="Z116" s="17">
        <v>0</v>
      </c>
      <c r="AA116" s="17">
        <v>0</v>
      </c>
    </row>
    <row r="117" spans="1:27" ht="15" x14ac:dyDescent="0.15">
      <c r="A117" s="34" t="s">
        <v>334</v>
      </c>
      <c r="B117" s="13" t="s">
        <v>335</v>
      </c>
      <c r="C117" s="6" t="s">
        <v>441</v>
      </c>
      <c r="F117" s="14">
        <v>500</v>
      </c>
      <c r="I117" s="14">
        <v>500</v>
      </c>
      <c r="J117" s="27">
        <v>0.1</v>
      </c>
      <c r="K117" s="21"/>
      <c r="N117">
        <v>1398305511.4746101</v>
      </c>
      <c r="O117">
        <v>11328.2746429443</v>
      </c>
      <c r="P117">
        <v>2796611022.9492202</v>
      </c>
      <c r="Q117" s="26">
        <v>30000</v>
      </c>
      <c r="R117" s="26">
        <v>350</v>
      </c>
      <c r="S117" s="29">
        <v>0.75</v>
      </c>
      <c r="T117" s="26">
        <v>1600</v>
      </c>
      <c r="U117" s="25">
        <v>0</v>
      </c>
      <c r="V117" s="26">
        <v>200</v>
      </c>
      <c r="W117" s="26">
        <v>100</v>
      </c>
      <c r="X117" s="17">
        <v>20</v>
      </c>
      <c r="Y117" s="17">
        <v>3600</v>
      </c>
      <c r="Z117" s="17">
        <v>0</v>
      </c>
      <c r="AA117" s="17">
        <v>0</v>
      </c>
    </row>
    <row r="118" spans="1:27" ht="15" x14ac:dyDescent="0.15">
      <c r="A118" s="4" t="s">
        <v>337</v>
      </c>
      <c r="B118" s="13" t="s">
        <v>338</v>
      </c>
      <c r="C118" t="s">
        <v>441</v>
      </c>
      <c r="F118">
        <v>500</v>
      </c>
      <c r="I118">
        <v>500</v>
      </c>
      <c r="J118" s="1">
        <v>0.1</v>
      </c>
      <c r="N118" s="18">
        <f>N65*1.2</f>
        <v>2772090337.5000014</v>
      </c>
      <c r="O118" s="18">
        <f t="shared" ref="O118:P118" si="100">O65*1.2</f>
        <v>24394.394970000005</v>
      </c>
      <c r="P118" s="18">
        <f t="shared" si="100"/>
        <v>5544180675.0000029</v>
      </c>
      <c r="Q118" s="18">
        <v>30000</v>
      </c>
      <c r="R118" s="18">
        <v>445</v>
      </c>
      <c r="S118" s="18">
        <v>0.75</v>
      </c>
      <c r="T118" s="18">
        <v>76376.552207155197</v>
      </c>
      <c r="U118" s="18">
        <v>0</v>
      </c>
      <c r="V118" s="18">
        <v>200</v>
      </c>
      <c r="W118" s="18">
        <v>525</v>
      </c>
      <c r="X118" s="18">
        <v>20</v>
      </c>
      <c r="Y118" s="18">
        <f>Y65*1.2</f>
        <v>5400</v>
      </c>
      <c r="Z118" s="18">
        <v>20</v>
      </c>
      <c r="AA118" s="18">
        <v>500</v>
      </c>
    </row>
    <row r="119" spans="1:27" ht="15" x14ac:dyDescent="0.15">
      <c r="A119" s="12" t="s">
        <v>340</v>
      </c>
      <c r="B119" s="13" t="s">
        <v>341</v>
      </c>
      <c r="C119" s="6" t="s">
        <v>441</v>
      </c>
      <c r="D119" s="10"/>
      <c r="E119" s="10"/>
      <c r="F119" s="14">
        <v>500</v>
      </c>
      <c r="G119" s="14"/>
      <c r="H119" s="14"/>
      <c r="I119" s="14">
        <v>500</v>
      </c>
      <c r="J119" s="27">
        <v>0.1</v>
      </c>
      <c r="K119" s="21"/>
      <c r="L119" s="10"/>
      <c r="M119" s="24"/>
      <c r="N119" s="26">
        <f>N118*0.98</f>
        <v>2716648530.7500014</v>
      </c>
      <c r="O119" s="26">
        <f t="shared" ref="O119:P119" si="101">O118*0.98</f>
        <v>23906.507070600004</v>
      </c>
      <c r="P119" s="26">
        <f t="shared" si="101"/>
        <v>5433297061.5000029</v>
      </c>
      <c r="Q119" s="26">
        <v>30000</v>
      </c>
      <c r="R119" s="25">
        <v>440</v>
      </c>
      <c r="S119" s="29">
        <v>0.75</v>
      </c>
      <c r="T119" s="25">
        <v>63647.126839295997</v>
      </c>
      <c r="U119" s="25">
        <v>0</v>
      </c>
      <c r="V119" s="25">
        <v>200</v>
      </c>
      <c r="W119" s="25">
        <v>500</v>
      </c>
      <c r="X119" s="17">
        <v>20</v>
      </c>
      <c r="Y119" s="18">
        <v>5400</v>
      </c>
      <c r="Z119" s="17">
        <v>20</v>
      </c>
      <c r="AA119" s="17">
        <v>500</v>
      </c>
    </row>
    <row r="120" spans="1:27" ht="15" x14ac:dyDescent="0.15">
      <c r="A120" s="4" t="s">
        <v>343</v>
      </c>
      <c r="B120" s="13" t="s">
        <v>344</v>
      </c>
      <c r="C120" s="6" t="s">
        <v>440</v>
      </c>
      <c r="F120" s="14">
        <v>500</v>
      </c>
      <c r="I120">
        <v>500</v>
      </c>
      <c r="J120" s="1">
        <v>0.1</v>
      </c>
      <c r="K120" s="1" t="s">
        <v>442</v>
      </c>
      <c r="N120">
        <f>N42*1.05</f>
        <v>370881131.24999988</v>
      </c>
      <c r="O120">
        <f t="shared" ref="O120:P120" si="102">O42*1.05</f>
        <v>9387.9286347656234</v>
      </c>
      <c r="P120">
        <f t="shared" si="102"/>
        <v>593409809.99999988</v>
      </c>
      <c r="Q120">
        <v>10000</v>
      </c>
      <c r="R120">
        <v>420</v>
      </c>
      <c r="S120">
        <v>0.9</v>
      </c>
      <c r="T120">
        <v>24285.381119999998</v>
      </c>
      <c r="U120">
        <v>0</v>
      </c>
      <c r="V120">
        <v>200</v>
      </c>
      <c r="W120">
        <v>150</v>
      </c>
      <c r="X120">
        <v>20</v>
      </c>
      <c r="Y120">
        <v>3000</v>
      </c>
      <c r="Z120">
        <v>20</v>
      </c>
      <c r="AA120">
        <v>5</v>
      </c>
    </row>
    <row r="121" spans="1:27" ht="15" x14ac:dyDescent="0.15">
      <c r="A121" s="12" t="s">
        <v>346</v>
      </c>
      <c r="B121" s="13" t="s">
        <v>347</v>
      </c>
      <c r="C121" s="6" t="s">
        <v>441</v>
      </c>
      <c r="F121">
        <v>500</v>
      </c>
      <c r="I121">
        <v>500</v>
      </c>
      <c r="J121" s="1">
        <v>0.1</v>
      </c>
      <c r="N121">
        <f>N96*1.05</f>
        <v>3235783085.9230108</v>
      </c>
      <c r="O121">
        <f t="shared" ref="O121:P121" si="103">O96*1.05</f>
        <v>28474.891156122481</v>
      </c>
      <c r="P121">
        <f t="shared" si="103"/>
        <v>6471566171.8460217</v>
      </c>
      <c r="Q121">
        <v>30000</v>
      </c>
      <c r="R121">
        <v>465</v>
      </c>
      <c r="S121">
        <v>0.75</v>
      </c>
      <c r="T121">
        <v>234918.99927876799</v>
      </c>
      <c r="U121">
        <v>0</v>
      </c>
      <c r="V121">
        <v>200</v>
      </c>
      <c r="W121">
        <v>500</v>
      </c>
      <c r="X121">
        <v>20</v>
      </c>
      <c r="Y121">
        <f t="shared" ref="Y121" si="104">Y96*1.05</f>
        <v>7257.6</v>
      </c>
      <c r="Z121">
        <v>20</v>
      </c>
      <c r="AA121">
        <v>500</v>
      </c>
    </row>
    <row r="122" spans="1:27" ht="15" x14ac:dyDescent="0.15">
      <c r="A122" s="37" t="s">
        <v>348</v>
      </c>
      <c r="B122" s="13" t="s">
        <v>349</v>
      </c>
      <c r="C122" s="6" t="s">
        <v>440</v>
      </c>
      <c r="F122">
        <v>500</v>
      </c>
      <c r="I122">
        <v>500</v>
      </c>
      <c r="J122" s="1">
        <v>0.1</v>
      </c>
      <c r="N122" s="26">
        <v>8</v>
      </c>
      <c r="O122" s="26">
        <v>4.5</v>
      </c>
      <c r="P122" s="26">
        <v>100</v>
      </c>
      <c r="Q122" s="26">
        <f t="shared" ref="Q122:V122" si="105">Q29</f>
        <v>10000</v>
      </c>
      <c r="R122" s="26">
        <v>470</v>
      </c>
      <c r="S122" s="26">
        <f t="shared" si="105"/>
        <v>1</v>
      </c>
      <c r="T122" s="26">
        <f t="shared" si="105"/>
        <v>4000</v>
      </c>
      <c r="U122" s="25">
        <v>0</v>
      </c>
      <c r="V122" s="26">
        <f t="shared" si="105"/>
        <v>200</v>
      </c>
      <c r="W122" s="26">
        <v>50</v>
      </c>
      <c r="X122" s="26">
        <v>20</v>
      </c>
      <c r="Y122" s="26">
        <v>45</v>
      </c>
      <c r="Z122" s="26">
        <f>Z29</f>
        <v>0</v>
      </c>
      <c r="AA122" s="26">
        <v>0</v>
      </c>
    </row>
    <row r="123" spans="1:27" ht="15" x14ac:dyDescent="0.15">
      <c r="A123" t="s">
        <v>351</v>
      </c>
      <c r="B123" s="13" t="s">
        <v>352</v>
      </c>
      <c r="C123" s="6" t="s">
        <v>440</v>
      </c>
      <c r="F123">
        <v>500</v>
      </c>
      <c r="I123">
        <v>500</v>
      </c>
      <c r="J123" s="1">
        <v>0.1</v>
      </c>
      <c r="K123" s="1" t="s">
        <v>442</v>
      </c>
      <c r="N123">
        <f>N120*1.5</f>
        <v>556321696.87499976</v>
      </c>
      <c r="O123">
        <f>O120*1.5</f>
        <v>14081.892952148435</v>
      </c>
      <c r="P123">
        <f>P120*1.5</f>
        <v>890114714.99999976</v>
      </c>
      <c r="Q123">
        <v>10000</v>
      </c>
      <c r="R123">
        <v>420</v>
      </c>
      <c r="S123">
        <v>0.9</v>
      </c>
      <c r="T123">
        <v>24285.381119999998</v>
      </c>
      <c r="U123">
        <v>0</v>
      </c>
      <c r="V123">
        <v>200</v>
      </c>
      <c r="W123">
        <v>150</v>
      </c>
      <c r="X123">
        <v>20</v>
      </c>
      <c r="Y123">
        <v>5000</v>
      </c>
      <c r="Z123">
        <v>20</v>
      </c>
      <c r="AA123">
        <v>10</v>
      </c>
    </row>
    <row r="124" spans="1:27" ht="15" x14ac:dyDescent="0.15">
      <c r="A124" t="s">
        <v>353</v>
      </c>
      <c r="B124" s="13" t="s">
        <v>354</v>
      </c>
      <c r="C124" s="6" t="s">
        <v>441</v>
      </c>
      <c r="F124">
        <v>500</v>
      </c>
      <c r="I124">
        <v>500</v>
      </c>
      <c r="J124" s="1">
        <v>0.1</v>
      </c>
      <c r="N124">
        <f>N121*1.05</f>
        <v>3397572240.2191615</v>
      </c>
      <c r="O124">
        <f>O121*1.05</f>
        <v>29898.635713928608</v>
      </c>
      <c r="P124">
        <f>P121*1.05</f>
        <v>6795144480.438323</v>
      </c>
      <c r="Q124">
        <v>30000</v>
      </c>
      <c r="R124">
        <v>465</v>
      </c>
      <c r="S124">
        <v>0.75</v>
      </c>
      <c r="T124">
        <v>234918.99927876799</v>
      </c>
      <c r="U124">
        <v>0</v>
      </c>
      <c r="V124">
        <v>200</v>
      </c>
      <c r="W124">
        <v>500</v>
      </c>
      <c r="X124">
        <v>20</v>
      </c>
      <c r="Y124">
        <v>8000</v>
      </c>
      <c r="Z124">
        <v>20</v>
      </c>
      <c r="AA124">
        <v>500</v>
      </c>
    </row>
    <row r="125" spans="1:27" ht="15" x14ac:dyDescent="0.15">
      <c r="A125" t="s">
        <v>355</v>
      </c>
      <c r="B125" s="13" t="s">
        <v>356</v>
      </c>
      <c r="C125" s="6" t="s">
        <v>440</v>
      </c>
      <c r="F125">
        <v>500</v>
      </c>
      <c r="I125">
        <v>500</v>
      </c>
      <c r="J125" s="1">
        <v>0.1</v>
      </c>
      <c r="K125" s="1" t="s">
        <v>442</v>
      </c>
      <c r="N125">
        <v>556321696.87499976</v>
      </c>
      <c r="O125">
        <v>14081.892952148435</v>
      </c>
      <c r="P125">
        <v>890114714.99999976</v>
      </c>
      <c r="Q125">
        <v>10000</v>
      </c>
      <c r="R125">
        <v>420</v>
      </c>
      <c r="S125">
        <v>0.9</v>
      </c>
      <c r="T125">
        <v>24285.381119999998</v>
      </c>
      <c r="U125">
        <v>0</v>
      </c>
      <c r="V125">
        <v>200</v>
      </c>
      <c r="W125">
        <v>150</v>
      </c>
      <c r="X125">
        <v>20</v>
      </c>
      <c r="Y125">
        <v>5000</v>
      </c>
      <c r="Z125">
        <v>20</v>
      </c>
      <c r="AA125">
        <v>10</v>
      </c>
    </row>
    <row r="126" spans="1:27" ht="15" x14ac:dyDescent="0.15">
      <c r="A126" t="s">
        <v>357</v>
      </c>
      <c r="B126" s="13" t="s">
        <v>358</v>
      </c>
      <c r="C126" s="6" t="s">
        <v>441</v>
      </c>
      <c r="F126">
        <v>500</v>
      </c>
      <c r="I126">
        <v>500</v>
      </c>
      <c r="J126" s="1">
        <v>0.1</v>
      </c>
      <c r="N126">
        <v>3397572240.2191601</v>
      </c>
      <c r="O126">
        <v>29898.635713928601</v>
      </c>
      <c r="P126">
        <v>6795144480.4383202</v>
      </c>
      <c r="Q126">
        <v>30000</v>
      </c>
      <c r="R126">
        <v>465</v>
      </c>
      <c r="S126">
        <v>0.75</v>
      </c>
      <c r="T126">
        <v>234918.99927876799</v>
      </c>
      <c r="U126">
        <v>0</v>
      </c>
      <c r="V126">
        <v>200</v>
      </c>
      <c r="W126">
        <v>500</v>
      </c>
      <c r="X126">
        <v>20</v>
      </c>
      <c r="Y126">
        <v>8000</v>
      </c>
      <c r="Z126">
        <v>20</v>
      </c>
      <c r="AA126">
        <v>500</v>
      </c>
    </row>
    <row r="127" spans="1:27" ht="15" x14ac:dyDescent="0.15">
      <c r="A127" s="54" t="s">
        <v>443</v>
      </c>
      <c r="B127" s="13" t="s">
        <v>447</v>
      </c>
      <c r="C127" t="s">
        <v>440</v>
      </c>
      <c r="F127">
        <v>500</v>
      </c>
      <c r="I127">
        <v>500</v>
      </c>
      <c r="J127" s="1">
        <v>0.1</v>
      </c>
      <c r="K127" s="1" t="s">
        <v>442</v>
      </c>
      <c r="N127">
        <v>556321696.87499976</v>
      </c>
      <c r="O127">
        <v>14081.892952148435</v>
      </c>
      <c r="P127">
        <v>890114714.99999976</v>
      </c>
      <c r="Q127">
        <v>10000</v>
      </c>
      <c r="R127">
        <v>420</v>
      </c>
      <c r="S127">
        <v>0.9</v>
      </c>
      <c r="T127">
        <v>24285.381119999998</v>
      </c>
      <c r="U127">
        <v>0</v>
      </c>
      <c r="V127">
        <v>200</v>
      </c>
      <c r="W127">
        <v>150</v>
      </c>
      <c r="X127">
        <v>20</v>
      </c>
      <c r="Y127">
        <v>5000</v>
      </c>
      <c r="Z127">
        <v>20</v>
      </c>
      <c r="AA127">
        <v>10</v>
      </c>
    </row>
    <row r="128" spans="1:27" ht="15" x14ac:dyDescent="0.15">
      <c r="A128" s="54" t="s">
        <v>444</v>
      </c>
      <c r="B128" s="13" t="s">
        <v>448</v>
      </c>
      <c r="C128" t="s">
        <v>441</v>
      </c>
      <c r="F128">
        <v>500</v>
      </c>
      <c r="I128">
        <v>500</v>
      </c>
      <c r="J128" s="1">
        <v>0.1</v>
      </c>
      <c r="N128">
        <v>3397572240.2191615</v>
      </c>
      <c r="O128">
        <v>29898.635713928608</v>
      </c>
      <c r="P128">
        <v>6795144480.438323</v>
      </c>
      <c r="Q128">
        <v>30000</v>
      </c>
      <c r="R128">
        <v>465</v>
      </c>
      <c r="S128">
        <v>0.75</v>
      </c>
      <c r="T128">
        <v>234918.99927876799</v>
      </c>
      <c r="U128">
        <v>0</v>
      </c>
      <c r="V128">
        <v>200</v>
      </c>
      <c r="W128">
        <v>500</v>
      </c>
      <c r="X128">
        <v>20</v>
      </c>
      <c r="Y128">
        <v>8000</v>
      </c>
      <c r="Z128">
        <v>20</v>
      </c>
      <c r="AA128">
        <v>500</v>
      </c>
    </row>
    <row r="129" spans="1:27" ht="15" x14ac:dyDescent="0.15">
      <c r="A129" s="54" t="s">
        <v>445</v>
      </c>
      <c r="B129" s="13" t="s">
        <v>449</v>
      </c>
      <c r="C129" t="s">
        <v>440</v>
      </c>
      <c r="F129">
        <v>500</v>
      </c>
      <c r="I129">
        <v>500</v>
      </c>
      <c r="J129" s="1">
        <v>0.1</v>
      </c>
      <c r="K129" s="1" t="s">
        <v>442</v>
      </c>
      <c r="N129">
        <v>556321696.87499976</v>
      </c>
      <c r="O129">
        <v>14081.892952148435</v>
      </c>
      <c r="P129">
        <v>890114714.99999976</v>
      </c>
      <c r="Q129">
        <v>10000</v>
      </c>
      <c r="R129">
        <v>420</v>
      </c>
      <c r="S129">
        <v>0.9</v>
      </c>
      <c r="T129">
        <v>24285.381119999998</v>
      </c>
      <c r="U129">
        <v>0</v>
      </c>
      <c r="V129">
        <v>200</v>
      </c>
      <c r="W129">
        <v>150</v>
      </c>
      <c r="X129">
        <v>20</v>
      </c>
      <c r="Y129">
        <v>5000</v>
      </c>
      <c r="Z129">
        <v>20</v>
      </c>
      <c r="AA129">
        <v>10</v>
      </c>
    </row>
    <row r="130" spans="1:27" ht="15" x14ac:dyDescent="0.15">
      <c r="A130" s="54" t="s">
        <v>446</v>
      </c>
      <c r="B130" s="13" t="s">
        <v>450</v>
      </c>
      <c r="C130" t="s">
        <v>441</v>
      </c>
      <c r="F130">
        <v>500</v>
      </c>
      <c r="I130">
        <v>500</v>
      </c>
      <c r="J130" s="1">
        <v>0.1</v>
      </c>
      <c r="N130">
        <v>3397572240.2191601</v>
      </c>
      <c r="O130">
        <v>29898.635713928601</v>
      </c>
      <c r="P130">
        <v>6795144480.4383202</v>
      </c>
      <c r="Q130">
        <v>30000</v>
      </c>
      <c r="R130">
        <v>465</v>
      </c>
      <c r="S130">
        <v>0.75</v>
      </c>
      <c r="T130">
        <v>234918.99927876799</v>
      </c>
      <c r="U130">
        <v>0</v>
      </c>
      <c r="V130">
        <v>200</v>
      </c>
      <c r="W130">
        <v>500</v>
      </c>
      <c r="X130">
        <v>20</v>
      </c>
      <c r="Y130">
        <v>8000</v>
      </c>
      <c r="Z130">
        <v>20</v>
      </c>
      <c r="AA130">
        <v>500</v>
      </c>
    </row>
    <row r="131" spans="1:27" ht="15" x14ac:dyDescent="0.15">
      <c r="A131" s="54" t="s">
        <v>451</v>
      </c>
      <c r="B131" s="13" t="s">
        <v>455</v>
      </c>
      <c r="C131" t="s">
        <v>440</v>
      </c>
      <c r="F131">
        <v>500</v>
      </c>
      <c r="I131">
        <v>500</v>
      </c>
      <c r="J131" s="1">
        <v>0.1</v>
      </c>
      <c r="K131" s="1" t="s">
        <v>442</v>
      </c>
      <c r="N131">
        <v>556321696.87499976</v>
      </c>
      <c r="O131">
        <v>14081.892952148435</v>
      </c>
      <c r="P131">
        <v>890114714.99999976</v>
      </c>
      <c r="Q131">
        <v>10000</v>
      </c>
      <c r="R131">
        <v>420</v>
      </c>
      <c r="S131">
        <v>0.9</v>
      </c>
      <c r="T131">
        <v>24285.381119999998</v>
      </c>
      <c r="U131">
        <v>0</v>
      </c>
      <c r="V131">
        <v>200</v>
      </c>
      <c r="W131">
        <v>150</v>
      </c>
      <c r="X131">
        <v>20</v>
      </c>
      <c r="Y131">
        <v>5000</v>
      </c>
      <c r="Z131">
        <v>20</v>
      </c>
      <c r="AA131">
        <v>10</v>
      </c>
    </row>
    <row r="132" spans="1:27" ht="15" x14ac:dyDescent="0.15">
      <c r="A132" s="54" t="s">
        <v>452</v>
      </c>
      <c r="B132" s="13" t="s">
        <v>456</v>
      </c>
      <c r="C132" t="s">
        <v>441</v>
      </c>
      <c r="F132">
        <v>500</v>
      </c>
      <c r="I132">
        <v>500</v>
      </c>
      <c r="J132" s="1">
        <v>0.1</v>
      </c>
      <c r="N132">
        <v>3397572240.2191615</v>
      </c>
      <c r="O132">
        <v>29898.635713928608</v>
      </c>
      <c r="P132">
        <v>6795144480.438323</v>
      </c>
      <c r="Q132">
        <v>30000</v>
      </c>
      <c r="R132">
        <v>465</v>
      </c>
      <c r="S132">
        <v>0.75</v>
      </c>
      <c r="T132">
        <v>234918.99927876799</v>
      </c>
      <c r="U132">
        <v>0</v>
      </c>
      <c r="V132">
        <v>200</v>
      </c>
      <c r="W132">
        <v>500</v>
      </c>
      <c r="X132">
        <v>20</v>
      </c>
      <c r="Y132">
        <v>8000</v>
      </c>
      <c r="Z132">
        <v>20</v>
      </c>
      <c r="AA132">
        <v>500</v>
      </c>
    </row>
    <row r="133" spans="1:27" ht="15" x14ac:dyDescent="0.15">
      <c r="A133" s="54" t="s">
        <v>453</v>
      </c>
      <c r="B133" s="13" t="s">
        <v>457</v>
      </c>
      <c r="C133" t="s">
        <v>440</v>
      </c>
      <c r="F133">
        <v>500</v>
      </c>
      <c r="I133">
        <v>500</v>
      </c>
      <c r="J133" s="1">
        <v>0.1</v>
      </c>
      <c r="K133" s="1" t="s">
        <v>442</v>
      </c>
      <c r="N133">
        <v>556321696.87499976</v>
      </c>
      <c r="O133">
        <v>14081.892952148435</v>
      </c>
      <c r="P133">
        <v>890114714.99999976</v>
      </c>
      <c r="Q133">
        <v>10000</v>
      </c>
      <c r="R133">
        <v>420</v>
      </c>
      <c r="S133">
        <v>0.9</v>
      </c>
      <c r="T133">
        <v>24285.381119999998</v>
      </c>
      <c r="U133">
        <v>0</v>
      </c>
      <c r="V133">
        <v>200</v>
      </c>
      <c r="W133">
        <v>150</v>
      </c>
      <c r="X133">
        <v>20</v>
      </c>
      <c r="Y133">
        <v>5000</v>
      </c>
      <c r="Z133">
        <v>20</v>
      </c>
      <c r="AA133">
        <v>10</v>
      </c>
    </row>
    <row r="134" spans="1:27" ht="15" x14ac:dyDescent="0.15">
      <c r="A134" s="54" t="s">
        <v>454</v>
      </c>
      <c r="B134" s="13" t="s">
        <v>458</v>
      </c>
      <c r="C134" t="s">
        <v>441</v>
      </c>
      <c r="F134">
        <v>500</v>
      </c>
      <c r="I134">
        <v>500</v>
      </c>
      <c r="J134" s="1">
        <v>0.1</v>
      </c>
      <c r="N134">
        <v>3397572240.2191601</v>
      </c>
      <c r="O134">
        <v>29898.635713928601</v>
      </c>
      <c r="P134">
        <v>6795144480.4383202</v>
      </c>
      <c r="Q134">
        <v>30000</v>
      </c>
      <c r="R134">
        <v>465</v>
      </c>
      <c r="S134">
        <v>0.75</v>
      </c>
      <c r="T134">
        <v>234918.99927876799</v>
      </c>
      <c r="U134">
        <v>0</v>
      </c>
      <c r="V134">
        <v>200</v>
      </c>
      <c r="W134">
        <v>500</v>
      </c>
      <c r="X134">
        <v>20</v>
      </c>
      <c r="Y134">
        <v>8000</v>
      </c>
      <c r="Z134">
        <v>20</v>
      </c>
      <c r="AA134">
        <v>500</v>
      </c>
    </row>
    <row r="135" spans="1:27" ht="15" x14ac:dyDescent="0.15">
      <c r="A135" s="54" t="s">
        <v>461</v>
      </c>
      <c r="B135" s="13" t="s">
        <v>459</v>
      </c>
      <c r="C135" t="s">
        <v>441</v>
      </c>
      <c r="F135">
        <v>500</v>
      </c>
      <c r="I135">
        <v>500</v>
      </c>
      <c r="J135" s="1">
        <v>0.1</v>
      </c>
      <c r="N135">
        <v>20000000</v>
      </c>
      <c r="O135">
        <v>720</v>
      </c>
      <c r="P135">
        <v>40000000</v>
      </c>
      <c r="Q135">
        <v>10000</v>
      </c>
      <c r="R135">
        <v>465</v>
      </c>
      <c r="S135">
        <v>0.75</v>
      </c>
      <c r="T135">
        <v>4000</v>
      </c>
      <c r="U135">
        <v>0</v>
      </c>
      <c r="V135">
        <v>200</v>
      </c>
      <c r="W135">
        <v>250</v>
      </c>
      <c r="X135">
        <v>20</v>
      </c>
      <c r="Y135">
        <v>2700</v>
      </c>
      <c r="Z135">
        <v>0</v>
      </c>
      <c r="AA135">
        <v>0</v>
      </c>
    </row>
    <row r="136" spans="1:27" ht="15" x14ac:dyDescent="0.15">
      <c r="A136" s="54" t="s">
        <v>463</v>
      </c>
      <c r="B136" s="13" t="s">
        <v>467</v>
      </c>
      <c r="C136" t="s">
        <v>440</v>
      </c>
      <c r="F136">
        <v>500</v>
      </c>
      <c r="I136">
        <v>500</v>
      </c>
      <c r="J136" s="1">
        <v>0.1</v>
      </c>
      <c r="K136" s="1" t="s">
        <v>442</v>
      </c>
      <c r="N136">
        <v>556321696.87499976</v>
      </c>
      <c r="O136">
        <v>14081.892952148435</v>
      </c>
      <c r="P136">
        <v>890114714.99999976</v>
      </c>
      <c r="Q136">
        <v>10000</v>
      </c>
      <c r="R136">
        <v>420</v>
      </c>
      <c r="S136">
        <v>0.9</v>
      </c>
      <c r="T136">
        <v>24285.381119999998</v>
      </c>
      <c r="U136">
        <v>0</v>
      </c>
      <c r="V136">
        <v>200</v>
      </c>
      <c r="W136">
        <v>150</v>
      </c>
      <c r="X136">
        <v>20</v>
      </c>
      <c r="Y136">
        <v>5000</v>
      </c>
      <c r="Z136">
        <v>20</v>
      </c>
      <c r="AA136">
        <v>10</v>
      </c>
    </row>
    <row r="137" spans="1:27" ht="15" x14ac:dyDescent="0.15">
      <c r="A137" s="54" t="s">
        <v>464</v>
      </c>
      <c r="B137" s="13" t="s">
        <v>468</v>
      </c>
      <c r="C137" t="s">
        <v>441</v>
      </c>
      <c r="F137">
        <v>500</v>
      </c>
      <c r="I137">
        <v>500</v>
      </c>
      <c r="J137" s="1">
        <v>0.1</v>
      </c>
      <c r="N137">
        <v>3397572240.2191615</v>
      </c>
      <c r="O137">
        <v>29898.635713928608</v>
      </c>
      <c r="P137">
        <v>6795144480.438323</v>
      </c>
      <c r="Q137">
        <v>30000</v>
      </c>
      <c r="R137">
        <v>465</v>
      </c>
      <c r="S137">
        <v>0.75</v>
      </c>
      <c r="T137">
        <v>234918.99927876799</v>
      </c>
      <c r="U137">
        <v>0</v>
      </c>
      <c r="V137">
        <v>200</v>
      </c>
      <c r="W137">
        <v>500</v>
      </c>
      <c r="X137">
        <v>20</v>
      </c>
      <c r="Y137">
        <v>8000</v>
      </c>
      <c r="Z137">
        <v>20</v>
      </c>
      <c r="AA137">
        <v>500</v>
      </c>
    </row>
    <row r="138" spans="1:27" ht="15" x14ac:dyDescent="0.15">
      <c r="A138" s="54" t="s">
        <v>465</v>
      </c>
      <c r="B138" s="13" t="s">
        <v>469</v>
      </c>
      <c r="C138" t="s">
        <v>440</v>
      </c>
      <c r="F138">
        <v>500</v>
      </c>
      <c r="I138">
        <v>500</v>
      </c>
      <c r="J138" s="1">
        <v>0.1</v>
      </c>
      <c r="K138" s="1" t="s">
        <v>442</v>
      </c>
      <c r="N138">
        <v>556321696.87499976</v>
      </c>
      <c r="O138">
        <v>14081.892952148435</v>
      </c>
      <c r="P138">
        <v>890114714.99999976</v>
      </c>
      <c r="Q138">
        <v>10000</v>
      </c>
      <c r="R138">
        <v>420</v>
      </c>
      <c r="S138">
        <v>0.9</v>
      </c>
      <c r="T138">
        <v>24285.381119999998</v>
      </c>
      <c r="U138">
        <v>0</v>
      </c>
      <c r="V138">
        <v>200</v>
      </c>
      <c r="W138">
        <v>150</v>
      </c>
      <c r="X138">
        <v>20</v>
      </c>
      <c r="Y138">
        <v>5000</v>
      </c>
      <c r="Z138">
        <v>20</v>
      </c>
      <c r="AA138">
        <v>10</v>
      </c>
    </row>
    <row r="139" spans="1:27" ht="15" x14ac:dyDescent="0.15">
      <c r="A139" s="54" t="s">
        <v>466</v>
      </c>
      <c r="B139" s="13" t="s">
        <v>470</v>
      </c>
      <c r="C139" t="s">
        <v>441</v>
      </c>
      <c r="F139">
        <v>500</v>
      </c>
      <c r="I139">
        <v>500</v>
      </c>
      <c r="J139" s="1">
        <v>0.1</v>
      </c>
      <c r="N139">
        <v>3397572240.2191601</v>
      </c>
      <c r="O139">
        <v>29898.635713928601</v>
      </c>
      <c r="P139">
        <v>6795144480.4383202</v>
      </c>
      <c r="Q139">
        <v>30000</v>
      </c>
      <c r="R139">
        <v>465</v>
      </c>
      <c r="S139">
        <v>0.75</v>
      </c>
      <c r="T139">
        <v>234918.99927876799</v>
      </c>
      <c r="U139">
        <v>0</v>
      </c>
      <c r="V139">
        <v>200</v>
      </c>
      <c r="W139">
        <v>500</v>
      </c>
      <c r="X139">
        <v>20</v>
      </c>
      <c r="Y139">
        <v>8000</v>
      </c>
      <c r="Z139">
        <v>20</v>
      </c>
      <c r="AA139">
        <v>500</v>
      </c>
    </row>
    <row r="140" spans="1:27" ht="15" x14ac:dyDescent="0.15">
      <c r="A140" s="58" t="s">
        <v>477</v>
      </c>
      <c r="B140" s="13" t="s">
        <v>478</v>
      </c>
      <c r="C140" t="s">
        <v>440</v>
      </c>
      <c r="F140">
        <v>500</v>
      </c>
      <c r="I140">
        <v>500</v>
      </c>
      <c r="J140" s="1">
        <v>0.1</v>
      </c>
      <c r="N140" s="26">
        <v>8</v>
      </c>
      <c r="O140" s="26">
        <v>4.5</v>
      </c>
      <c r="P140" s="26">
        <v>100</v>
      </c>
      <c r="Q140">
        <v>30000</v>
      </c>
      <c r="R140">
        <v>465</v>
      </c>
      <c r="S140">
        <v>0.75</v>
      </c>
      <c r="T140">
        <v>234918.99927876799</v>
      </c>
      <c r="U140">
        <v>0</v>
      </c>
      <c r="V140">
        <v>200</v>
      </c>
      <c r="W140">
        <v>500</v>
      </c>
      <c r="X140">
        <v>20</v>
      </c>
      <c r="Y140">
        <v>8000</v>
      </c>
      <c r="Z140">
        <v>20</v>
      </c>
      <c r="AA140">
        <v>500</v>
      </c>
    </row>
    <row r="141" spans="1:27" ht="15" x14ac:dyDescent="0.15">
      <c r="A141" s="58" t="s">
        <v>481</v>
      </c>
      <c r="B141" s="13" t="s">
        <v>482</v>
      </c>
      <c r="C141" t="s">
        <v>441</v>
      </c>
      <c r="F141">
        <v>500</v>
      </c>
      <c r="I141">
        <v>500</v>
      </c>
      <c r="J141" s="1">
        <v>0.1</v>
      </c>
      <c r="N141">
        <v>3397572240.2191601</v>
      </c>
      <c r="O141">
        <v>29898.635713928601</v>
      </c>
      <c r="P141">
        <v>6795144480.4383202</v>
      </c>
      <c r="Q141">
        <v>30000</v>
      </c>
      <c r="R141">
        <v>465</v>
      </c>
      <c r="S141">
        <v>0.75</v>
      </c>
      <c r="T141">
        <v>234918.99927876799</v>
      </c>
      <c r="U141">
        <v>0</v>
      </c>
      <c r="V141">
        <v>200</v>
      </c>
      <c r="W141">
        <v>500</v>
      </c>
      <c r="X141">
        <v>20</v>
      </c>
      <c r="Y141">
        <v>8000</v>
      </c>
      <c r="Z141">
        <v>20</v>
      </c>
      <c r="AA141">
        <v>500</v>
      </c>
    </row>
  </sheetData>
  <phoneticPr fontId="1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O115 O33 O37:O3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2019-11-11T09:01:00Z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