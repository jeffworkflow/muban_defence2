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090" tabRatio="682" activeTab="1"/>
  </bookViews>
  <sheets>
    <sheet name="掉落概率表格" sheetId="33" r:id="rId1"/>
    <sheet name="可存档物品" sheetId="31" r:id="rId2"/>
    <sheet name="品质" sheetId="30" r:id="rId3"/>
    <sheet name="特殊属性库" sheetId="32" r:id="rId4"/>
    <sheet name="思考" sheetId="27" r:id="rId5"/>
  </sheets>
  <definedNames>
    <definedName name="_xlnm._FilterDatabase" localSheetId="4" hidden="1">思考!$A$3:$BX$3</definedName>
  </definedNames>
  <calcPr calcId="144525"/>
</workbook>
</file>

<file path=xl/sharedStrings.xml><?xml version="1.0" encoding="utf-8"?>
<sst xmlns="http://schemas.openxmlformats.org/spreadsheetml/2006/main" count="891" uniqueCount="316">
  <si>
    <t>不同等级的物品，掉落概率和难度相关，如右下表</t>
  </si>
  <si>
    <t>难度</t>
  </si>
  <si>
    <t>一级物品掉落概率</t>
  </si>
  <si>
    <t>二级物品掉落概率</t>
  </si>
  <si>
    <t>三级物品掉落概率</t>
  </si>
  <si>
    <t>四级物品掉落概率</t>
  </si>
  <si>
    <t>合计</t>
  </si>
  <si>
    <t>名称</t>
  </si>
  <si>
    <t>图标</t>
  </si>
  <si>
    <t>地图等级限制</t>
  </si>
  <si>
    <t>等级</t>
  </si>
  <si>
    <t>品质</t>
  </si>
  <si>
    <t>基本属性
（随机生成时候，会有50%-150%的波动）</t>
  </si>
  <si>
    <t>特殊属性的数量</t>
  </si>
  <si>
    <t>特殊属性（基本）</t>
  </si>
  <si>
    <t>特殊属性（百分比）</t>
  </si>
  <si>
    <t>霓光刀</t>
  </si>
  <si>
    <t>yiji1.blp</t>
  </si>
  <si>
    <t>（装备等级-1）*6+（装备品质-1）*3</t>
  </si>
  <si>
    <t>一级武器</t>
  </si>
  <si>
    <t>四种品质：白-蓝-金-暗金，对应品质数值1-4，查看工作表“品质”</t>
  </si>
  <si>
    <t>+2000000攻击</t>
  </si>
  <si>
    <t>数量可能有0-8个，和物品品质相关，查看工作表“品质”</t>
  </si>
  <si>
    <t>查看工作表“特殊属性库”</t>
  </si>
  <si>
    <t>（0.6+装备等级*0.4）*特殊属性加成b（查看工作表“品质”）</t>
  </si>
  <si>
    <t>霓光甲</t>
  </si>
  <si>
    <t>yiji2.blp</t>
  </si>
  <si>
    <t>一级衣服</t>
  </si>
  <si>
    <t>+1000护甲</t>
  </si>
  <si>
    <t>霓光面罩</t>
  </si>
  <si>
    <t>yiji3.blp</t>
  </si>
  <si>
    <t>一级头盔</t>
  </si>
  <si>
    <t>+1000000技能伤害</t>
  </si>
  <si>
    <t>霓光靴</t>
  </si>
  <si>
    <t>yiji4.blp</t>
  </si>
  <si>
    <t>一级鞋子</t>
  </si>
  <si>
    <t>+500护甲
+25移动速度</t>
  </si>
  <si>
    <t>霓光腰带</t>
  </si>
  <si>
    <t>yiji5.blp</t>
  </si>
  <si>
    <t>一级腰带</t>
  </si>
  <si>
    <t>+3000000生命上限</t>
  </si>
  <si>
    <t>霓光之钩</t>
  </si>
  <si>
    <t>yiji6.blp</t>
  </si>
  <si>
    <t>一级手套</t>
  </si>
  <si>
    <t>+500护甲
+25%攻击速度</t>
  </si>
  <si>
    <t>血腥三月镰</t>
  </si>
  <si>
    <t>erji1.blp</t>
  </si>
  <si>
    <t>二级武器</t>
  </si>
  <si>
    <t>+4000000攻击</t>
  </si>
  <si>
    <t>血腥三月甲</t>
  </si>
  <si>
    <t>erji2.blp</t>
  </si>
  <si>
    <t>二级衣服</t>
  </si>
  <si>
    <t>+2000护甲</t>
  </si>
  <si>
    <t>血腥三月面罩</t>
  </si>
  <si>
    <t>erji3.blp</t>
  </si>
  <si>
    <t>二级头盔</t>
  </si>
  <si>
    <t>+2000000技能伤害</t>
  </si>
  <si>
    <t>血腥三月鞋</t>
  </si>
  <si>
    <t>erji4.blp</t>
  </si>
  <si>
    <t>二级鞋子</t>
  </si>
  <si>
    <t>+1000护甲
+50移动速度</t>
  </si>
  <si>
    <t>血腥三月腰带</t>
  </si>
  <si>
    <t>erji5.blp</t>
  </si>
  <si>
    <t>二级腰带</t>
  </si>
  <si>
    <t>+6000000生命上限</t>
  </si>
  <si>
    <t>血腥三月护手</t>
  </si>
  <si>
    <t>erji6.blp</t>
  </si>
  <si>
    <t>二级手套</t>
  </si>
  <si>
    <t>+1000护甲
+50%攻击速度</t>
  </si>
  <si>
    <t>银霜法杖</t>
  </si>
  <si>
    <t>sanji1.blp</t>
  </si>
  <si>
    <t>三级武器</t>
  </si>
  <si>
    <t>+8000000攻击</t>
  </si>
  <si>
    <t>银霜甲</t>
  </si>
  <si>
    <t>sanji2.blp</t>
  </si>
  <si>
    <t>三级衣服</t>
  </si>
  <si>
    <t>+4000护甲</t>
  </si>
  <si>
    <t>银霜头盔</t>
  </si>
  <si>
    <t>sanji3.blp</t>
  </si>
  <si>
    <t>三级头盔</t>
  </si>
  <si>
    <t>+4000000技能伤害</t>
  </si>
  <si>
    <t>银霜鞋</t>
  </si>
  <si>
    <t>sanji4.blp</t>
  </si>
  <si>
    <t>三级鞋子</t>
  </si>
  <si>
    <t>+2000护甲
+100移动速度</t>
  </si>
  <si>
    <t>银霜腰带</t>
  </si>
  <si>
    <t>sanji5.blp</t>
  </si>
  <si>
    <t>三级腰带</t>
  </si>
  <si>
    <t>+12000000生命上限</t>
  </si>
  <si>
    <t>银霜护手</t>
  </si>
  <si>
    <t>sanji6.blp</t>
  </si>
  <si>
    <t>三级手套</t>
  </si>
  <si>
    <t>+2000护甲
+100%攻击速度</t>
  </si>
  <si>
    <t>菲普斯的法杖</t>
  </si>
  <si>
    <t>siji1.blp</t>
  </si>
  <si>
    <t>四级武器</t>
  </si>
  <si>
    <t>+16000000攻击</t>
  </si>
  <si>
    <t>菲普斯的战甲</t>
  </si>
  <si>
    <t>siji2.blp</t>
  </si>
  <si>
    <t>四级衣服</t>
  </si>
  <si>
    <t>+8000护甲</t>
  </si>
  <si>
    <t>菲普斯的面具</t>
  </si>
  <si>
    <t>siji3.blp</t>
  </si>
  <si>
    <t>四级头盔</t>
  </si>
  <si>
    <t>+8000000技能伤害</t>
  </si>
  <si>
    <t>菲普斯的鞋子</t>
  </si>
  <si>
    <t>siji4.blp</t>
  </si>
  <si>
    <t>四级鞋子</t>
  </si>
  <si>
    <t>+4000护甲
+200移动速度</t>
  </si>
  <si>
    <t>菲普斯的护腰</t>
  </si>
  <si>
    <t>siji5.blp</t>
  </si>
  <si>
    <t>四级腰带</t>
  </si>
  <si>
    <t>+24000000生命上限</t>
  </si>
  <si>
    <t>菲普斯的护手</t>
  </si>
  <si>
    <t>siji6.blp</t>
  </si>
  <si>
    <t>四级手套</t>
  </si>
  <si>
    <t>+4000护甲
+200%攻击速度</t>
  </si>
  <si>
    <t>概率</t>
  </si>
  <si>
    <t>特殊属性数量（随机）</t>
  </si>
  <si>
    <t>特殊属性加成b</t>
  </si>
  <si>
    <t>影戏地图等级因素b</t>
  </si>
  <si>
    <t>白</t>
  </si>
  <si>
    <t>0、1</t>
  </si>
  <si>
    <t>蓝</t>
  </si>
  <si>
    <t>2、3</t>
  </si>
  <si>
    <t>金</t>
  </si>
  <si>
    <t>4、5</t>
  </si>
  <si>
    <t>暗金</t>
  </si>
  <si>
    <t>6、7、8</t>
  </si>
  <si>
    <t>属性名</t>
  </si>
  <si>
    <t>值</t>
  </si>
  <si>
    <t>杀敌数加成</t>
  </si>
  <si>
    <t>木头加成</t>
  </si>
  <si>
    <t>魔丸加成</t>
  </si>
  <si>
    <t>物品获取率</t>
  </si>
  <si>
    <t>吸血</t>
  </si>
  <si>
    <t>暴击几率</t>
  </si>
  <si>
    <t>技暴几率</t>
  </si>
  <si>
    <t>暴击伤害</t>
  </si>
  <si>
    <t>技暴伤害</t>
  </si>
  <si>
    <t>全伤加深</t>
  </si>
  <si>
    <t>减伤</t>
  </si>
  <si>
    <t>免伤几率</t>
  </si>
  <si>
    <t>闪避</t>
  </si>
  <si>
    <t>每秒回血</t>
  </si>
  <si>
    <t>触发概率加成</t>
  </si>
  <si>
    <t>技能冷却</t>
  </si>
  <si>
    <t>攻击速度</t>
  </si>
  <si>
    <t>分裂伤害</t>
  </si>
  <si>
    <t>物理伤害加深</t>
  </si>
  <si>
    <t>技能伤害加深</t>
  </si>
  <si>
    <t>对BOSS额外伤害</t>
  </si>
  <si>
    <t>全属性</t>
  </si>
  <si>
    <t>杀怪加全属性</t>
  </si>
  <si>
    <t>攻击加全属性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</si>
  <si>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</si>
  <si>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</si>
  <si>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</si>
  <si>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</si>
  <si>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</si>
  <si>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</si>
  <si>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</si>
  <si>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</si>
  <si>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</si>
  <si>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</si>
  <si>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</si>
  <si>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</si>
  <si>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</si>
  <si>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</si>
  <si>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</si>
  <si>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</si>
  <si>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</si>
  <si>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</si>
  <si>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攻击减甲</t>
  </si>
  <si>
    <t>攻击间隔</t>
  </si>
  <si>
    <t>生命恢复</t>
  </si>
  <si>
    <t>攻击回血</t>
  </si>
  <si>
    <t>杀怪回血</t>
  </si>
  <si>
    <t>减少周围护甲</t>
  </si>
  <si>
    <t>伤害减少</t>
  </si>
  <si>
    <t>攻击距离</t>
  </si>
  <si>
    <t>移动速度</t>
  </si>
  <si>
    <t>多重射</t>
  </si>
  <si>
    <t>string</t>
  </si>
  <si>
    <t>名字</t>
  </si>
  <si>
    <t>类型</t>
  </si>
  <si>
    <t>(仅远程有效)</t>
  </si>
  <si>
    <t>name</t>
  </si>
  <si>
    <t>item_type</t>
  </si>
  <si>
    <t>level_map</t>
  </si>
  <si>
    <r>
      <rPr>
        <sz val="11"/>
        <color theme="1"/>
        <rFont val="宋体"/>
        <charset val="134"/>
        <scheme val="minor"/>
      </rPr>
      <t>c</t>
    </r>
    <r>
      <rPr>
        <sz val="11"/>
        <color theme="1"/>
        <rFont val="宋体"/>
        <charset val="134"/>
        <scheme val="minor"/>
      </rPr>
      <t>olor</t>
    </r>
  </si>
  <si>
    <t>art</t>
  </si>
  <si>
    <t>影戏地图等级因素1</t>
  </si>
  <si>
    <t>特殊属性加成</t>
  </si>
  <si>
    <t>特殊属性</t>
  </si>
  <si>
    <t>条数</t>
  </si>
  <si>
    <t>每个词条的加成百分比</t>
  </si>
  <si>
    <t>综合加成</t>
  </si>
  <si>
    <t>最低值</t>
  </si>
  <si>
    <t>最高值</t>
  </si>
  <si>
    <t>一级武器白</t>
  </si>
  <si>
    <t>一级白色词条库</t>
  </si>
  <si>
    <t>0-1</t>
  </si>
  <si>
    <t>一级衣服白</t>
  </si>
  <si>
    <t>一级蓝色词条库</t>
  </si>
  <si>
    <t>2-3</t>
  </si>
  <si>
    <t>一级头盔白</t>
  </si>
  <si>
    <t>一级金色词条库</t>
  </si>
  <si>
    <t>4-5</t>
  </si>
  <si>
    <t>一级鞋子白</t>
  </si>
  <si>
    <t>一级暗金色词条库</t>
  </si>
  <si>
    <t>6-8</t>
  </si>
  <si>
    <t>一级腰带白</t>
  </si>
  <si>
    <t>二级白色词条库</t>
  </si>
  <si>
    <t>一级手套白</t>
  </si>
  <si>
    <t>二级蓝色词条库</t>
  </si>
  <si>
    <t>一级武器蓝</t>
  </si>
  <si>
    <t>二级金色词条库</t>
  </si>
  <si>
    <t>一级衣服蓝</t>
  </si>
  <si>
    <t>二级暗金色词条库</t>
  </si>
  <si>
    <t>一级头盔蓝</t>
  </si>
  <si>
    <t>三级白色词条库</t>
  </si>
  <si>
    <t>一级鞋子蓝</t>
  </si>
  <si>
    <t>三级蓝色词条库</t>
  </si>
  <si>
    <t>一级腰带蓝</t>
  </si>
  <si>
    <t>三级金色词条库</t>
  </si>
  <si>
    <t>一级手套蓝</t>
  </si>
  <si>
    <t>三级暗金色词条库</t>
  </si>
  <si>
    <t>一级武器金</t>
  </si>
  <si>
    <t>四级白色词条库</t>
  </si>
  <si>
    <t>一级衣服金</t>
  </si>
  <si>
    <t>四级蓝色词条库</t>
  </si>
  <si>
    <t>一级头盔金</t>
  </si>
  <si>
    <t>四级金色词条库</t>
  </si>
  <si>
    <t>一级鞋子金</t>
  </si>
  <si>
    <t>四级暗金色词条库</t>
  </si>
  <si>
    <t>一级腰带金</t>
  </si>
  <si>
    <t>一级手套金</t>
  </si>
  <si>
    <t>一级武器暗金</t>
  </si>
  <si>
    <t>一级衣服暗金</t>
  </si>
  <si>
    <t>一级头盔暗金</t>
  </si>
  <si>
    <t>一级鞋子暗金</t>
  </si>
  <si>
    <t>一级腰带暗金</t>
  </si>
  <si>
    <t>一级手套暗金</t>
  </si>
  <si>
    <t>二级武器白</t>
  </si>
  <si>
    <t>二级衣服白</t>
  </si>
  <si>
    <t>二级头盔白</t>
  </si>
  <si>
    <t>二级鞋子白</t>
  </si>
  <si>
    <t>二级腰带白</t>
  </si>
  <si>
    <t>二级手套白</t>
  </si>
  <si>
    <t>二级武器蓝</t>
  </si>
  <si>
    <t>二级衣服蓝</t>
  </si>
  <si>
    <t>二级头盔蓝</t>
  </si>
  <si>
    <t>二级鞋子蓝</t>
  </si>
  <si>
    <t>二级腰带蓝</t>
  </si>
  <si>
    <t>二级手套蓝</t>
  </si>
  <si>
    <t>二级武器金</t>
  </si>
  <si>
    <t>二级衣服金</t>
  </si>
  <si>
    <t>二级头盔金</t>
  </si>
  <si>
    <t>二级鞋子金</t>
  </si>
  <si>
    <t>二级腰带金</t>
  </si>
  <si>
    <t>二级手套金</t>
  </si>
  <si>
    <t>二级武器暗金</t>
  </si>
  <si>
    <t>二级衣服暗金</t>
  </si>
  <si>
    <t>二级头盔暗金</t>
  </si>
  <si>
    <t>二级鞋子暗金</t>
  </si>
  <si>
    <t>二级腰带暗金</t>
  </si>
  <si>
    <t>二级手套暗金</t>
  </si>
  <si>
    <t>三级武器白</t>
  </si>
  <si>
    <t>三级衣服白</t>
  </si>
  <si>
    <t>三级头盔白</t>
  </si>
  <si>
    <t>三级鞋子白</t>
  </si>
  <si>
    <t>三级腰带白</t>
  </si>
  <si>
    <t>三级手套白</t>
  </si>
  <si>
    <t>三级武器蓝</t>
  </si>
  <si>
    <t>三级衣服蓝</t>
  </si>
  <si>
    <t>三级头盔蓝</t>
  </si>
  <si>
    <t>三级鞋子蓝</t>
  </si>
  <si>
    <t>三级腰带蓝</t>
  </si>
  <si>
    <t>三级手套蓝</t>
  </si>
  <si>
    <t>三级武器金</t>
  </si>
  <si>
    <t>三级衣服金</t>
  </si>
  <si>
    <t>三级头盔金</t>
  </si>
  <si>
    <t>三级鞋子金</t>
  </si>
  <si>
    <t>三级腰带金</t>
  </si>
  <si>
    <t>三级手套金</t>
  </si>
  <si>
    <t>三级武器暗金</t>
  </si>
  <si>
    <t>三级衣服暗金</t>
  </si>
  <si>
    <t>三级头盔暗金</t>
  </si>
  <si>
    <t>三级鞋子暗金</t>
  </si>
  <si>
    <t>三级腰带暗金</t>
  </si>
  <si>
    <t>三级手套暗金</t>
  </si>
  <si>
    <t>四级武器白</t>
  </si>
  <si>
    <t>四级衣服白</t>
  </si>
  <si>
    <t>四级头盔白</t>
  </si>
  <si>
    <t>四级鞋子白</t>
  </si>
  <si>
    <t>四级腰带白</t>
  </si>
  <si>
    <t>四级手套白</t>
  </si>
  <si>
    <t>四级武器蓝</t>
  </si>
  <si>
    <t>四级衣服蓝</t>
  </si>
  <si>
    <t>四级头盔蓝</t>
  </si>
  <si>
    <t>四级鞋子蓝</t>
  </si>
  <si>
    <t>四级腰带蓝</t>
  </si>
  <si>
    <t>四级手套蓝</t>
  </si>
  <si>
    <t>四级武器金</t>
  </si>
  <si>
    <t>四级衣服金</t>
  </si>
  <si>
    <t>四级头盔金</t>
  </si>
  <si>
    <t>四级鞋子金</t>
  </si>
  <si>
    <t>四级腰带金</t>
  </si>
  <si>
    <t>四级手套金</t>
  </si>
  <si>
    <t>四级武器暗金</t>
  </si>
  <si>
    <t>四级衣服暗金</t>
  </si>
  <si>
    <t>四级头盔暗金</t>
  </si>
  <si>
    <t>四级鞋子暗金</t>
  </si>
  <si>
    <t>四级腰带暗金</t>
  </si>
  <si>
    <t>四级手套暗金</t>
  </si>
</sst>
</file>

<file path=xl/styles.xml><?xml version="1.0" encoding="utf-8"?>
<styleSheet xmlns="http://schemas.openxmlformats.org/spreadsheetml/2006/main">
  <numFmts count="8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0.0%"/>
    <numFmt numFmtId="177" formatCode="0.0_ "/>
    <numFmt numFmtId="178" formatCode="0_ "/>
    <numFmt numFmtId="179" formatCode="0.00_ "/>
  </numFmts>
  <fonts count="25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indexed="8"/>
      <name val="宋体"/>
      <charset val="134"/>
    </font>
    <font>
      <sz val="11"/>
      <name val="宋体"/>
      <charset val="134"/>
    </font>
    <font>
      <sz val="11"/>
      <color theme="1"/>
      <name val="宋体"/>
      <charset val="134"/>
      <scheme val="minor"/>
    </font>
    <font>
      <sz val="11"/>
      <color indexed="8"/>
      <name val="宋体"/>
      <charset val="134"/>
    </font>
    <font>
      <sz val="11"/>
      <color theme="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16" fillId="17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21" borderId="4" applyNumberFormat="0" applyFont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4" fillId="28" borderId="8" applyNumberFormat="0" applyAlignment="0" applyProtection="0">
      <alignment vertical="center"/>
    </xf>
    <xf numFmtId="0" fontId="22" fillId="28" borderId="3" applyNumberFormat="0" applyAlignment="0" applyProtection="0">
      <alignment vertical="center"/>
    </xf>
    <xf numFmtId="0" fontId="18" fillId="23" borderId="5" applyNumberForma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15" fillId="0" borderId="2" applyNumberFormat="0" applyFill="0" applyAlignment="0" applyProtection="0">
      <alignment vertical="center"/>
    </xf>
    <xf numFmtId="0" fontId="14" fillId="0" borderId="1" applyNumberFormat="0" applyFill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</cellStyleXfs>
  <cellXfs count="44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 wrapText="1"/>
    </xf>
    <xf numFmtId="176" fontId="1" fillId="0" borderId="0" xfId="0" applyNumberFormat="1" applyFont="1" applyBorder="1" applyAlignment="1">
      <alignment horizontal="center" vertical="center"/>
    </xf>
    <xf numFmtId="176" fontId="3" fillId="0" borderId="0" xfId="0" applyNumberFormat="1" applyFont="1" applyBorder="1" applyAlignment="1">
      <alignment horizontal="center" vertical="center"/>
    </xf>
    <xf numFmtId="178" fontId="0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179" fontId="0" fillId="0" borderId="0" xfId="0" applyNumberFormat="1" applyFont="1" applyAlignment="1">
      <alignment horizontal="center" vertical="center"/>
    </xf>
    <xf numFmtId="178" fontId="0" fillId="0" borderId="0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176" fontId="1" fillId="0" borderId="0" xfId="0" applyNumberFormat="1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176" fontId="1" fillId="0" borderId="0" xfId="0" applyNumberFormat="1" applyFont="1" applyAlignment="1">
      <alignment horizontal="left" vertical="center" wrapText="1"/>
    </xf>
    <xf numFmtId="176" fontId="3" fillId="0" borderId="0" xfId="0" applyNumberFormat="1" applyFont="1" applyBorder="1" applyAlignment="1">
      <alignment horizontal="left" vertical="center"/>
    </xf>
    <xf numFmtId="9" fontId="1" fillId="0" borderId="0" xfId="0" applyNumberFormat="1" applyFont="1" applyAlignment="1">
      <alignment horizontal="left" vertical="center"/>
    </xf>
    <xf numFmtId="178" fontId="0" fillId="0" borderId="0" xfId="0" applyNumberFormat="1" applyAlignment="1">
      <alignment horizontal="left" vertical="center"/>
    </xf>
    <xf numFmtId="178" fontId="0" fillId="0" borderId="0" xfId="0" applyNumberFormat="1" applyFont="1" applyAlignment="1">
      <alignment horizontal="left" vertical="center"/>
    </xf>
    <xf numFmtId="177" fontId="0" fillId="0" borderId="0" xfId="0" applyNumberFormat="1" applyAlignment="1">
      <alignment horizontal="left" vertical="center"/>
    </xf>
    <xf numFmtId="177" fontId="2" fillId="0" borderId="0" xfId="0" applyNumberFormat="1" applyFont="1" applyAlignment="1">
      <alignment horizontal="left" vertical="center"/>
    </xf>
    <xf numFmtId="179" fontId="0" fillId="0" borderId="0" xfId="0" applyNumberFormat="1" applyFont="1" applyAlignment="1">
      <alignment horizontal="left" vertical="center"/>
    </xf>
    <xf numFmtId="179" fontId="2" fillId="0" borderId="0" xfId="0" applyNumberFormat="1" applyFont="1" applyAlignment="1">
      <alignment horizontal="left" vertical="center"/>
    </xf>
    <xf numFmtId="178" fontId="2" fillId="0" borderId="0" xfId="0" applyNumberFormat="1" applyFont="1" applyAlignment="1">
      <alignment horizontal="left" vertical="center"/>
    </xf>
    <xf numFmtId="178" fontId="0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1" fillId="0" borderId="0" xfId="0" applyFont="1" applyAlignment="1" quotePrefix="1">
      <alignment horizontal="center" vertical="center"/>
    </xf>
    <xf numFmtId="0" fontId="1" fillId="0" borderId="0" xfId="0" applyFont="1" applyAlignment="1" quotePrefix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:G15"/>
  <sheetViews>
    <sheetView workbookViewId="0">
      <selection activeCell="A12" sqref="A12"/>
    </sheetView>
  </sheetViews>
  <sheetFormatPr defaultColWidth="9" defaultRowHeight="13.5" outlineLevelCol="6"/>
  <cols>
    <col min="1" max="1" width="49.375" customWidth="1"/>
    <col min="3" max="6" width="20.625" customWidth="1"/>
  </cols>
  <sheetData>
    <row r="2" ht="51" customHeight="1" spans="1:1">
      <c r="A2" s="43" t="s">
        <v>0</v>
      </c>
    </row>
    <row r="4" spans="2:7"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  <c r="G4" s="39" t="s">
        <v>6</v>
      </c>
    </row>
    <row r="5" spans="2:7">
      <c r="B5" s="2">
        <v>1</v>
      </c>
      <c r="C5" s="5">
        <v>0.95</v>
      </c>
      <c r="D5" s="5">
        <v>0.05</v>
      </c>
      <c r="E5" s="5">
        <v>0</v>
      </c>
      <c r="F5" s="5">
        <v>0</v>
      </c>
      <c r="G5" s="39">
        <f t="shared" ref="G5:G15" si="0">C5+D5+E5+F5</f>
        <v>1</v>
      </c>
    </row>
    <row r="6" spans="2:7">
      <c r="B6" s="2">
        <v>2</v>
      </c>
      <c r="C6" s="5">
        <v>0.9</v>
      </c>
      <c r="D6" s="5">
        <v>0.1</v>
      </c>
      <c r="E6" s="5">
        <v>0</v>
      </c>
      <c r="F6" s="5">
        <v>0</v>
      </c>
      <c r="G6" s="39">
        <f t="shared" si="0"/>
        <v>1</v>
      </c>
    </row>
    <row r="7" spans="2:7">
      <c r="B7" s="2">
        <v>3</v>
      </c>
      <c r="C7" s="5">
        <v>0.85</v>
      </c>
      <c r="D7" s="5">
        <v>0.15</v>
      </c>
      <c r="E7" s="5">
        <v>0</v>
      </c>
      <c r="F7" s="5">
        <v>0</v>
      </c>
      <c r="G7" s="39">
        <f t="shared" si="0"/>
        <v>1</v>
      </c>
    </row>
    <row r="8" spans="2:7">
      <c r="B8" s="2">
        <v>4</v>
      </c>
      <c r="C8" s="5">
        <v>0.75</v>
      </c>
      <c r="D8" s="5">
        <v>0.2</v>
      </c>
      <c r="E8" s="5">
        <v>0.05</v>
      </c>
      <c r="F8" s="5">
        <v>0</v>
      </c>
      <c r="G8" s="39">
        <f t="shared" si="0"/>
        <v>1</v>
      </c>
    </row>
    <row r="9" spans="2:7">
      <c r="B9" s="2">
        <v>5</v>
      </c>
      <c r="C9" s="5">
        <v>0.65</v>
      </c>
      <c r="D9" s="5">
        <v>0.25</v>
      </c>
      <c r="E9" s="5">
        <v>0.1</v>
      </c>
      <c r="F9" s="5">
        <v>0</v>
      </c>
      <c r="G9" s="39">
        <f t="shared" si="0"/>
        <v>1</v>
      </c>
    </row>
    <row r="10" spans="2:7">
      <c r="B10" s="2">
        <v>6</v>
      </c>
      <c r="C10" s="5">
        <v>0.55</v>
      </c>
      <c r="D10" s="5">
        <v>0.3</v>
      </c>
      <c r="E10" s="5">
        <v>0.15</v>
      </c>
      <c r="F10" s="5">
        <v>0</v>
      </c>
      <c r="G10" s="39">
        <f t="shared" si="0"/>
        <v>1</v>
      </c>
    </row>
    <row r="11" spans="2:7">
      <c r="B11" s="2">
        <v>7</v>
      </c>
      <c r="C11" s="5">
        <v>0.45</v>
      </c>
      <c r="D11" s="5">
        <v>0.35</v>
      </c>
      <c r="E11" s="5">
        <v>0.2</v>
      </c>
      <c r="F11" s="5">
        <v>0</v>
      </c>
      <c r="G11" s="39">
        <f t="shared" si="0"/>
        <v>1</v>
      </c>
    </row>
    <row r="12" spans="2:7">
      <c r="B12" s="2">
        <v>8</v>
      </c>
      <c r="C12" s="5">
        <v>0.3</v>
      </c>
      <c r="D12" s="5">
        <v>0.4</v>
      </c>
      <c r="E12" s="5">
        <v>0.25</v>
      </c>
      <c r="F12" s="5">
        <v>0.05</v>
      </c>
      <c r="G12" s="39">
        <f t="shared" si="0"/>
        <v>1</v>
      </c>
    </row>
    <row r="13" spans="2:7">
      <c r="B13" s="2">
        <v>9</v>
      </c>
      <c r="C13" s="5">
        <v>0.2</v>
      </c>
      <c r="D13" s="5">
        <v>0.4</v>
      </c>
      <c r="E13" s="5">
        <v>0.3</v>
      </c>
      <c r="F13" s="5">
        <v>0.1</v>
      </c>
      <c r="G13" s="39">
        <f t="shared" si="0"/>
        <v>1</v>
      </c>
    </row>
    <row r="14" spans="2:7">
      <c r="B14" s="2">
        <v>10</v>
      </c>
      <c r="C14" s="5">
        <v>0.1</v>
      </c>
      <c r="D14" s="5">
        <v>0.4</v>
      </c>
      <c r="E14" s="5">
        <v>0.35</v>
      </c>
      <c r="F14" s="5">
        <v>0.15</v>
      </c>
      <c r="G14" s="39">
        <f t="shared" si="0"/>
        <v>1</v>
      </c>
    </row>
    <row r="15" spans="2:7">
      <c r="B15" s="2">
        <v>11</v>
      </c>
      <c r="C15" s="5">
        <v>0</v>
      </c>
      <c r="D15" s="5">
        <v>0.4</v>
      </c>
      <c r="E15" s="5">
        <v>0.4</v>
      </c>
      <c r="F15" s="5">
        <v>0.2</v>
      </c>
      <c r="G15" s="39">
        <f t="shared" si="0"/>
        <v>1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97"/>
  <sheetViews>
    <sheetView tabSelected="1" workbookViewId="0">
      <selection activeCell="E14" sqref="E14"/>
    </sheetView>
  </sheetViews>
  <sheetFormatPr defaultColWidth="9" defaultRowHeight="13.5"/>
  <cols>
    <col min="1" max="2" width="19.85" style="2" customWidth="1"/>
    <col min="3" max="3" width="34.75" style="2" customWidth="1"/>
    <col min="4" max="4" width="18" style="2" customWidth="1"/>
    <col min="5" max="5" width="42" style="2" customWidth="1"/>
    <col min="6" max="6" width="36.175" style="2" customWidth="1"/>
    <col min="7" max="7" width="26.25" style="2" customWidth="1"/>
    <col min="8" max="8" width="27.25" style="2" customWidth="1"/>
    <col min="9" max="9" width="56.625" customWidth="1"/>
  </cols>
  <sheetData>
    <row r="1" ht="49" customHeight="1" spans="1:9">
      <c r="A1" s="2" t="s">
        <v>7</v>
      </c>
      <c r="B1" s="2" t="s">
        <v>8</v>
      </c>
      <c r="C1" s="13" t="s">
        <v>9</v>
      </c>
      <c r="D1" s="10" t="s">
        <v>10</v>
      </c>
      <c r="E1" s="10" t="s">
        <v>11</v>
      </c>
      <c r="F1" s="13" t="s">
        <v>12</v>
      </c>
      <c r="G1" s="13" t="s">
        <v>13</v>
      </c>
      <c r="H1" s="13" t="s">
        <v>14</v>
      </c>
      <c r="I1" s="13" t="s">
        <v>15</v>
      </c>
    </row>
    <row r="2" ht="30" customHeight="1" spans="1:9">
      <c r="A2" s="1" t="s">
        <v>16</v>
      </c>
      <c r="B2" s="2" t="s">
        <v>17</v>
      </c>
      <c r="C2" s="2" t="s">
        <v>18</v>
      </c>
      <c r="D2" s="11" t="s">
        <v>19</v>
      </c>
      <c r="E2" s="40" t="s">
        <v>20</v>
      </c>
      <c r="F2" s="44" t="s">
        <v>21</v>
      </c>
      <c r="G2" s="41" t="s">
        <v>22</v>
      </c>
      <c r="H2" s="2" t="s">
        <v>23</v>
      </c>
      <c r="I2" s="42" t="s">
        <v>24</v>
      </c>
    </row>
    <row r="3" ht="30" customHeight="1" spans="1:9">
      <c r="A3" s="1" t="s">
        <v>25</v>
      </c>
      <c r="B3" s="2" t="s">
        <v>26</v>
      </c>
      <c r="C3" s="2" t="s">
        <v>18</v>
      </c>
      <c r="D3" s="11" t="s">
        <v>27</v>
      </c>
      <c r="E3" s="40" t="s">
        <v>20</v>
      </c>
      <c r="F3" s="44" t="s">
        <v>28</v>
      </c>
      <c r="G3" s="41" t="s">
        <v>22</v>
      </c>
      <c r="H3" s="2" t="s">
        <v>23</v>
      </c>
      <c r="I3" s="42" t="s">
        <v>24</v>
      </c>
    </row>
    <row r="4" ht="30" customHeight="1" spans="1:9">
      <c r="A4" s="1" t="s">
        <v>29</v>
      </c>
      <c r="B4" s="2" t="s">
        <v>30</v>
      </c>
      <c r="C4" s="2" t="s">
        <v>18</v>
      </c>
      <c r="D4" s="11" t="s">
        <v>31</v>
      </c>
      <c r="E4" s="40" t="s">
        <v>20</v>
      </c>
      <c r="F4" s="44" t="s">
        <v>32</v>
      </c>
      <c r="G4" s="41" t="s">
        <v>22</v>
      </c>
      <c r="H4" s="2" t="s">
        <v>23</v>
      </c>
      <c r="I4" s="42" t="s">
        <v>24</v>
      </c>
    </row>
    <row r="5" ht="30" customHeight="1" spans="1:9">
      <c r="A5" s="1" t="s">
        <v>33</v>
      </c>
      <c r="B5" s="2" t="s">
        <v>34</v>
      </c>
      <c r="C5" s="2" t="s">
        <v>18</v>
      </c>
      <c r="D5" s="11" t="s">
        <v>35</v>
      </c>
      <c r="E5" s="40" t="s">
        <v>20</v>
      </c>
      <c r="F5" s="45" t="s">
        <v>36</v>
      </c>
      <c r="G5" s="41" t="s">
        <v>22</v>
      </c>
      <c r="H5" s="2" t="s">
        <v>23</v>
      </c>
      <c r="I5" s="42" t="s">
        <v>24</v>
      </c>
    </row>
    <row r="6" ht="30" customHeight="1" spans="1:9">
      <c r="A6" s="1" t="s">
        <v>37</v>
      </c>
      <c r="B6" s="2" t="s">
        <v>38</v>
      </c>
      <c r="C6" s="2" t="s">
        <v>18</v>
      </c>
      <c r="D6" s="11" t="s">
        <v>39</v>
      </c>
      <c r="E6" s="40" t="s">
        <v>20</v>
      </c>
      <c r="F6" s="44" t="s">
        <v>40</v>
      </c>
      <c r="G6" s="41" t="s">
        <v>22</v>
      </c>
      <c r="H6" s="2" t="s">
        <v>23</v>
      </c>
      <c r="I6" s="42" t="s">
        <v>24</v>
      </c>
    </row>
    <row r="7" ht="30" customHeight="1" spans="1:9">
      <c r="A7" s="1" t="s">
        <v>41</v>
      </c>
      <c r="B7" s="2" t="s">
        <v>42</v>
      </c>
      <c r="C7" s="2" t="s">
        <v>18</v>
      </c>
      <c r="D7" s="11" t="s">
        <v>43</v>
      </c>
      <c r="E7" s="40" t="s">
        <v>20</v>
      </c>
      <c r="F7" s="45" t="s">
        <v>44</v>
      </c>
      <c r="G7" s="41" t="s">
        <v>22</v>
      </c>
      <c r="H7" s="2" t="s">
        <v>23</v>
      </c>
      <c r="I7" s="42" t="s">
        <v>24</v>
      </c>
    </row>
    <row r="8" ht="30" customHeight="1" spans="1:9">
      <c r="A8" s="1" t="s">
        <v>45</v>
      </c>
      <c r="B8" s="2" t="s">
        <v>46</v>
      </c>
      <c r="C8" s="2" t="s">
        <v>18</v>
      </c>
      <c r="D8" s="11" t="s">
        <v>47</v>
      </c>
      <c r="E8" s="40" t="s">
        <v>20</v>
      </c>
      <c r="F8" s="44" t="s">
        <v>48</v>
      </c>
      <c r="G8" s="41" t="s">
        <v>22</v>
      </c>
      <c r="H8" s="2" t="s">
        <v>23</v>
      </c>
      <c r="I8" s="42" t="s">
        <v>24</v>
      </c>
    </row>
    <row r="9" ht="30" customHeight="1" spans="1:9">
      <c r="A9" s="1" t="s">
        <v>49</v>
      </c>
      <c r="B9" s="2" t="s">
        <v>50</v>
      </c>
      <c r="C9" s="2" t="s">
        <v>18</v>
      </c>
      <c r="D9" s="11" t="s">
        <v>51</v>
      </c>
      <c r="E9" s="40" t="s">
        <v>20</v>
      </c>
      <c r="F9" s="44" t="s">
        <v>52</v>
      </c>
      <c r="G9" s="41" t="s">
        <v>22</v>
      </c>
      <c r="H9" s="2" t="s">
        <v>23</v>
      </c>
      <c r="I9" s="42" t="s">
        <v>24</v>
      </c>
    </row>
    <row r="10" ht="30" customHeight="1" spans="1:9">
      <c r="A10" s="1" t="s">
        <v>53</v>
      </c>
      <c r="B10" s="2" t="s">
        <v>54</v>
      </c>
      <c r="C10" s="2" t="s">
        <v>18</v>
      </c>
      <c r="D10" s="11" t="s">
        <v>55</v>
      </c>
      <c r="E10" s="40" t="s">
        <v>20</v>
      </c>
      <c r="F10" s="44" t="s">
        <v>56</v>
      </c>
      <c r="G10" s="41" t="s">
        <v>22</v>
      </c>
      <c r="H10" s="2" t="s">
        <v>23</v>
      </c>
      <c r="I10" s="42" t="s">
        <v>24</v>
      </c>
    </row>
    <row r="11" ht="30" customHeight="1" spans="1:9">
      <c r="A11" s="1" t="s">
        <v>57</v>
      </c>
      <c r="B11" s="2" t="s">
        <v>58</v>
      </c>
      <c r="C11" s="2" t="s">
        <v>18</v>
      </c>
      <c r="D11" s="11" t="s">
        <v>59</v>
      </c>
      <c r="E11" s="40" t="s">
        <v>20</v>
      </c>
      <c r="F11" s="45" t="s">
        <v>60</v>
      </c>
      <c r="G11" s="41" t="s">
        <v>22</v>
      </c>
      <c r="H11" s="2" t="s">
        <v>23</v>
      </c>
      <c r="I11" s="42" t="s">
        <v>24</v>
      </c>
    </row>
    <row r="12" ht="30" customHeight="1" spans="1:9">
      <c r="A12" s="1" t="s">
        <v>61</v>
      </c>
      <c r="B12" s="2" t="s">
        <v>62</v>
      </c>
      <c r="C12" s="2" t="s">
        <v>18</v>
      </c>
      <c r="D12" s="11" t="s">
        <v>63</v>
      </c>
      <c r="E12" s="40" t="s">
        <v>20</v>
      </c>
      <c r="F12" s="44" t="s">
        <v>64</v>
      </c>
      <c r="G12" s="41" t="s">
        <v>22</v>
      </c>
      <c r="H12" s="2" t="s">
        <v>23</v>
      </c>
      <c r="I12" s="42" t="s">
        <v>24</v>
      </c>
    </row>
    <row r="13" ht="30" customHeight="1" spans="1:9">
      <c r="A13" s="1" t="s">
        <v>65</v>
      </c>
      <c r="B13" s="2" t="s">
        <v>66</v>
      </c>
      <c r="C13" s="2" t="s">
        <v>18</v>
      </c>
      <c r="D13" s="11" t="s">
        <v>67</v>
      </c>
      <c r="E13" s="40" t="s">
        <v>20</v>
      </c>
      <c r="F13" s="45" t="s">
        <v>68</v>
      </c>
      <c r="G13" s="41" t="s">
        <v>22</v>
      </c>
      <c r="H13" s="2" t="s">
        <v>23</v>
      </c>
      <c r="I13" s="42" t="s">
        <v>24</v>
      </c>
    </row>
    <row r="14" ht="30" customHeight="1" spans="1:9">
      <c r="A14" s="1" t="s">
        <v>69</v>
      </c>
      <c r="B14" s="2" t="s">
        <v>70</v>
      </c>
      <c r="C14" s="2" t="s">
        <v>18</v>
      </c>
      <c r="D14" s="11" t="s">
        <v>71</v>
      </c>
      <c r="E14" s="40" t="s">
        <v>20</v>
      </c>
      <c r="F14" s="44" t="s">
        <v>72</v>
      </c>
      <c r="G14" s="41" t="s">
        <v>22</v>
      </c>
      <c r="H14" s="2" t="s">
        <v>23</v>
      </c>
      <c r="I14" s="42" t="s">
        <v>24</v>
      </c>
    </row>
    <row r="15" ht="30" customHeight="1" spans="1:9">
      <c r="A15" s="1" t="s">
        <v>73</v>
      </c>
      <c r="B15" s="2" t="s">
        <v>74</v>
      </c>
      <c r="C15" s="2" t="s">
        <v>18</v>
      </c>
      <c r="D15" s="11" t="s">
        <v>75</v>
      </c>
      <c r="E15" s="40" t="s">
        <v>20</v>
      </c>
      <c r="F15" s="44" t="s">
        <v>76</v>
      </c>
      <c r="G15" s="41" t="s">
        <v>22</v>
      </c>
      <c r="H15" s="2" t="s">
        <v>23</v>
      </c>
      <c r="I15" s="42" t="s">
        <v>24</v>
      </c>
    </row>
    <row r="16" ht="30" customHeight="1" spans="1:9">
      <c r="A16" s="1" t="s">
        <v>77</v>
      </c>
      <c r="B16" s="2" t="s">
        <v>78</v>
      </c>
      <c r="C16" s="2" t="s">
        <v>18</v>
      </c>
      <c r="D16" s="11" t="s">
        <v>79</v>
      </c>
      <c r="E16" s="40" t="s">
        <v>20</v>
      </c>
      <c r="F16" s="44" t="s">
        <v>80</v>
      </c>
      <c r="G16" s="41" t="s">
        <v>22</v>
      </c>
      <c r="H16" s="2" t="s">
        <v>23</v>
      </c>
      <c r="I16" s="42" t="s">
        <v>24</v>
      </c>
    </row>
    <row r="17" ht="30" customHeight="1" spans="1:9">
      <c r="A17" s="1" t="s">
        <v>81</v>
      </c>
      <c r="B17" s="2" t="s">
        <v>82</v>
      </c>
      <c r="C17" s="2" t="s">
        <v>18</v>
      </c>
      <c r="D17" s="11" t="s">
        <v>83</v>
      </c>
      <c r="E17" s="40" t="s">
        <v>20</v>
      </c>
      <c r="F17" s="45" t="s">
        <v>84</v>
      </c>
      <c r="G17" s="41" t="s">
        <v>22</v>
      </c>
      <c r="H17" s="2" t="s">
        <v>23</v>
      </c>
      <c r="I17" s="42" t="s">
        <v>24</v>
      </c>
    </row>
    <row r="18" ht="30" customHeight="1" spans="1:9">
      <c r="A18" s="1" t="s">
        <v>85</v>
      </c>
      <c r="B18" s="2" t="s">
        <v>86</v>
      </c>
      <c r="C18" s="2" t="s">
        <v>18</v>
      </c>
      <c r="D18" s="11" t="s">
        <v>87</v>
      </c>
      <c r="E18" s="40" t="s">
        <v>20</v>
      </c>
      <c r="F18" s="44" t="s">
        <v>88</v>
      </c>
      <c r="G18" s="41" t="s">
        <v>22</v>
      </c>
      <c r="H18" s="2" t="s">
        <v>23</v>
      </c>
      <c r="I18" s="42" t="s">
        <v>24</v>
      </c>
    </row>
    <row r="19" ht="30" customHeight="1" spans="1:9">
      <c r="A19" s="1" t="s">
        <v>89</v>
      </c>
      <c r="B19" s="2" t="s">
        <v>90</v>
      </c>
      <c r="C19" s="2" t="s">
        <v>18</v>
      </c>
      <c r="D19" s="11" t="s">
        <v>91</v>
      </c>
      <c r="E19" s="40" t="s">
        <v>20</v>
      </c>
      <c r="F19" s="45" t="s">
        <v>92</v>
      </c>
      <c r="G19" s="41" t="s">
        <v>22</v>
      </c>
      <c r="H19" s="2" t="s">
        <v>23</v>
      </c>
      <c r="I19" s="42" t="s">
        <v>24</v>
      </c>
    </row>
    <row r="20" ht="30" customHeight="1" spans="1:9">
      <c r="A20" s="1" t="s">
        <v>93</v>
      </c>
      <c r="B20" s="2" t="s">
        <v>94</v>
      </c>
      <c r="C20" s="2" t="s">
        <v>18</v>
      </c>
      <c r="D20" s="11" t="s">
        <v>95</v>
      </c>
      <c r="E20" s="40" t="s">
        <v>20</v>
      </c>
      <c r="F20" s="44" t="s">
        <v>96</v>
      </c>
      <c r="G20" s="41" t="s">
        <v>22</v>
      </c>
      <c r="H20" s="2" t="s">
        <v>23</v>
      </c>
      <c r="I20" s="42" t="s">
        <v>24</v>
      </c>
    </row>
    <row r="21" ht="30" customHeight="1" spans="1:9">
      <c r="A21" s="1" t="s">
        <v>97</v>
      </c>
      <c r="B21" s="2" t="s">
        <v>98</v>
      </c>
      <c r="C21" s="2" t="s">
        <v>18</v>
      </c>
      <c r="D21" s="11" t="s">
        <v>99</v>
      </c>
      <c r="E21" s="40" t="s">
        <v>20</v>
      </c>
      <c r="F21" s="44" t="s">
        <v>100</v>
      </c>
      <c r="G21" s="41" t="s">
        <v>22</v>
      </c>
      <c r="H21" s="2" t="s">
        <v>23</v>
      </c>
      <c r="I21" s="42" t="s">
        <v>24</v>
      </c>
    </row>
    <row r="22" ht="30" customHeight="1" spans="1:9">
      <c r="A22" s="1" t="s">
        <v>101</v>
      </c>
      <c r="B22" s="2" t="s">
        <v>102</v>
      </c>
      <c r="C22" s="2" t="s">
        <v>18</v>
      </c>
      <c r="D22" s="11" t="s">
        <v>103</v>
      </c>
      <c r="E22" s="40" t="s">
        <v>20</v>
      </c>
      <c r="F22" s="44" t="s">
        <v>104</v>
      </c>
      <c r="G22" s="41" t="s">
        <v>22</v>
      </c>
      <c r="H22" s="2" t="s">
        <v>23</v>
      </c>
      <c r="I22" s="42" t="s">
        <v>24</v>
      </c>
    </row>
    <row r="23" ht="30" customHeight="1" spans="1:9">
      <c r="A23" s="1" t="s">
        <v>105</v>
      </c>
      <c r="B23" s="2" t="s">
        <v>106</v>
      </c>
      <c r="C23" s="2" t="s">
        <v>18</v>
      </c>
      <c r="D23" s="11" t="s">
        <v>107</v>
      </c>
      <c r="E23" s="40" t="s">
        <v>20</v>
      </c>
      <c r="F23" s="45" t="s">
        <v>108</v>
      </c>
      <c r="G23" s="41" t="s">
        <v>22</v>
      </c>
      <c r="H23" s="2" t="s">
        <v>23</v>
      </c>
      <c r="I23" s="42" t="s">
        <v>24</v>
      </c>
    </row>
    <row r="24" ht="30" customHeight="1" spans="1:9">
      <c r="A24" s="1" t="s">
        <v>109</v>
      </c>
      <c r="B24" s="2" t="s">
        <v>110</v>
      </c>
      <c r="C24" s="2" t="s">
        <v>18</v>
      </c>
      <c r="D24" s="11" t="s">
        <v>111</v>
      </c>
      <c r="E24" s="40" t="s">
        <v>20</v>
      </c>
      <c r="F24" s="44" t="s">
        <v>112</v>
      </c>
      <c r="G24" s="41" t="s">
        <v>22</v>
      </c>
      <c r="H24" s="2" t="s">
        <v>23</v>
      </c>
      <c r="I24" s="42" t="s">
        <v>24</v>
      </c>
    </row>
    <row r="25" ht="30" customHeight="1" spans="1:9">
      <c r="A25" s="1" t="s">
        <v>113</v>
      </c>
      <c r="B25" s="2" t="s">
        <v>114</v>
      </c>
      <c r="C25" s="2" t="s">
        <v>18</v>
      </c>
      <c r="D25" s="11" t="s">
        <v>115</v>
      </c>
      <c r="E25" s="40" t="s">
        <v>20</v>
      </c>
      <c r="F25" s="45" t="s">
        <v>116</v>
      </c>
      <c r="G25" s="41" t="s">
        <v>22</v>
      </c>
      <c r="H25" s="2" t="s">
        <v>23</v>
      </c>
      <c r="I25" s="42" t="s">
        <v>24</v>
      </c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7">
      <c r="A37" s="2"/>
      <c r="B37" s="2"/>
      <c r="C37" s="2"/>
      <c r="D37" s="2"/>
      <c r="F37" s="5"/>
      <c r="G37" s="5"/>
    </row>
    <row r="38" spans="1:7">
      <c r="A38" s="2"/>
      <c r="B38" s="2"/>
      <c r="C38" s="2"/>
      <c r="D38" s="2"/>
      <c r="F38" s="5"/>
      <c r="G38" s="5"/>
    </row>
    <row r="39" spans="1:7">
      <c r="A39" s="2"/>
      <c r="B39" s="2"/>
      <c r="C39" s="2"/>
      <c r="D39" s="2"/>
      <c r="F39" s="5"/>
      <c r="G39" s="5"/>
    </row>
    <row r="40" spans="1:7">
      <c r="A40" s="2"/>
      <c r="B40" s="2"/>
      <c r="C40" s="2"/>
      <c r="D40" s="2"/>
      <c r="F40" s="5"/>
      <c r="G40" s="5"/>
    </row>
    <row r="41" spans="1:7">
      <c r="A41" s="2"/>
      <c r="B41" s="2"/>
      <c r="C41" s="2"/>
      <c r="D41" s="2"/>
      <c r="F41" s="5"/>
      <c r="G41" s="5"/>
    </row>
    <row r="42" spans="1:7">
      <c r="A42" s="2"/>
      <c r="B42" s="2"/>
      <c r="C42" s="2"/>
      <c r="D42" s="2"/>
      <c r="F42" s="5"/>
      <c r="G42" s="5"/>
    </row>
    <row r="43" spans="1:7">
      <c r="A43" s="2"/>
      <c r="B43" s="2"/>
      <c r="C43" s="2"/>
      <c r="D43" s="2"/>
      <c r="F43" s="5"/>
      <c r="G43" s="5"/>
    </row>
    <row r="44" spans="1:7">
      <c r="A44" s="2"/>
      <c r="B44" s="2"/>
      <c r="C44" s="2"/>
      <c r="D44" s="2"/>
      <c r="F44" s="5"/>
      <c r="G44" s="5"/>
    </row>
    <row r="45" spans="1:7">
      <c r="A45" s="2"/>
      <c r="B45" s="2"/>
      <c r="C45" s="2"/>
      <c r="D45" s="2"/>
      <c r="F45" s="5"/>
      <c r="G45" s="5"/>
    </row>
    <row r="46" spans="1:7">
      <c r="A46" s="2"/>
      <c r="B46" s="2"/>
      <c r="C46" s="2"/>
      <c r="D46" s="2"/>
      <c r="F46" s="5"/>
      <c r="G46" s="5"/>
    </row>
    <row r="47" spans="1:7">
      <c r="A47" s="2"/>
      <c r="B47" s="2"/>
      <c r="C47" s="2"/>
      <c r="D47" s="2"/>
      <c r="F47" s="5"/>
      <c r="G47" s="5"/>
    </row>
    <row r="48" spans="1:1">
      <c r="A48" s="2"/>
    </row>
    <row r="49" spans="1:1">
      <c r="A49" s="2"/>
    </row>
    <row r="50" spans="1:1">
      <c r="A50" s="2"/>
    </row>
    <row r="51" spans="1:7">
      <c r="A51" s="2"/>
      <c r="B51" s="2"/>
      <c r="C51" s="2"/>
      <c r="D51" s="2"/>
      <c r="F51" s="5"/>
      <c r="G51" s="5"/>
    </row>
    <row r="52" spans="1:7">
      <c r="A52" s="2"/>
      <c r="B52" s="2"/>
      <c r="C52" s="2"/>
      <c r="D52" s="2"/>
      <c r="F52" s="5"/>
      <c r="G52" s="5"/>
    </row>
    <row r="53" spans="1:7">
      <c r="A53" s="2"/>
      <c r="B53" s="2"/>
      <c r="C53" s="2"/>
      <c r="D53" s="2"/>
      <c r="F53" s="5"/>
      <c r="G53" s="5"/>
    </row>
    <row r="54" spans="1:7">
      <c r="A54" s="2"/>
      <c r="B54" s="2"/>
      <c r="C54" s="2"/>
      <c r="D54" s="2"/>
      <c r="F54" s="5"/>
      <c r="G54" s="5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</sheetData>
  <conditionalFormatting sqref="F1:G1">
    <cfRule type="duplicateValues" dxfId="0" priority="15"/>
  </conditionalFormatting>
  <conditionalFormatting sqref="H1">
    <cfRule type="duplicateValues" dxfId="0" priority="2"/>
  </conditionalFormatting>
  <conditionalFormatting sqref="I1">
    <cfRule type="duplicateValues" dxfId="0" priority="1"/>
  </conditionalFormatting>
  <conditionalFormatting sqref="A26:A31">
    <cfRule type="duplicateValues" dxfId="0" priority="10"/>
  </conditionalFormatting>
  <conditionalFormatting sqref="A32:A37">
    <cfRule type="duplicateValues" dxfId="0" priority="9"/>
  </conditionalFormatting>
  <conditionalFormatting sqref="A38:A43">
    <cfRule type="duplicateValues" dxfId="0" priority="8"/>
  </conditionalFormatting>
  <conditionalFormatting sqref="A44:A49">
    <cfRule type="duplicateValues" dxfId="0" priority="7"/>
  </conditionalFormatting>
  <conditionalFormatting sqref="A50:A61">
    <cfRule type="duplicateValues" dxfId="0" priority="17"/>
  </conditionalFormatting>
  <conditionalFormatting sqref="A62:A67">
    <cfRule type="duplicateValues" dxfId="0" priority="6"/>
  </conditionalFormatting>
  <conditionalFormatting sqref="A68:A73">
    <cfRule type="duplicateValues" dxfId="0" priority="5"/>
  </conditionalFormatting>
  <conditionalFormatting sqref="A74:A85">
    <cfRule type="duplicateValues" dxfId="0" priority="16"/>
  </conditionalFormatting>
  <conditionalFormatting sqref="A86:A91">
    <cfRule type="duplicateValues" dxfId="0" priority="4"/>
  </conditionalFormatting>
  <conditionalFormatting sqref="A92:A97">
    <cfRule type="duplicateValues" dxfId="0" priority="3"/>
  </conditionalFormatting>
  <conditionalFormatting sqref="D2:D7">
    <cfRule type="duplicateValues" dxfId="0" priority="14"/>
  </conditionalFormatting>
  <conditionalFormatting sqref="D8:D13">
    <cfRule type="duplicateValues" dxfId="0" priority="13"/>
  </conditionalFormatting>
  <conditionalFormatting sqref="D14:D19">
    <cfRule type="duplicateValues" dxfId="0" priority="12"/>
  </conditionalFormatting>
  <conditionalFormatting sqref="D20:D25">
    <cfRule type="duplicateValues" dxfId="0" priority="11"/>
  </conditionalFormatting>
  <conditionalFormatting sqref="A98:A1048576 A1">
    <cfRule type="duplicateValues" dxfId="0" priority="18"/>
  </conditionalFormatting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2:H13"/>
  <sheetViews>
    <sheetView topLeftCell="B1" workbookViewId="0">
      <selection activeCell="G19" sqref="G19"/>
    </sheetView>
  </sheetViews>
  <sheetFormatPr defaultColWidth="9" defaultRowHeight="13.5" outlineLevelCol="7"/>
  <cols>
    <col min="2" max="4" width="9" style="39"/>
    <col min="5" max="5" width="19.875" customWidth="1"/>
    <col min="6" max="6" width="16.75" customWidth="1"/>
    <col min="7" max="7" width="20.375" customWidth="1"/>
  </cols>
  <sheetData>
    <row r="2" spans="3:7">
      <c r="C2" s="2" t="s">
        <v>11</v>
      </c>
      <c r="D2" s="2" t="s">
        <v>117</v>
      </c>
      <c r="E2" s="39" t="s">
        <v>118</v>
      </c>
      <c r="F2" s="39" t="s">
        <v>119</v>
      </c>
      <c r="G2" s="39" t="s">
        <v>120</v>
      </c>
    </row>
    <row r="3" spans="3:7">
      <c r="C3" s="2" t="s">
        <v>121</v>
      </c>
      <c r="D3" s="5">
        <v>0.5</v>
      </c>
      <c r="E3" s="2" t="s">
        <v>122</v>
      </c>
      <c r="F3" s="39">
        <v>1</v>
      </c>
      <c r="G3" s="39">
        <v>0</v>
      </c>
    </row>
    <row r="4" spans="3:7">
      <c r="C4" s="2" t="s">
        <v>123</v>
      </c>
      <c r="D4" s="5">
        <v>0.3</v>
      </c>
      <c r="E4" s="14" t="s">
        <v>124</v>
      </c>
      <c r="F4" s="39">
        <v>0.6</v>
      </c>
      <c r="G4" s="39">
        <v>3</v>
      </c>
    </row>
    <row r="5" spans="3:7">
      <c r="C5" s="2" t="s">
        <v>125</v>
      </c>
      <c r="D5" s="5">
        <v>0.15</v>
      </c>
      <c r="E5" s="14" t="s">
        <v>126</v>
      </c>
      <c r="F5" s="39">
        <v>0.5</v>
      </c>
      <c r="G5" s="39">
        <v>6</v>
      </c>
    </row>
    <row r="6" spans="3:7">
      <c r="C6" s="2" t="s">
        <v>127</v>
      </c>
      <c r="D6" s="5">
        <v>0.05</v>
      </c>
      <c r="E6" s="14" t="s">
        <v>128</v>
      </c>
      <c r="F6" s="39">
        <v>0.45</v>
      </c>
      <c r="G6" s="39">
        <v>9</v>
      </c>
    </row>
    <row r="7" spans="3:7">
      <c r="C7" s="39" t="s">
        <v>6</v>
      </c>
      <c r="D7" s="39">
        <f>D3+D4+D5+D6</f>
        <v>1</v>
      </c>
      <c r="E7" s="39"/>
      <c r="F7" s="39"/>
      <c r="G7" s="39"/>
    </row>
    <row r="8" spans="5:7">
      <c r="E8" s="39"/>
      <c r="F8" s="39"/>
      <c r="G8" s="39"/>
    </row>
    <row r="9" spans="6:8">
      <c r="F9" s="2"/>
      <c r="G9" s="2"/>
      <c r="H9" s="2"/>
    </row>
    <row r="10" spans="6:8">
      <c r="F10" s="2"/>
      <c r="G10" s="2"/>
      <c r="H10" s="2"/>
    </row>
    <row r="11" spans="6:8">
      <c r="F11" s="2"/>
      <c r="G11" s="14"/>
      <c r="H11" s="2"/>
    </row>
    <row r="12" spans="6:8">
      <c r="F12" s="2"/>
      <c r="G12" s="14"/>
      <c r="H12" s="2"/>
    </row>
    <row r="13" spans="6:8">
      <c r="F13" s="2"/>
      <c r="G13" s="14"/>
      <c r="H13" s="2"/>
    </row>
  </sheetData>
  <conditionalFormatting sqref="F9:H9">
    <cfRule type="duplicateValues" dxfId="0" priority="1"/>
  </conditionalFormatting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C54"/>
  <sheetViews>
    <sheetView topLeftCell="A7" workbookViewId="0">
      <selection activeCell="H28" sqref="H28"/>
    </sheetView>
  </sheetViews>
  <sheetFormatPr defaultColWidth="9" defaultRowHeight="13.5" outlineLevelCol="2"/>
  <cols>
    <col min="2" max="2" width="19.875" style="25" customWidth="1"/>
    <col min="3" max="3" width="13.125" style="25" customWidth="1"/>
  </cols>
  <sheetData>
    <row r="2" spans="2:3">
      <c r="B2" s="25" t="s">
        <v>129</v>
      </c>
      <c r="C2" s="25" t="s">
        <v>130</v>
      </c>
    </row>
    <row r="3" spans="2:3">
      <c r="B3" s="26" t="s">
        <v>131</v>
      </c>
      <c r="C3" s="27">
        <v>0.1</v>
      </c>
    </row>
    <row r="4" spans="2:3">
      <c r="B4" s="26" t="s">
        <v>132</v>
      </c>
      <c r="C4" s="27">
        <v>0.1</v>
      </c>
    </row>
    <row r="5" spans="2:3">
      <c r="B5" s="27" t="s">
        <v>133</v>
      </c>
      <c r="C5" s="27">
        <v>0.1</v>
      </c>
    </row>
    <row r="6" spans="2:3">
      <c r="B6" s="27" t="s">
        <v>134</v>
      </c>
      <c r="C6" s="27">
        <v>0.1</v>
      </c>
    </row>
    <row r="7" spans="2:3">
      <c r="B7" s="28" t="s">
        <v>135</v>
      </c>
      <c r="C7" s="27">
        <v>0.1</v>
      </c>
    </row>
    <row r="8" spans="2:3">
      <c r="B8" s="26" t="s">
        <v>136</v>
      </c>
      <c r="C8" s="27">
        <v>0.025</v>
      </c>
    </row>
    <row r="9" spans="2:3">
      <c r="B9" s="26" t="s">
        <v>137</v>
      </c>
      <c r="C9" s="27">
        <v>0.025</v>
      </c>
    </row>
    <row r="10" spans="2:3">
      <c r="B10" s="26" t="s">
        <v>138</v>
      </c>
      <c r="C10" s="27">
        <v>0.5</v>
      </c>
    </row>
    <row r="11" spans="2:3">
      <c r="B11" s="26" t="s">
        <v>139</v>
      </c>
      <c r="C11" s="27">
        <v>0.5</v>
      </c>
    </row>
    <row r="12" spans="2:3">
      <c r="B12" s="26" t="s">
        <v>140</v>
      </c>
      <c r="C12" s="27">
        <v>0.075</v>
      </c>
    </row>
    <row r="13" spans="2:3">
      <c r="B13" s="27" t="s">
        <v>141</v>
      </c>
      <c r="C13" s="27">
        <v>0.025</v>
      </c>
    </row>
    <row r="14" spans="2:3">
      <c r="B14" s="27" t="s">
        <v>142</v>
      </c>
      <c r="C14" s="27">
        <v>0.025</v>
      </c>
    </row>
    <row r="15" spans="2:3">
      <c r="B15" s="27" t="s">
        <v>143</v>
      </c>
      <c r="C15" s="27">
        <v>0.025</v>
      </c>
    </row>
    <row r="16" spans="2:3">
      <c r="B16" s="29" t="s">
        <v>144</v>
      </c>
      <c r="C16" s="27">
        <v>0.05</v>
      </c>
    </row>
    <row r="17" spans="2:3">
      <c r="B17" s="29" t="s">
        <v>145</v>
      </c>
      <c r="C17" s="27">
        <v>0.05</v>
      </c>
    </row>
    <row r="18" spans="2:3">
      <c r="B18" s="29" t="s">
        <v>146</v>
      </c>
      <c r="C18" s="27">
        <v>0.05</v>
      </c>
    </row>
    <row r="19" spans="2:3">
      <c r="B19" s="30" t="s">
        <v>147</v>
      </c>
      <c r="C19" s="30">
        <v>0.25</v>
      </c>
    </row>
    <row r="20" spans="2:3">
      <c r="B20" s="30" t="s">
        <v>148</v>
      </c>
      <c r="C20" s="30">
        <v>0.2</v>
      </c>
    </row>
    <row r="21" spans="2:3">
      <c r="B21" s="30" t="s">
        <v>149</v>
      </c>
      <c r="C21" s="30">
        <v>0.15</v>
      </c>
    </row>
    <row r="22" spans="2:3">
      <c r="B22" s="30" t="s">
        <v>150</v>
      </c>
      <c r="C22" s="30">
        <v>0.15</v>
      </c>
    </row>
    <row r="23" spans="2:3">
      <c r="B23" s="30" t="s">
        <v>151</v>
      </c>
      <c r="C23" s="30">
        <v>0.075</v>
      </c>
    </row>
    <row r="24" spans="2:3">
      <c r="B24" s="31" t="s">
        <v>152</v>
      </c>
      <c r="C24" s="31">
        <v>500000</v>
      </c>
    </row>
    <row r="25" spans="2:3">
      <c r="B25" s="32" t="s">
        <v>153</v>
      </c>
      <c r="C25" s="31">
        <v>20</v>
      </c>
    </row>
    <row r="26" spans="2:3">
      <c r="B26" s="32" t="s">
        <v>154</v>
      </c>
      <c r="C26" s="31">
        <v>120</v>
      </c>
    </row>
    <row r="27" spans="2:3">
      <c r="B27" s="32" t="s">
        <v>155</v>
      </c>
      <c r="C27" s="31">
        <v>400</v>
      </c>
    </row>
    <row r="28" spans="2:3">
      <c r="B28" s="31" t="s">
        <v>156</v>
      </c>
      <c r="C28" s="31">
        <v>1000000</v>
      </c>
    </row>
    <row r="29" spans="2:3">
      <c r="B29" s="32" t="s">
        <v>157</v>
      </c>
      <c r="C29" s="31">
        <v>40</v>
      </c>
    </row>
    <row r="30" spans="2:3">
      <c r="B30" s="32" t="s">
        <v>158</v>
      </c>
      <c r="C30" s="31">
        <v>240</v>
      </c>
    </row>
    <row r="31" spans="2:3">
      <c r="B31" s="32" t="s">
        <v>159</v>
      </c>
      <c r="C31" s="31">
        <v>800</v>
      </c>
    </row>
    <row r="32" spans="2:3">
      <c r="B32" s="31" t="s">
        <v>160</v>
      </c>
      <c r="C32" s="31">
        <v>1000000</v>
      </c>
    </row>
    <row r="33" spans="2:3">
      <c r="B33" s="32" t="s">
        <v>161</v>
      </c>
      <c r="C33" s="31">
        <v>40</v>
      </c>
    </row>
    <row r="34" spans="2:3">
      <c r="B34" s="32" t="s">
        <v>162</v>
      </c>
      <c r="C34" s="31">
        <v>240</v>
      </c>
    </row>
    <row r="35" spans="2:3">
      <c r="B35" s="32" t="s">
        <v>163</v>
      </c>
      <c r="C35" s="31">
        <v>800</v>
      </c>
    </row>
    <row r="36" spans="2:3">
      <c r="B36" s="31" t="s">
        <v>164</v>
      </c>
      <c r="C36" s="31">
        <v>1000000</v>
      </c>
    </row>
    <row r="37" spans="2:3">
      <c r="B37" s="32" t="s">
        <v>165</v>
      </c>
      <c r="C37" s="31">
        <v>40</v>
      </c>
    </row>
    <row r="38" spans="2:3">
      <c r="B38" s="32" t="s">
        <v>166</v>
      </c>
      <c r="C38" s="31">
        <v>240</v>
      </c>
    </row>
    <row r="39" spans="2:3">
      <c r="B39" s="32" t="s">
        <v>167</v>
      </c>
      <c r="C39" s="31">
        <v>800</v>
      </c>
    </row>
    <row r="40" spans="2:3">
      <c r="B40" s="31" t="s">
        <v>168</v>
      </c>
      <c r="C40" s="31">
        <v>2000000</v>
      </c>
    </row>
    <row r="41" spans="2:3">
      <c r="B41" s="32" t="s">
        <v>169</v>
      </c>
      <c r="C41" s="31">
        <v>80</v>
      </c>
    </row>
    <row r="42" spans="2:3">
      <c r="B42" s="32" t="s">
        <v>170</v>
      </c>
      <c r="C42" s="31">
        <v>1600</v>
      </c>
    </row>
    <row r="43" spans="2:3">
      <c r="B43" s="31" t="s">
        <v>171</v>
      </c>
      <c r="C43" s="31">
        <v>1000</v>
      </c>
    </row>
    <row r="44" spans="2:3">
      <c r="B44" s="33" t="s">
        <v>172</v>
      </c>
      <c r="C44" s="34">
        <v>1</v>
      </c>
    </row>
    <row r="45" spans="2:3">
      <c r="B45" s="32" t="s">
        <v>173</v>
      </c>
      <c r="C45" s="31">
        <v>35</v>
      </c>
    </row>
    <row r="46" spans="2:3">
      <c r="B46" s="35" t="s">
        <v>174</v>
      </c>
      <c r="C46" s="36">
        <v>-0.03</v>
      </c>
    </row>
    <row r="47" spans="2:3">
      <c r="B47" s="32" t="s">
        <v>175</v>
      </c>
      <c r="C47" s="37">
        <v>350000</v>
      </c>
    </row>
    <row r="48" spans="2:3">
      <c r="B48" s="38" t="s">
        <v>176</v>
      </c>
      <c r="C48" s="37">
        <v>350000</v>
      </c>
    </row>
    <row r="49" spans="2:3">
      <c r="B49" s="32" t="s">
        <v>177</v>
      </c>
      <c r="C49" s="37">
        <v>350000</v>
      </c>
    </row>
    <row r="50" spans="2:3">
      <c r="B50" s="31" t="s">
        <v>178</v>
      </c>
      <c r="C50" s="31">
        <v>200</v>
      </c>
    </row>
    <row r="51" spans="2:3">
      <c r="B51" s="32" t="s">
        <v>179</v>
      </c>
      <c r="C51" s="37">
        <v>350000</v>
      </c>
    </row>
    <row r="52" spans="2:3">
      <c r="B52" s="32" t="s">
        <v>180</v>
      </c>
      <c r="C52" s="31">
        <v>25</v>
      </c>
    </row>
    <row r="53" spans="2:3">
      <c r="B53" s="32" t="s">
        <v>181</v>
      </c>
      <c r="C53" s="31">
        <v>25</v>
      </c>
    </row>
    <row r="54" spans="2:3">
      <c r="B54" s="32" t="s">
        <v>182</v>
      </c>
      <c r="C54" s="31">
        <v>1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X99"/>
  <sheetViews>
    <sheetView zoomScale="85" zoomScaleNormal="85" workbookViewId="0">
      <pane ySplit="3" topLeftCell="A73" activePane="bottomLeft" state="frozen"/>
      <selection/>
      <selection pane="bottomLeft" activeCell="M3" sqref="M3:O7"/>
    </sheetView>
  </sheetViews>
  <sheetFormatPr defaultColWidth="9" defaultRowHeight="13.5"/>
  <cols>
    <col min="1" max="1" width="23.25" style="1" customWidth="1"/>
    <col min="2" max="2" width="17.7916666666667" style="1" customWidth="1"/>
    <col min="3" max="3" width="19.25" style="2" customWidth="1"/>
    <col min="4" max="4" width="12.875" style="3" customWidth="1"/>
    <col min="5" max="5" width="48.25" style="2" customWidth="1"/>
    <col min="6" max="7" width="19.85" style="2" customWidth="1"/>
    <col min="8" max="8" width="20.725" style="2" customWidth="1"/>
    <col min="9" max="9" width="18" style="2" customWidth="1"/>
    <col min="10" max="10" width="36.175" style="2" customWidth="1"/>
    <col min="11" max="13" width="18" style="2" customWidth="1"/>
    <col min="14" max="14" width="8.95833333333333" style="2" customWidth="1"/>
    <col min="15" max="15" width="27.2" style="2" customWidth="1"/>
    <col min="16" max="19" width="9.7" style="2" customWidth="1"/>
    <col min="20" max="20" width="11.375" style="4" customWidth="1"/>
    <col min="21" max="22" width="11.625" style="4" customWidth="1"/>
    <col min="23" max="23" width="12.5" style="4" customWidth="1"/>
    <col min="24" max="24" width="9" style="4"/>
    <col min="25" max="25" width="12.125" style="4" customWidth="1"/>
    <col min="26" max="26" width="15.375" style="4" customWidth="1"/>
    <col min="27" max="27" width="16.125" style="4" customWidth="1"/>
    <col min="28" max="29" width="15.125" style="4" customWidth="1"/>
    <col min="30" max="33" width="10.25" style="4" customWidth="1"/>
    <col min="34" max="34" width="18.125" style="4" customWidth="1"/>
    <col min="35" max="35" width="10.25" style="4" customWidth="1"/>
    <col min="36" max="36" width="10.375" style="5"/>
    <col min="37" max="37" width="9" style="5"/>
    <col min="38" max="39" width="11.75" style="5" customWidth="1"/>
    <col min="40" max="40" width="17" style="5" customWidth="1"/>
    <col min="41" max="41" width="6" style="5" customWidth="1"/>
    <col min="42" max="44" width="5.875" style="5" customWidth="1"/>
    <col min="45" max="45" width="6.5" style="1" customWidth="1"/>
    <col min="46" max="46" width="13.75" style="6"/>
    <col min="47" max="53" width="13.625" style="6" customWidth="1"/>
    <col min="54" max="65" width="13.625" style="7" customWidth="1"/>
    <col min="66" max="66" width="13.625" style="8" customWidth="1"/>
    <col min="67" max="67" width="21.75" style="6" customWidth="1"/>
    <col min="68" max="68" width="13.625" style="9" customWidth="1"/>
    <col min="69" max="69" width="12.5" style="7" customWidth="1"/>
    <col min="70" max="71" width="13.75" style="6"/>
    <col min="72" max="72" width="14.125" style="6" customWidth="1"/>
    <col min="73" max="73" width="13.75" style="6"/>
    <col min="74" max="75" width="9.375" style="6"/>
    <col min="76" max="76" width="9" style="6"/>
    <col min="77" max="16384" width="9" style="1"/>
  </cols>
  <sheetData>
    <row r="1" spans="2:69">
      <c r="B1" s="2" t="s">
        <v>183</v>
      </c>
      <c r="C1" s="2" t="s">
        <v>183</v>
      </c>
      <c r="D1" s="2" t="s">
        <v>183</v>
      </c>
      <c r="E1" s="2" t="s">
        <v>183</v>
      </c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7"/>
      <c r="AI1" s="15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20"/>
      <c r="BP1" s="21"/>
      <c r="BQ1" s="6"/>
    </row>
    <row r="2" spans="1:76">
      <c r="A2" s="1" t="s">
        <v>184</v>
      </c>
      <c r="B2" s="10" t="s">
        <v>185</v>
      </c>
      <c r="C2" s="2" t="s">
        <v>9</v>
      </c>
      <c r="D2" s="3" t="s">
        <v>11</v>
      </c>
      <c r="E2" s="2" t="s">
        <v>8</v>
      </c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7"/>
      <c r="AI2" s="17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20"/>
      <c r="BP2" s="21"/>
      <c r="BQ2" s="19"/>
      <c r="BR2" s="22"/>
      <c r="BX2" s="19" t="s">
        <v>186</v>
      </c>
    </row>
    <row r="3" ht="41" customHeight="1" spans="1:76">
      <c r="A3" s="10" t="s">
        <v>187</v>
      </c>
      <c r="B3" s="10" t="s">
        <v>188</v>
      </c>
      <c r="C3" s="2" t="s">
        <v>189</v>
      </c>
      <c r="D3" s="10" t="s">
        <v>190</v>
      </c>
      <c r="E3" s="2" t="s">
        <v>191</v>
      </c>
      <c r="F3" s="2" t="s">
        <v>7</v>
      </c>
      <c r="G3" s="2" t="s">
        <v>8</v>
      </c>
      <c r="H3" s="2" t="s">
        <v>192</v>
      </c>
      <c r="I3" s="10" t="s">
        <v>185</v>
      </c>
      <c r="J3" s="13" t="s">
        <v>12</v>
      </c>
      <c r="K3" s="2" t="s">
        <v>193</v>
      </c>
      <c r="M3" s="2" t="s">
        <v>194</v>
      </c>
      <c r="N3" s="2" t="s">
        <v>195</v>
      </c>
      <c r="O3" s="2" t="s">
        <v>196</v>
      </c>
      <c r="P3" s="2" t="s">
        <v>197</v>
      </c>
      <c r="Q3" s="2" t="s">
        <v>198</v>
      </c>
      <c r="R3" s="2" t="s">
        <v>199</v>
      </c>
      <c r="T3" s="15" t="s">
        <v>131</v>
      </c>
      <c r="U3" s="15" t="s">
        <v>132</v>
      </c>
      <c r="V3" s="4" t="s">
        <v>133</v>
      </c>
      <c r="W3" s="4" t="s">
        <v>134</v>
      </c>
      <c r="X3" s="16" t="s">
        <v>135</v>
      </c>
      <c r="Y3" s="15" t="s">
        <v>136</v>
      </c>
      <c r="Z3" s="15" t="s">
        <v>137</v>
      </c>
      <c r="AA3" s="15" t="s">
        <v>138</v>
      </c>
      <c r="AB3" s="15" t="s">
        <v>139</v>
      </c>
      <c r="AC3" s="15" t="s">
        <v>140</v>
      </c>
      <c r="AD3" s="4" t="s">
        <v>141</v>
      </c>
      <c r="AE3" s="4" t="s">
        <v>142</v>
      </c>
      <c r="AF3" s="4" t="s">
        <v>143</v>
      </c>
      <c r="AG3" s="18" t="s">
        <v>144</v>
      </c>
      <c r="AH3" s="18" t="s">
        <v>145</v>
      </c>
      <c r="AI3" s="18" t="s">
        <v>146</v>
      </c>
      <c r="AJ3" s="5" t="s">
        <v>147</v>
      </c>
      <c r="AK3" s="5" t="s">
        <v>148</v>
      </c>
      <c r="AL3" s="5" t="s">
        <v>149</v>
      </c>
      <c r="AM3" s="5" t="s">
        <v>150</v>
      </c>
      <c r="AN3" s="5" t="s">
        <v>151</v>
      </c>
      <c r="AT3" s="6" t="s">
        <v>152</v>
      </c>
      <c r="AU3" s="19" t="s">
        <v>153</v>
      </c>
      <c r="AV3" s="19" t="s">
        <v>154</v>
      </c>
      <c r="AW3" s="19" t="s">
        <v>155</v>
      </c>
      <c r="AX3" s="6" t="s">
        <v>156</v>
      </c>
      <c r="AY3" s="19" t="s">
        <v>157</v>
      </c>
      <c r="AZ3" s="19" t="s">
        <v>158</v>
      </c>
      <c r="BA3" s="19" t="s">
        <v>159</v>
      </c>
      <c r="BB3" s="6" t="s">
        <v>160</v>
      </c>
      <c r="BC3" s="19" t="s">
        <v>161</v>
      </c>
      <c r="BD3" s="19" t="s">
        <v>162</v>
      </c>
      <c r="BE3" s="19" t="s">
        <v>163</v>
      </c>
      <c r="BF3" s="6" t="s">
        <v>164</v>
      </c>
      <c r="BG3" s="19" t="s">
        <v>165</v>
      </c>
      <c r="BH3" s="19" t="s">
        <v>166</v>
      </c>
      <c r="BI3" s="19" t="s">
        <v>167</v>
      </c>
      <c r="BJ3" s="6" t="s">
        <v>168</v>
      </c>
      <c r="BK3" s="19" t="s">
        <v>169</v>
      </c>
      <c r="BL3" s="19" t="s">
        <v>170</v>
      </c>
      <c r="BM3" s="6" t="s">
        <v>171</v>
      </c>
      <c r="BN3" s="20" t="s">
        <v>172</v>
      </c>
      <c r="BO3" s="19" t="s">
        <v>173</v>
      </c>
      <c r="BP3" s="23" t="s">
        <v>174</v>
      </c>
      <c r="BQ3" s="19" t="s">
        <v>175</v>
      </c>
      <c r="BR3" s="24" t="s">
        <v>176</v>
      </c>
      <c r="BS3" s="19" t="s">
        <v>177</v>
      </c>
      <c r="BT3" s="6" t="s">
        <v>178</v>
      </c>
      <c r="BU3" s="19" t="s">
        <v>179</v>
      </c>
      <c r="BV3" s="19" t="s">
        <v>180</v>
      </c>
      <c r="BW3" s="19" t="s">
        <v>181</v>
      </c>
      <c r="BX3" s="19" t="s">
        <v>182</v>
      </c>
    </row>
    <row r="4" ht="20" customHeight="1" spans="1:76">
      <c r="A4" s="1" t="s">
        <v>16</v>
      </c>
      <c r="B4" s="11" t="s">
        <v>200</v>
      </c>
      <c r="C4" s="2">
        <v>0</v>
      </c>
      <c r="D4" s="12" t="s">
        <v>121</v>
      </c>
      <c r="E4" s="2" t="s">
        <v>17</v>
      </c>
      <c r="F4" s="1" t="s">
        <v>16</v>
      </c>
      <c r="G4" s="2" t="s">
        <v>17</v>
      </c>
      <c r="H4" s="2">
        <v>0</v>
      </c>
      <c r="I4" s="11" t="s">
        <v>19</v>
      </c>
      <c r="J4" s="44" t="s">
        <v>21</v>
      </c>
      <c r="K4" s="2">
        <v>100</v>
      </c>
      <c r="M4" s="2" t="s">
        <v>201</v>
      </c>
      <c r="N4" s="2" t="s">
        <v>202</v>
      </c>
      <c r="O4" s="2">
        <v>100</v>
      </c>
      <c r="P4" s="2">
        <f t="shared" ref="P4:P19" si="0">(Q4+R4)/2</f>
        <v>50</v>
      </c>
      <c r="Q4" s="2">
        <f>O4*0</f>
        <v>0</v>
      </c>
      <c r="R4" s="2">
        <f>O4*1</f>
        <v>100</v>
      </c>
      <c r="T4" s="4">
        <v>0.1</v>
      </c>
      <c r="U4" s="4">
        <v>0.1</v>
      </c>
      <c r="V4" s="4">
        <v>0.1</v>
      </c>
      <c r="W4" s="4">
        <v>0.1</v>
      </c>
      <c r="X4" s="4">
        <v>0.1</v>
      </c>
      <c r="Y4" s="4">
        <v>0.025</v>
      </c>
      <c r="Z4" s="4">
        <v>0.025</v>
      </c>
      <c r="AA4" s="4">
        <v>0.5</v>
      </c>
      <c r="AB4" s="4">
        <v>0.5</v>
      </c>
      <c r="AC4" s="4">
        <v>0.075</v>
      </c>
      <c r="AD4" s="4">
        <v>0.025</v>
      </c>
      <c r="AE4" s="4">
        <v>0.025</v>
      </c>
      <c r="AF4" s="4">
        <v>0.025</v>
      </c>
      <c r="AG4" s="4">
        <v>0.05</v>
      </c>
      <c r="AH4" s="4">
        <v>0.05</v>
      </c>
      <c r="AI4" s="4">
        <v>0.05</v>
      </c>
      <c r="AJ4" s="5">
        <v>0.25</v>
      </c>
      <c r="AK4" s="5">
        <v>0.2</v>
      </c>
      <c r="AL4" s="5">
        <v>0.15</v>
      </c>
      <c r="AM4" s="5">
        <v>0.15</v>
      </c>
      <c r="AN4" s="5">
        <v>0.075</v>
      </c>
      <c r="AT4" s="6">
        <v>500000</v>
      </c>
      <c r="AU4" s="6">
        <v>20</v>
      </c>
      <c r="AV4" s="6">
        <v>120</v>
      </c>
      <c r="AW4" s="6">
        <v>400</v>
      </c>
      <c r="AX4" s="6">
        <v>1000000</v>
      </c>
      <c r="AY4" s="6">
        <v>40</v>
      </c>
      <c r="AZ4" s="6">
        <v>240</v>
      </c>
      <c r="BA4" s="6">
        <v>800</v>
      </c>
      <c r="BB4" s="6">
        <v>1000000</v>
      </c>
      <c r="BC4" s="6">
        <v>40</v>
      </c>
      <c r="BD4" s="6">
        <v>240</v>
      </c>
      <c r="BE4" s="6">
        <v>800</v>
      </c>
      <c r="BF4" s="6">
        <v>1000000</v>
      </c>
      <c r="BG4" s="6">
        <v>40</v>
      </c>
      <c r="BH4" s="6">
        <v>240</v>
      </c>
      <c r="BI4" s="6">
        <v>800</v>
      </c>
      <c r="BJ4" s="6">
        <v>2000000</v>
      </c>
      <c r="BK4" s="6">
        <v>80</v>
      </c>
      <c r="BL4" s="6">
        <v>1600</v>
      </c>
      <c r="BM4" s="6">
        <v>1000</v>
      </c>
      <c r="BN4" s="8">
        <v>1</v>
      </c>
      <c r="BO4" s="6">
        <v>35</v>
      </c>
      <c r="BP4" s="9">
        <v>-0.03</v>
      </c>
      <c r="BQ4" s="7">
        <v>350000</v>
      </c>
      <c r="BR4" s="7">
        <v>350000</v>
      </c>
      <c r="BS4" s="7">
        <v>350000</v>
      </c>
      <c r="BT4" s="6">
        <v>200</v>
      </c>
      <c r="BU4" s="7">
        <v>350000</v>
      </c>
      <c r="BV4" s="6">
        <v>25</v>
      </c>
      <c r="BW4" s="6">
        <v>25</v>
      </c>
      <c r="BX4" s="6">
        <v>1</v>
      </c>
    </row>
    <row r="5" ht="20" customHeight="1" spans="1:76">
      <c r="A5" s="1" t="s">
        <v>25</v>
      </c>
      <c r="B5" s="11" t="s">
        <v>203</v>
      </c>
      <c r="C5" s="2">
        <v>0</v>
      </c>
      <c r="D5" s="12" t="s">
        <v>121</v>
      </c>
      <c r="E5" s="2" t="s">
        <v>26</v>
      </c>
      <c r="F5" s="1" t="s">
        <v>25</v>
      </c>
      <c r="G5" s="2" t="s">
        <v>26</v>
      </c>
      <c r="H5" s="2">
        <v>0</v>
      </c>
      <c r="I5" s="11" t="s">
        <v>27</v>
      </c>
      <c r="J5" s="44" t="s">
        <v>28</v>
      </c>
      <c r="K5" s="2">
        <v>100</v>
      </c>
      <c r="M5" s="2" t="s">
        <v>204</v>
      </c>
      <c r="N5" s="14" t="s">
        <v>205</v>
      </c>
      <c r="O5" s="2">
        <f>O4*0.6</f>
        <v>60</v>
      </c>
      <c r="P5" s="2">
        <f t="shared" si="0"/>
        <v>150</v>
      </c>
      <c r="Q5" s="2">
        <f>O5*2</f>
        <v>120</v>
      </c>
      <c r="R5" s="2">
        <f>O5*3</f>
        <v>180</v>
      </c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</row>
    <row r="6" ht="20" customHeight="1" spans="1:18">
      <c r="A6" s="1" t="s">
        <v>29</v>
      </c>
      <c r="B6" s="11" t="s">
        <v>206</v>
      </c>
      <c r="C6" s="2">
        <v>0</v>
      </c>
      <c r="D6" s="12" t="s">
        <v>121</v>
      </c>
      <c r="E6" s="2" t="s">
        <v>30</v>
      </c>
      <c r="F6" s="1" t="s">
        <v>29</v>
      </c>
      <c r="G6" s="2" t="s">
        <v>30</v>
      </c>
      <c r="H6" s="2">
        <v>0</v>
      </c>
      <c r="I6" s="11" t="s">
        <v>31</v>
      </c>
      <c r="J6" s="44" t="s">
        <v>32</v>
      </c>
      <c r="K6" s="2">
        <v>100</v>
      </c>
      <c r="M6" s="2" t="s">
        <v>207</v>
      </c>
      <c r="N6" s="14" t="s">
        <v>208</v>
      </c>
      <c r="O6" s="2">
        <f>O4*0.5</f>
        <v>50</v>
      </c>
      <c r="P6" s="2">
        <f t="shared" si="0"/>
        <v>225</v>
      </c>
      <c r="Q6" s="2">
        <f>O6*4</f>
        <v>200</v>
      </c>
      <c r="R6" s="2">
        <f>O6*5</f>
        <v>250</v>
      </c>
    </row>
    <row r="7" ht="38" customHeight="1" spans="1:18">
      <c r="A7" s="1" t="s">
        <v>33</v>
      </c>
      <c r="B7" s="11" t="s">
        <v>209</v>
      </c>
      <c r="C7" s="2">
        <v>0</v>
      </c>
      <c r="D7" s="12" t="s">
        <v>121</v>
      </c>
      <c r="E7" s="2" t="s">
        <v>34</v>
      </c>
      <c r="F7" s="1" t="s">
        <v>33</v>
      </c>
      <c r="G7" s="2" t="s">
        <v>34</v>
      </c>
      <c r="H7" s="2">
        <v>0</v>
      </c>
      <c r="I7" s="11" t="s">
        <v>35</v>
      </c>
      <c r="J7" s="45" t="s">
        <v>36</v>
      </c>
      <c r="K7" s="2">
        <v>100</v>
      </c>
      <c r="M7" s="2" t="s">
        <v>210</v>
      </c>
      <c r="N7" s="14" t="s">
        <v>211</v>
      </c>
      <c r="O7" s="2">
        <f>O4*0.45</f>
        <v>45</v>
      </c>
      <c r="P7" s="2">
        <f t="shared" si="0"/>
        <v>315</v>
      </c>
      <c r="Q7" s="2">
        <f>O7*6</f>
        <v>270</v>
      </c>
      <c r="R7" s="2">
        <f>O7*8</f>
        <v>360</v>
      </c>
    </row>
    <row r="8" ht="20" customHeight="1" spans="1:18">
      <c r="A8" s="1" t="s">
        <v>37</v>
      </c>
      <c r="B8" s="11" t="s">
        <v>212</v>
      </c>
      <c r="C8" s="2">
        <v>0</v>
      </c>
      <c r="D8" s="12" t="s">
        <v>121</v>
      </c>
      <c r="E8" s="2" t="s">
        <v>38</v>
      </c>
      <c r="F8" s="1" t="s">
        <v>37</v>
      </c>
      <c r="G8" s="2" t="s">
        <v>38</v>
      </c>
      <c r="H8" s="2">
        <v>0</v>
      </c>
      <c r="I8" s="11" t="s">
        <v>39</v>
      </c>
      <c r="J8" s="44" t="s">
        <v>40</v>
      </c>
      <c r="K8" s="2">
        <v>100</v>
      </c>
      <c r="M8" s="2" t="s">
        <v>213</v>
      </c>
      <c r="N8" s="2" t="s">
        <v>202</v>
      </c>
      <c r="O8" s="2">
        <v>140</v>
      </c>
      <c r="P8" s="2">
        <f t="shared" si="0"/>
        <v>70</v>
      </c>
      <c r="Q8" s="2">
        <f>O8*0</f>
        <v>0</v>
      </c>
      <c r="R8" s="2">
        <f>O8*1</f>
        <v>140</v>
      </c>
    </row>
    <row r="9" ht="34" customHeight="1" spans="1:18">
      <c r="A9" s="1" t="s">
        <v>41</v>
      </c>
      <c r="B9" s="11" t="s">
        <v>214</v>
      </c>
      <c r="C9" s="2">
        <v>0</v>
      </c>
      <c r="D9" s="12" t="s">
        <v>121</v>
      </c>
      <c r="E9" s="2" t="s">
        <v>42</v>
      </c>
      <c r="F9" s="1" t="s">
        <v>41</v>
      </c>
      <c r="G9" s="2" t="s">
        <v>42</v>
      </c>
      <c r="H9" s="2">
        <v>0</v>
      </c>
      <c r="I9" s="11" t="s">
        <v>43</v>
      </c>
      <c r="J9" s="45" t="s">
        <v>44</v>
      </c>
      <c r="K9" s="2">
        <v>100</v>
      </c>
      <c r="M9" s="2" t="s">
        <v>215</v>
      </c>
      <c r="N9" s="14" t="s">
        <v>205</v>
      </c>
      <c r="O9" s="2">
        <f>O8*0.6</f>
        <v>84</v>
      </c>
      <c r="P9" s="2">
        <f t="shared" si="0"/>
        <v>210</v>
      </c>
      <c r="Q9" s="2">
        <f>O9*2</f>
        <v>168</v>
      </c>
      <c r="R9" s="2">
        <f>O9*3</f>
        <v>252</v>
      </c>
    </row>
    <row r="10" ht="20" customHeight="1" spans="1:18">
      <c r="A10" s="1" t="s">
        <v>16</v>
      </c>
      <c r="B10" s="11" t="s">
        <v>216</v>
      </c>
      <c r="C10" s="2">
        <v>3</v>
      </c>
      <c r="D10" s="12" t="s">
        <v>123</v>
      </c>
      <c r="E10" s="2" t="s">
        <v>17</v>
      </c>
      <c r="F10" s="1" t="s">
        <v>45</v>
      </c>
      <c r="G10" s="2" t="s">
        <v>46</v>
      </c>
      <c r="H10" s="2">
        <v>6</v>
      </c>
      <c r="I10" s="11" t="s">
        <v>47</v>
      </c>
      <c r="J10" s="44" t="s">
        <v>48</v>
      </c>
      <c r="K10" s="2">
        <v>140</v>
      </c>
      <c r="M10" s="2" t="s">
        <v>217</v>
      </c>
      <c r="N10" s="14" t="s">
        <v>208</v>
      </c>
      <c r="O10" s="2">
        <f>O8*0.5</f>
        <v>70</v>
      </c>
      <c r="P10" s="2">
        <f t="shared" si="0"/>
        <v>315</v>
      </c>
      <c r="Q10" s="2">
        <f>O10*4</f>
        <v>280</v>
      </c>
      <c r="R10" s="2">
        <f>O10*5</f>
        <v>350</v>
      </c>
    </row>
    <row r="11" ht="20" customHeight="1" spans="1:18">
      <c r="A11" s="1" t="s">
        <v>25</v>
      </c>
      <c r="B11" s="11" t="s">
        <v>218</v>
      </c>
      <c r="C11" s="2">
        <v>3</v>
      </c>
      <c r="D11" s="12" t="s">
        <v>123</v>
      </c>
      <c r="E11" s="2" t="s">
        <v>26</v>
      </c>
      <c r="F11" s="1" t="s">
        <v>49</v>
      </c>
      <c r="G11" s="2" t="s">
        <v>50</v>
      </c>
      <c r="H11" s="2">
        <v>6</v>
      </c>
      <c r="I11" s="11" t="s">
        <v>51</v>
      </c>
      <c r="J11" s="44" t="s">
        <v>52</v>
      </c>
      <c r="K11" s="2">
        <v>140</v>
      </c>
      <c r="M11" s="2" t="s">
        <v>219</v>
      </c>
      <c r="N11" s="14" t="s">
        <v>211</v>
      </c>
      <c r="O11" s="2">
        <f>O8*0.45</f>
        <v>63</v>
      </c>
      <c r="P11" s="2">
        <f t="shared" si="0"/>
        <v>441</v>
      </c>
      <c r="Q11" s="2">
        <f>O11*6</f>
        <v>378</v>
      </c>
      <c r="R11" s="2">
        <f>O11*8</f>
        <v>504</v>
      </c>
    </row>
    <row r="12" ht="20" customHeight="1" spans="1:18">
      <c r="A12" s="1" t="s">
        <v>29</v>
      </c>
      <c r="B12" s="11" t="s">
        <v>220</v>
      </c>
      <c r="C12" s="2">
        <v>3</v>
      </c>
      <c r="D12" s="12" t="s">
        <v>123</v>
      </c>
      <c r="E12" s="2" t="s">
        <v>30</v>
      </c>
      <c r="F12" s="1" t="s">
        <v>53</v>
      </c>
      <c r="G12" s="2" t="s">
        <v>54</v>
      </c>
      <c r="H12" s="2">
        <v>6</v>
      </c>
      <c r="I12" s="11" t="s">
        <v>55</v>
      </c>
      <c r="J12" s="44" t="s">
        <v>56</v>
      </c>
      <c r="K12" s="2">
        <v>140</v>
      </c>
      <c r="M12" s="2" t="s">
        <v>221</v>
      </c>
      <c r="N12" s="2" t="s">
        <v>202</v>
      </c>
      <c r="O12" s="2">
        <v>180</v>
      </c>
      <c r="P12" s="2">
        <f t="shared" si="0"/>
        <v>90</v>
      </c>
      <c r="Q12" s="2">
        <f>O12*0</f>
        <v>0</v>
      </c>
      <c r="R12" s="2">
        <f>O12*1</f>
        <v>180</v>
      </c>
    </row>
    <row r="13" ht="39" customHeight="1" spans="1:18">
      <c r="A13" s="1" t="s">
        <v>33</v>
      </c>
      <c r="B13" s="11" t="s">
        <v>222</v>
      </c>
      <c r="C13" s="2">
        <v>3</v>
      </c>
      <c r="D13" s="12" t="s">
        <v>123</v>
      </c>
      <c r="E13" s="2" t="s">
        <v>34</v>
      </c>
      <c r="F13" s="1" t="s">
        <v>57</v>
      </c>
      <c r="G13" s="2" t="s">
        <v>58</v>
      </c>
      <c r="H13" s="2">
        <v>6</v>
      </c>
      <c r="I13" s="11" t="s">
        <v>59</v>
      </c>
      <c r="J13" s="45" t="s">
        <v>60</v>
      </c>
      <c r="K13" s="2">
        <v>140</v>
      </c>
      <c r="M13" s="2" t="s">
        <v>223</v>
      </c>
      <c r="N13" s="14" t="s">
        <v>205</v>
      </c>
      <c r="O13" s="2">
        <f>O12*0.6</f>
        <v>108</v>
      </c>
      <c r="P13" s="2">
        <f t="shared" si="0"/>
        <v>270</v>
      </c>
      <c r="Q13" s="2">
        <f>O13*2</f>
        <v>216</v>
      </c>
      <c r="R13" s="2">
        <f>O13*3</f>
        <v>324</v>
      </c>
    </row>
    <row r="14" ht="20" customHeight="1" spans="1:18">
      <c r="A14" s="1" t="s">
        <v>37</v>
      </c>
      <c r="B14" s="11" t="s">
        <v>224</v>
      </c>
      <c r="C14" s="2">
        <v>3</v>
      </c>
      <c r="D14" s="12" t="s">
        <v>123</v>
      </c>
      <c r="E14" s="2" t="s">
        <v>38</v>
      </c>
      <c r="F14" s="1" t="s">
        <v>61</v>
      </c>
      <c r="G14" s="2" t="s">
        <v>62</v>
      </c>
      <c r="H14" s="2">
        <v>6</v>
      </c>
      <c r="I14" s="11" t="s">
        <v>63</v>
      </c>
      <c r="J14" s="44" t="s">
        <v>64</v>
      </c>
      <c r="K14" s="2">
        <v>140</v>
      </c>
      <c r="M14" s="2" t="s">
        <v>225</v>
      </c>
      <c r="N14" s="14" t="s">
        <v>208</v>
      </c>
      <c r="O14" s="2">
        <f>O12*0.5</f>
        <v>90</v>
      </c>
      <c r="P14" s="2">
        <f t="shared" si="0"/>
        <v>405</v>
      </c>
      <c r="Q14" s="2">
        <f>O14*4</f>
        <v>360</v>
      </c>
      <c r="R14" s="2">
        <f>O14*5</f>
        <v>450</v>
      </c>
    </row>
    <row r="15" ht="37" customHeight="1" spans="1:18">
      <c r="A15" s="1" t="s">
        <v>41</v>
      </c>
      <c r="B15" s="11" t="s">
        <v>226</v>
      </c>
      <c r="C15" s="2">
        <v>3</v>
      </c>
      <c r="D15" s="12" t="s">
        <v>123</v>
      </c>
      <c r="E15" s="2" t="s">
        <v>42</v>
      </c>
      <c r="F15" s="1" t="s">
        <v>65</v>
      </c>
      <c r="G15" s="2" t="s">
        <v>66</v>
      </c>
      <c r="H15" s="2">
        <v>6</v>
      </c>
      <c r="I15" s="11" t="s">
        <v>67</v>
      </c>
      <c r="J15" s="45" t="s">
        <v>68</v>
      </c>
      <c r="K15" s="2">
        <v>140</v>
      </c>
      <c r="M15" s="2" t="s">
        <v>227</v>
      </c>
      <c r="N15" s="14" t="s">
        <v>211</v>
      </c>
      <c r="O15" s="2">
        <f>O12*0.45</f>
        <v>81</v>
      </c>
      <c r="P15" s="2">
        <f t="shared" si="0"/>
        <v>567</v>
      </c>
      <c r="Q15" s="2">
        <f>O15*6</f>
        <v>486</v>
      </c>
      <c r="R15" s="2">
        <f>O15*8</f>
        <v>648</v>
      </c>
    </row>
    <row r="16" ht="20" customHeight="1" spans="1:18">
      <c r="A16" s="1" t="s">
        <v>16</v>
      </c>
      <c r="B16" s="11" t="s">
        <v>228</v>
      </c>
      <c r="C16" s="2">
        <v>6</v>
      </c>
      <c r="D16" s="12" t="s">
        <v>125</v>
      </c>
      <c r="E16" s="2" t="s">
        <v>17</v>
      </c>
      <c r="F16" s="1" t="s">
        <v>69</v>
      </c>
      <c r="G16" s="2" t="s">
        <v>70</v>
      </c>
      <c r="H16" s="2">
        <v>12</v>
      </c>
      <c r="I16" s="11" t="s">
        <v>71</v>
      </c>
      <c r="J16" s="44" t="s">
        <v>72</v>
      </c>
      <c r="K16" s="2">
        <v>180</v>
      </c>
      <c r="M16" s="2" t="s">
        <v>229</v>
      </c>
      <c r="N16" s="2" t="s">
        <v>202</v>
      </c>
      <c r="O16" s="2">
        <v>220</v>
      </c>
      <c r="P16" s="2">
        <f t="shared" si="0"/>
        <v>110</v>
      </c>
      <c r="Q16" s="2">
        <f>O16*0</f>
        <v>0</v>
      </c>
      <c r="R16" s="2">
        <f>O16*1</f>
        <v>220</v>
      </c>
    </row>
    <row r="17" ht="20" customHeight="1" spans="1:18">
      <c r="A17" s="1" t="s">
        <v>25</v>
      </c>
      <c r="B17" s="11" t="s">
        <v>230</v>
      </c>
      <c r="C17" s="2">
        <v>6</v>
      </c>
      <c r="D17" s="12" t="s">
        <v>125</v>
      </c>
      <c r="E17" s="2" t="s">
        <v>26</v>
      </c>
      <c r="F17" s="1" t="s">
        <v>73</v>
      </c>
      <c r="G17" s="2" t="s">
        <v>74</v>
      </c>
      <c r="H17" s="2">
        <v>12</v>
      </c>
      <c r="I17" s="11" t="s">
        <v>75</v>
      </c>
      <c r="J17" s="44" t="s">
        <v>76</v>
      </c>
      <c r="K17" s="2">
        <v>180</v>
      </c>
      <c r="M17" s="2" t="s">
        <v>231</v>
      </c>
      <c r="N17" s="14" t="s">
        <v>205</v>
      </c>
      <c r="O17" s="2">
        <f>O16*0.6</f>
        <v>132</v>
      </c>
      <c r="P17" s="2">
        <f t="shared" si="0"/>
        <v>330</v>
      </c>
      <c r="Q17" s="2">
        <f>O17*2</f>
        <v>264</v>
      </c>
      <c r="R17" s="2">
        <f>O17*3</f>
        <v>396</v>
      </c>
    </row>
    <row r="18" ht="20" customHeight="1" spans="1:18">
      <c r="A18" s="1" t="s">
        <v>29</v>
      </c>
      <c r="B18" s="11" t="s">
        <v>232</v>
      </c>
      <c r="C18" s="2">
        <v>6</v>
      </c>
      <c r="D18" s="12" t="s">
        <v>125</v>
      </c>
      <c r="E18" s="2" t="s">
        <v>30</v>
      </c>
      <c r="F18" s="1" t="s">
        <v>77</v>
      </c>
      <c r="G18" s="2" t="s">
        <v>78</v>
      </c>
      <c r="H18" s="2">
        <v>12</v>
      </c>
      <c r="I18" s="11" t="s">
        <v>79</v>
      </c>
      <c r="J18" s="44" t="s">
        <v>80</v>
      </c>
      <c r="K18" s="2">
        <v>180</v>
      </c>
      <c r="M18" s="2" t="s">
        <v>233</v>
      </c>
      <c r="N18" s="14" t="s">
        <v>208</v>
      </c>
      <c r="O18" s="2">
        <f>O16*0.5</f>
        <v>110</v>
      </c>
      <c r="P18" s="2">
        <f t="shared" si="0"/>
        <v>495</v>
      </c>
      <c r="Q18" s="2">
        <f>O18*4</f>
        <v>440</v>
      </c>
      <c r="R18" s="2">
        <f>O18*5</f>
        <v>550</v>
      </c>
    </row>
    <row r="19" ht="36" customHeight="1" spans="1:18">
      <c r="A19" s="1" t="s">
        <v>33</v>
      </c>
      <c r="B19" s="11" t="s">
        <v>234</v>
      </c>
      <c r="C19" s="2">
        <v>6</v>
      </c>
      <c r="D19" s="12" t="s">
        <v>125</v>
      </c>
      <c r="E19" s="2" t="s">
        <v>34</v>
      </c>
      <c r="F19" s="1" t="s">
        <v>81</v>
      </c>
      <c r="G19" s="2" t="s">
        <v>82</v>
      </c>
      <c r="H19" s="2">
        <v>12</v>
      </c>
      <c r="I19" s="11" t="s">
        <v>83</v>
      </c>
      <c r="J19" s="45" t="s">
        <v>84</v>
      </c>
      <c r="K19" s="2">
        <v>180</v>
      </c>
      <c r="M19" s="2" t="s">
        <v>235</v>
      </c>
      <c r="N19" s="14" t="s">
        <v>211</v>
      </c>
      <c r="O19" s="2">
        <f>O16*0.45</f>
        <v>99</v>
      </c>
      <c r="P19" s="2">
        <f t="shared" si="0"/>
        <v>693</v>
      </c>
      <c r="Q19" s="2">
        <f>O19*6</f>
        <v>594</v>
      </c>
      <c r="R19" s="2">
        <f>O19*8</f>
        <v>792</v>
      </c>
    </row>
    <row r="20" ht="20" customHeight="1" spans="1:11">
      <c r="A20" s="1" t="s">
        <v>37</v>
      </c>
      <c r="B20" s="11" t="s">
        <v>236</v>
      </c>
      <c r="C20" s="2">
        <v>6</v>
      </c>
      <c r="D20" s="12" t="s">
        <v>125</v>
      </c>
      <c r="E20" s="2" t="s">
        <v>38</v>
      </c>
      <c r="F20" s="1" t="s">
        <v>85</v>
      </c>
      <c r="G20" s="2" t="s">
        <v>86</v>
      </c>
      <c r="H20" s="2">
        <v>12</v>
      </c>
      <c r="I20" s="11" t="s">
        <v>87</v>
      </c>
      <c r="J20" s="44" t="s">
        <v>88</v>
      </c>
      <c r="K20" s="2">
        <v>180</v>
      </c>
    </row>
    <row r="21" ht="37" customHeight="1" spans="1:11">
      <c r="A21" s="1" t="s">
        <v>41</v>
      </c>
      <c r="B21" s="11" t="s">
        <v>237</v>
      </c>
      <c r="C21" s="2">
        <v>6</v>
      </c>
      <c r="D21" s="12" t="s">
        <v>125</v>
      </c>
      <c r="E21" s="2" t="s">
        <v>42</v>
      </c>
      <c r="F21" s="1" t="s">
        <v>89</v>
      </c>
      <c r="G21" s="2" t="s">
        <v>90</v>
      </c>
      <c r="H21" s="2">
        <v>12</v>
      </c>
      <c r="I21" s="11" t="s">
        <v>91</v>
      </c>
      <c r="J21" s="45" t="s">
        <v>92</v>
      </c>
      <c r="K21" s="2">
        <v>180</v>
      </c>
    </row>
    <row r="22" ht="20" customHeight="1" spans="1:11">
      <c r="A22" s="1" t="s">
        <v>16</v>
      </c>
      <c r="B22" s="11" t="s">
        <v>238</v>
      </c>
      <c r="C22" s="2">
        <v>9</v>
      </c>
      <c r="D22" s="12" t="s">
        <v>127</v>
      </c>
      <c r="E22" s="2" t="s">
        <v>17</v>
      </c>
      <c r="F22" s="1" t="s">
        <v>93</v>
      </c>
      <c r="G22" s="2" t="s">
        <v>94</v>
      </c>
      <c r="H22" s="2">
        <v>18</v>
      </c>
      <c r="I22" s="11" t="s">
        <v>95</v>
      </c>
      <c r="J22" s="44" t="s">
        <v>96</v>
      </c>
      <c r="K22" s="2">
        <v>220</v>
      </c>
    </row>
    <row r="23" ht="20" customHeight="1" spans="1:11">
      <c r="A23" s="1" t="s">
        <v>25</v>
      </c>
      <c r="B23" s="11" t="s">
        <v>239</v>
      </c>
      <c r="C23" s="2">
        <v>9</v>
      </c>
      <c r="D23" s="12" t="s">
        <v>127</v>
      </c>
      <c r="E23" s="2" t="s">
        <v>26</v>
      </c>
      <c r="F23" s="1" t="s">
        <v>97</v>
      </c>
      <c r="G23" s="2" t="s">
        <v>98</v>
      </c>
      <c r="H23" s="2">
        <v>18</v>
      </c>
      <c r="I23" s="11" t="s">
        <v>99</v>
      </c>
      <c r="J23" s="44" t="s">
        <v>100</v>
      </c>
      <c r="K23" s="2">
        <v>220</v>
      </c>
    </row>
    <row r="24" ht="20" customHeight="1" spans="1:11">
      <c r="A24" s="1" t="s">
        <v>29</v>
      </c>
      <c r="B24" s="11" t="s">
        <v>240</v>
      </c>
      <c r="C24" s="2">
        <v>9</v>
      </c>
      <c r="D24" s="12" t="s">
        <v>127</v>
      </c>
      <c r="E24" s="2" t="s">
        <v>30</v>
      </c>
      <c r="F24" s="1" t="s">
        <v>101</v>
      </c>
      <c r="G24" s="2" t="s">
        <v>102</v>
      </c>
      <c r="H24" s="2">
        <v>18</v>
      </c>
      <c r="I24" s="11" t="s">
        <v>103</v>
      </c>
      <c r="J24" s="44" t="s">
        <v>104</v>
      </c>
      <c r="K24" s="2">
        <v>220</v>
      </c>
    </row>
    <row r="25" ht="38" customHeight="1" spans="1:11">
      <c r="A25" s="1" t="s">
        <v>33</v>
      </c>
      <c r="B25" s="11" t="s">
        <v>241</v>
      </c>
      <c r="C25" s="2">
        <v>9</v>
      </c>
      <c r="D25" s="12" t="s">
        <v>127</v>
      </c>
      <c r="E25" s="2" t="s">
        <v>34</v>
      </c>
      <c r="F25" s="1" t="s">
        <v>105</v>
      </c>
      <c r="G25" s="2" t="s">
        <v>106</v>
      </c>
      <c r="H25" s="2">
        <v>18</v>
      </c>
      <c r="I25" s="11" t="s">
        <v>107</v>
      </c>
      <c r="J25" s="45" t="s">
        <v>108</v>
      </c>
      <c r="K25" s="2">
        <v>220</v>
      </c>
    </row>
    <row r="26" ht="20" customHeight="1" spans="1:11">
      <c r="A26" s="1" t="s">
        <v>37</v>
      </c>
      <c r="B26" s="11" t="s">
        <v>242</v>
      </c>
      <c r="C26" s="2">
        <v>9</v>
      </c>
      <c r="D26" s="12" t="s">
        <v>127</v>
      </c>
      <c r="E26" s="2" t="s">
        <v>38</v>
      </c>
      <c r="F26" s="1" t="s">
        <v>109</v>
      </c>
      <c r="G26" s="2" t="s">
        <v>110</v>
      </c>
      <c r="H26" s="2">
        <v>18</v>
      </c>
      <c r="I26" s="11" t="s">
        <v>111</v>
      </c>
      <c r="J26" s="44" t="s">
        <v>112</v>
      </c>
      <c r="K26" s="2">
        <v>220</v>
      </c>
    </row>
    <row r="27" ht="35" customHeight="1" spans="1:11">
      <c r="A27" s="1" t="s">
        <v>41</v>
      </c>
      <c r="B27" s="11" t="s">
        <v>243</v>
      </c>
      <c r="C27" s="2">
        <v>9</v>
      </c>
      <c r="D27" s="12" t="s">
        <v>127</v>
      </c>
      <c r="E27" s="2" t="s">
        <v>42</v>
      </c>
      <c r="F27" s="1" t="s">
        <v>113</v>
      </c>
      <c r="G27" s="2" t="s">
        <v>114</v>
      </c>
      <c r="H27" s="2">
        <v>18</v>
      </c>
      <c r="I27" s="11" t="s">
        <v>115</v>
      </c>
      <c r="J27" s="45" t="s">
        <v>116</v>
      </c>
      <c r="K27" s="2">
        <v>220</v>
      </c>
    </row>
    <row r="28" s="1" customFormat="1" ht="20" customHeight="1" spans="1:76">
      <c r="A28" s="1" t="s">
        <v>45</v>
      </c>
      <c r="B28" s="11" t="s">
        <v>244</v>
      </c>
      <c r="C28" s="2">
        <v>6</v>
      </c>
      <c r="D28" s="12" t="s">
        <v>121</v>
      </c>
      <c r="E28" s="2" t="s">
        <v>46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5"/>
      <c r="AK28" s="5"/>
      <c r="AL28" s="5"/>
      <c r="AM28" s="5"/>
      <c r="AN28" s="5"/>
      <c r="AO28" s="5"/>
      <c r="AP28" s="5"/>
      <c r="AQ28" s="5"/>
      <c r="AR28" s="5"/>
      <c r="AS28" s="1"/>
      <c r="AT28" s="6"/>
      <c r="AU28" s="6"/>
      <c r="AV28" s="6"/>
      <c r="AW28" s="6"/>
      <c r="AX28" s="6"/>
      <c r="AY28" s="6"/>
      <c r="AZ28" s="6"/>
      <c r="BA28" s="6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8"/>
      <c r="BO28" s="6"/>
      <c r="BP28" s="9"/>
      <c r="BQ28" s="7"/>
      <c r="BR28" s="6"/>
      <c r="BS28" s="6"/>
      <c r="BT28" s="6"/>
      <c r="BU28" s="6"/>
      <c r="BV28" s="6"/>
      <c r="BW28" s="6"/>
      <c r="BX28" s="6"/>
    </row>
    <row r="29" s="1" customFormat="1" ht="20" customHeight="1" spans="1:76">
      <c r="A29" s="1" t="s">
        <v>49</v>
      </c>
      <c r="B29" s="11" t="s">
        <v>245</v>
      </c>
      <c r="C29" s="2">
        <v>6</v>
      </c>
      <c r="D29" s="12" t="s">
        <v>121</v>
      </c>
      <c r="E29" s="2" t="s">
        <v>50</v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5"/>
      <c r="AK29" s="5"/>
      <c r="AL29" s="5"/>
      <c r="AM29" s="5"/>
      <c r="AN29" s="5"/>
      <c r="AO29" s="5"/>
      <c r="AP29" s="5"/>
      <c r="AQ29" s="5"/>
      <c r="AR29" s="5"/>
      <c r="AS29" s="1"/>
      <c r="AT29" s="6"/>
      <c r="AU29" s="6"/>
      <c r="AV29" s="6"/>
      <c r="AW29" s="6"/>
      <c r="AX29" s="6"/>
      <c r="AY29" s="6"/>
      <c r="AZ29" s="6"/>
      <c r="BA29" s="6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8"/>
      <c r="BO29" s="6"/>
      <c r="BP29" s="9"/>
      <c r="BQ29" s="7"/>
      <c r="BR29" s="6"/>
      <c r="BS29" s="6"/>
      <c r="BT29" s="6"/>
      <c r="BU29" s="6"/>
      <c r="BV29" s="6"/>
      <c r="BW29" s="6"/>
      <c r="BX29" s="6"/>
    </row>
    <row r="30" s="1" customFormat="1" ht="20" customHeight="1" spans="1:76">
      <c r="A30" s="1" t="s">
        <v>53</v>
      </c>
      <c r="B30" s="11" t="s">
        <v>246</v>
      </c>
      <c r="C30" s="2">
        <v>6</v>
      </c>
      <c r="D30" s="12" t="s">
        <v>121</v>
      </c>
      <c r="E30" s="2" t="s">
        <v>54</v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5"/>
      <c r="AK30" s="5"/>
      <c r="AL30" s="5"/>
      <c r="AM30" s="5"/>
      <c r="AN30" s="5"/>
      <c r="AO30" s="5"/>
      <c r="AP30" s="5"/>
      <c r="AQ30" s="5"/>
      <c r="AR30" s="5"/>
      <c r="AS30" s="1"/>
      <c r="AT30" s="6"/>
      <c r="AU30" s="6"/>
      <c r="AV30" s="6"/>
      <c r="AW30" s="6"/>
      <c r="AX30" s="6"/>
      <c r="AY30" s="6"/>
      <c r="AZ30" s="6"/>
      <c r="BA30" s="6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8"/>
      <c r="BO30" s="6"/>
      <c r="BP30" s="9"/>
      <c r="BQ30" s="7"/>
      <c r="BR30" s="6"/>
      <c r="BS30" s="6"/>
      <c r="BT30" s="6"/>
      <c r="BU30" s="6"/>
      <c r="BV30" s="6"/>
      <c r="BW30" s="6"/>
      <c r="BX30" s="6"/>
    </row>
    <row r="31" s="1" customFormat="1" ht="20" customHeight="1" spans="1:76">
      <c r="A31" s="1" t="s">
        <v>57</v>
      </c>
      <c r="B31" s="11" t="s">
        <v>247</v>
      </c>
      <c r="C31" s="2">
        <v>6</v>
      </c>
      <c r="D31" s="12" t="s">
        <v>121</v>
      </c>
      <c r="E31" s="2" t="s">
        <v>58</v>
      </c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5"/>
      <c r="AK31" s="5"/>
      <c r="AL31" s="5"/>
      <c r="AM31" s="5"/>
      <c r="AN31" s="5"/>
      <c r="AO31" s="5"/>
      <c r="AP31" s="5"/>
      <c r="AQ31" s="5"/>
      <c r="AR31" s="5"/>
      <c r="AS31" s="1"/>
      <c r="AT31" s="6"/>
      <c r="AU31" s="6"/>
      <c r="AV31" s="6"/>
      <c r="AW31" s="6"/>
      <c r="AX31" s="6"/>
      <c r="AY31" s="6"/>
      <c r="AZ31" s="6"/>
      <c r="BA31" s="6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8"/>
      <c r="BO31" s="6"/>
      <c r="BP31" s="9"/>
      <c r="BQ31" s="7"/>
      <c r="BR31" s="6"/>
      <c r="BS31" s="6"/>
      <c r="BT31" s="6"/>
      <c r="BU31" s="6"/>
      <c r="BV31" s="6"/>
      <c r="BW31" s="6"/>
      <c r="BX31" s="6"/>
    </row>
    <row r="32" s="1" customFormat="1" ht="20" customHeight="1" spans="1:76">
      <c r="A32" s="1" t="s">
        <v>61</v>
      </c>
      <c r="B32" s="11" t="s">
        <v>248</v>
      </c>
      <c r="C32" s="2">
        <v>6</v>
      </c>
      <c r="D32" s="12" t="s">
        <v>121</v>
      </c>
      <c r="E32" s="2" t="s">
        <v>62</v>
      </c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5"/>
      <c r="AK32" s="5"/>
      <c r="AL32" s="5"/>
      <c r="AM32" s="5"/>
      <c r="AN32" s="5"/>
      <c r="AO32" s="5"/>
      <c r="AP32" s="5"/>
      <c r="AQ32" s="5"/>
      <c r="AR32" s="5"/>
      <c r="AS32" s="1"/>
      <c r="AT32" s="6"/>
      <c r="AU32" s="6"/>
      <c r="AV32" s="6"/>
      <c r="AW32" s="6"/>
      <c r="AX32" s="6"/>
      <c r="AY32" s="6"/>
      <c r="AZ32" s="6"/>
      <c r="BA32" s="6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8"/>
      <c r="BO32" s="6"/>
      <c r="BP32" s="9"/>
      <c r="BQ32" s="7"/>
      <c r="BR32" s="6"/>
      <c r="BS32" s="6"/>
      <c r="BT32" s="6"/>
      <c r="BU32" s="6"/>
      <c r="BV32" s="6"/>
      <c r="BW32" s="6"/>
      <c r="BX32" s="6"/>
    </row>
    <row r="33" s="1" customFormat="1" ht="20" customHeight="1" spans="1:76">
      <c r="A33" s="1" t="s">
        <v>65</v>
      </c>
      <c r="B33" s="11" t="s">
        <v>249</v>
      </c>
      <c r="C33" s="2">
        <v>6</v>
      </c>
      <c r="D33" s="12" t="s">
        <v>121</v>
      </c>
      <c r="E33" s="2" t="s">
        <v>66</v>
      </c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5"/>
      <c r="AK33" s="5"/>
      <c r="AL33" s="5"/>
      <c r="AM33" s="5"/>
      <c r="AN33" s="5"/>
      <c r="AO33" s="5"/>
      <c r="AP33" s="5"/>
      <c r="AQ33" s="5"/>
      <c r="AR33" s="5"/>
      <c r="AS33" s="1"/>
      <c r="AT33" s="6"/>
      <c r="AU33" s="6"/>
      <c r="AV33" s="6"/>
      <c r="AW33" s="6"/>
      <c r="AX33" s="6"/>
      <c r="AY33" s="6"/>
      <c r="AZ33" s="6"/>
      <c r="BA33" s="6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8"/>
      <c r="BO33" s="6"/>
      <c r="BP33" s="9"/>
      <c r="BQ33" s="7"/>
      <c r="BR33" s="6"/>
      <c r="BS33" s="6"/>
      <c r="BT33" s="6"/>
      <c r="BU33" s="6"/>
      <c r="BV33" s="6"/>
      <c r="BW33" s="6"/>
      <c r="BX33" s="6"/>
    </row>
    <row r="34" s="1" customFormat="1" ht="20" customHeight="1" spans="1:76">
      <c r="A34" s="1" t="s">
        <v>45</v>
      </c>
      <c r="B34" s="11" t="s">
        <v>250</v>
      </c>
      <c r="C34" s="2">
        <v>9</v>
      </c>
      <c r="D34" s="12" t="s">
        <v>123</v>
      </c>
      <c r="E34" s="2" t="s">
        <v>46</v>
      </c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5"/>
      <c r="AK34" s="5"/>
      <c r="AL34" s="5"/>
      <c r="AM34" s="5"/>
      <c r="AN34" s="5"/>
      <c r="AO34" s="5"/>
      <c r="AP34" s="5"/>
      <c r="AQ34" s="5"/>
      <c r="AR34" s="5"/>
      <c r="AS34" s="1"/>
      <c r="AT34" s="6"/>
      <c r="AU34" s="6"/>
      <c r="AV34" s="6"/>
      <c r="AW34" s="6"/>
      <c r="AX34" s="6"/>
      <c r="AY34" s="6"/>
      <c r="AZ34" s="6"/>
      <c r="BA34" s="6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8"/>
      <c r="BO34" s="6"/>
      <c r="BP34" s="9"/>
      <c r="BQ34" s="7"/>
      <c r="BR34" s="6"/>
      <c r="BS34" s="6"/>
      <c r="BT34" s="6"/>
      <c r="BU34" s="6"/>
      <c r="BV34" s="6"/>
      <c r="BW34" s="6"/>
      <c r="BX34" s="6"/>
    </row>
    <row r="35" s="1" customFormat="1" ht="20" customHeight="1" spans="1:76">
      <c r="A35" s="1" t="s">
        <v>49</v>
      </c>
      <c r="B35" s="11" t="s">
        <v>251</v>
      </c>
      <c r="C35" s="2">
        <v>9</v>
      </c>
      <c r="D35" s="12" t="s">
        <v>123</v>
      </c>
      <c r="E35" s="2" t="s">
        <v>50</v>
      </c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5"/>
      <c r="AK35" s="5"/>
      <c r="AL35" s="5"/>
      <c r="AM35" s="5"/>
      <c r="AN35" s="5"/>
      <c r="AO35" s="5"/>
      <c r="AP35" s="5"/>
      <c r="AQ35" s="5"/>
      <c r="AR35" s="5"/>
      <c r="AS35" s="1"/>
      <c r="AT35" s="6"/>
      <c r="AU35" s="6"/>
      <c r="AV35" s="6"/>
      <c r="AW35" s="6"/>
      <c r="AX35" s="6"/>
      <c r="AY35" s="6"/>
      <c r="AZ35" s="6"/>
      <c r="BA35" s="6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8"/>
      <c r="BO35" s="6"/>
      <c r="BP35" s="9"/>
      <c r="BQ35" s="7"/>
      <c r="BR35" s="6"/>
      <c r="BS35" s="6"/>
      <c r="BT35" s="6"/>
      <c r="BU35" s="6"/>
      <c r="BV35" s="6"/>
      <c r="BW35" s="6"/>
      <c r="BX35" s="6"/>
    </row>
    <row r="36" s="1" customFormat="1" ht="20" customHeight="1" spans="1:76">
      <c r="A36" s="1" t="s">
        <v>53</v>
      </c>
      <c r="B36" s="11" t="s">
        <v>252</v>
      </c>
      <c r="C36" s="2">
        <v>9</v>
      </c>
      <c r="D36" s="12" t="s">
        <v>123</v>
      </c>
      <c r="E36" s="2" t="s">
        <v>54</v>
      </c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5"/>
      <c r="AK36" s="5"/>
      <c r="AL36" s="5"/>
      <c r="AM36" s="5"/>
      <c r="AN36" s="5"/>
      <c r="AO36" s="5"/>
      <c r="AP36" s="5"/>
      <c r="AQ36" s="5"/>
      <c r="AR36" s="5"/>
      <c r="AS36" s="1"/>
      <c r="AT36" s="6"/>
      <c r="AU36" s="6"/>
      <c r="AV36" s="6"/>
      <c r="AW36" s="6"/>
      <c r="AX36" s="6"/>
      <c r="AY36" s="6"/>
      <c r="AZ36" s="6"/>
      <c r="BA36" s="6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8"/>
      <c r="BO36" s="6"/>
      <c r="BP36" s="9"/>
      <c r="BQ36" s="7"/>
      <c r="BR36" s="6"/>
      <c r="BS36" s="6"/>
      <c r="BT36" s="6"/>
      <c r="BU36" s="6"/>
      <c r="BV36" s="6"/>
      <c r="BW36" s="6"/>
      <c r="BX36" s="6"/>
    </row>
    <row r="37" s="1" customFormat="1" ht="20" customHeight="1" spans="1:76">
      <c r="A37" s="1" t="s">
        <v>57</v>
      </c>
      <c r="B37" s="11" t="s">
        <v>253</v>
      </c>
      <c r="C37" s="2">
        <v>9</v>
      </c>
      <c r="D37" s="12" t="s">
        <v>123</v>
      </c>
      <c r="E37" s="2" t="s">
        <v>58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5"/>
      <c r="AK37" s="5"/>
      <c r="AL37" s="5"/>
      <c r="AM37" s="5"/>
      <c r="AN37" s="5"/>
      <c r="AO37" s="5"/>
      <c r="AP37" s="5"/>
      <c r="AQ37" s="5"/>
      <c r="AR37" s="5"/>
      <c r="AS37" s="1"/>
      <c r="AT37" s="6"/>
      <c r="AU37" s="6"/>
      <c r="AV37" s="6"/>
      <c r="AW37" s="6"/>
      <c r="AX37" s="6"/>
      <c r="AY37" s="6"/>
      <c r="AZ37" s="6"/>
      <c r="BA37" s="6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8"/>
      <c r="BO37" s="6"/>
      <c r="BP37" s="9"/>
      <c r="BQ37" s="7"/>
      <c r="BR37" s="6"/>
      <c r="BS37" s="6"/>
      <c r="BT37" s="6"/>
      <c r="BU37" s="6"/>
      <c r="BV37" s="6"/>
      <c r="BW37" s="6"/>
      <c r="BX37" s="6"/>
    </row>
    <row r="38" s="1" customFormat="1" ht="20" customHeight="1" spans="1:76">
      <c r="A38" s="1" t="s">
        <v>61</v>
      </c>
      <c r="B38" s="11" t="s">
        <v>254</v>
      </c>
      <c r="C38" s="2">
        <v>9</v>
      </c>
      <c r="D38" s="12" t="s">
        <v>123</v>
      </c>
      <c r="E38" s="2" t="s">
        <v>62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5"/>
      <c r="AK38" s="5"/>
      <c r="AL38" s="5"/>
      <c r="AM38" s="5"/>
      <c r="AN38" s="5"/>
      <c r="AO38" s="5"/>
      <c r="AP38" s="5"/>
      <c r="AQ38" s="5"/>
      <c r="AR38" s="5"/>
      <c r="AS38" s="1"/>
      <c r="AT38" s="6"/>
      <c r="AU38" s="6"/>
      <c r="AV38" s="6"/>
      <c r="AW38" s="6"/>
      <c r="AX38" s="6"/>
      <c r="AY38" s="6"/>
      <c r="AZ38" s="6"/>
      <c r="BA38" s="6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8"/>
      <c r="BO38" s="6"/>
      <c r="BP38" s="9"/>
      <c r="BQ38" s="7"/>
      <c r="BR38" s="6"/>
      <c r="BS38" s="6"/>
      <c r="BT38" s="6"/>
      <c r="BU38" s="6"/>
      <c r="BV38" s="6"/>
      <c r="BW38" s="6"/>
      <c r="BX38" s="6"/>
    </row>
    <row r="39" s="1" customFormat="1" ht="20" customHeight="1" spans="1:76">
      <c r="A39" s="1" t="s">
        <v>65</v>
      </c>
      <c r="B39" s="11" t="s">
        <v>255</v>
      </c>
      <c r="C39" s="2">
        <v>9</v>
      </c>
      <c r="D39" s="12" t="s">
        <v>123</v>
      </c>
      <c r="E39" s="2" t="s">
        <v>66</v>
      </c>
      <c r="F39" s="2"/>
      <c r="G39" s="2"/>
      <c r="H39" s="2"/>
      <c r="I39" s="2"/>
      <c r="J39" s="5"/>
      <c r="K39" s="2"/>
      <c r="L39" s="2"/>
      <c r="M39" s="2"/>
      <c r="N39" s="2"/>
      <c r="O39" s="2"/>
      <c r="P39" s="2"/>
      <c r="Q39" s="2"/>
      <c r="R39" s="2"/>
      <c r="S39" s="2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5"/>
      <c r="AK39" s="5"/>
      <c r="AL39" s="5"/>
      <c r="AM39" s="5"/>
      <c r="AN39" s="5"/>
      <c r="AO39" s="5"/>
      <c r="AP39" s="5"/>
      <c r="AQ39" s="5"/>
      <c r="AR39" s="5"/>
      <c r="AS39" s="1"/>
      <c r="AT39" s="6"/>
      <c r="AU39" s="6"/>
      <c r="AV39" s="6"/>
      <c r="AW39" s="6"/>
      <c r="AX39" s="6"/>
      <c r="AY39" s="6"/>
      <c r="AZ39" s="6"/>
      <c r="BA39" s="6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8"/>
      <c r="BO39" s="6"/>
      <c r="BP39" s="9"/>
      <c r="BQ39" s="7"/>
      <c r="BR39" s="6"/>
      <c r="BS39" s="6"/>
      <c r="BT39" s="6"/>
      <c r="BU39" s="6"/>
      <c r="BV39" s="6"/>
      <c r="BW39" s="6"/>
      <c r="BX39" s="6"/>
    </row>
    <row r="40" s="1" customFormat="1" ht="20" customHeight="1" spans="1:76">
      <c r="A40" s="1" t="s">
        <v>45</v>
      </c>
      <c r="B40" s="11" t="s">
        <v>256</v>
      </c>
      <c r="C40" s="2">
        <v>12</v>
      </c>
      <c r="D40" s="12" t="s">
        <v>125</v>
      </c>
      <c r="E40" s="2" t="s">
        <v>46</v>
      </c>
      <c r="F40" s="2"/>
      <c r="G40" s="2"/>
      <c r="H40" s="2"/>
      <c r="I40" s="2"/>
      <c r="J40" s="5"/>
      <c r="K40" s="2"/>
      <c r="L40" s="2"/>
      <c r="M40" s="2"/>
      <c r="N40" s="2"/>
      <c r="O40" s="2"/>
      <c r="P40" s="2"/>
      <c r="Q40" s="2"/>
      <c r="R40" s="2"/>
      <c r="S40" s="2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5"/>
      <c r="AK40" s="5"/>
      <c r="AL40" s="5"/>
      <c r="AM40" s="5"/>
      <c r="AN40" s="5"/>
      <c r="AO40" s="5"/>
      <c r="AP40" s="5"/>
      <c r="AQ40" s="5"/>
      <c r="AR40" s="5"/>
      <c r="AS40" s="1"/>
      <c r="AT40" s="6"/>
      <c r="AU40" s="6"/>
      <c r="AV40" s="6"/>
      <c r="AW40" s="6"/>
      <c r="AX40" s="6"/>
      <c r="AY40" s="6"/>
      <c r="AZ40" s="6"/>
      <c r="BA40" s="6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8"/>
      <c r="BO40" s="6"/>
      <c r="BP40" s="9"/>
      <c r="BQ40" s="7"/>
      <c r="BR40" s="6"/>
      <c r="BS40" s="6"/>
      <c r="BT40" s="6"/>
      <c r="BU40" s="6"/>
      <c r="BV40" s="6"/>
      <c r="BW40" s="6"/>
      <c r="BX40" s="6"/>
    </row>
    <row r="41" s="1" customFormat="1" ht="20" customHeight="1" spans="1:76">
      <c r="A41" s="1" t="s">
        <v>49</v>
      </c>
      <c r="B41" s="11" t="s">
        <v>257</v>
      </c>
      <c r="C41" s="2">
        <v>12</v>
      </c>
      <c r="D41" s="12" t="s">
        <v>125</v>
      </c>
      <c r="E41" s="2" t="s">
        <v>50</v>
      </c>
      <c r="F41" s="2"/>
      <c r="G41" s="2"/>
      <c r="H41" s="2"/>
      <c r="I41" s="2"/>
      <c r="J41" s="5"/>
      <c r="K41" s="2"/>
      <c r="L41" s="2"/>
      <c r="M41" s="2"/>
      <c r="N41" s="2"/>
      <c r="O41" s="2"/>
      <c r="P41" s="2"/>
      <c r="Q41" s="2"/>
      <c r="R41" s="2"/>
      <c r="S41" s="2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5"/>
      <c r="AK41" s="5"/>
      <c r="AL41" s="5"/>
      <c r="AM41" s="5"/>
      <c r="AN41" s="5"/>
      <c r="AO41" s="5"/>
      <c r="AP41" s="5"/>
      <c r="AQ41" s="5"/>
      <c r="AR41" s="5"/>
      <c r="AS41" s="1"/>
      <c r="AT41" s="6"/>
      <c r="AU41" s="6"/>
      <c r="AV41" s="6"/>
      <c r="AW41" s="6"/>
      <c r="AX41" s="6"/>
      <c r="AY41" s="6"/>
      <c r="AZ41" s="6"/>
      <c r="BA41" s="6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8"/>
      <c r="BO41" s="6"/>
      <c r="BP41" s="9"/>
      <c r="BQ41" s="7"/>
      <c r="BR41" s="6"/>
      <c r="BS41" s="6"/>
      <c r="BT41" s="6"/>
      <c r="BU41" s="6"/>
      <c r="BV41" s="6"/>
      <c r="BW41" s="6"/>
      <c r="BX41" s="6"/>
    </row>
    <row r="42" s="1" customFormat="1" ht="20" customHeight="1" spans="1:76">
      <c r="A42" s="1" t="s">
        <v>53</v>
      </c>
      <c r="B42" s="11" t="s">
        <v>258</v>
      </c>
      <c r="C42" s="2">
        <v>12</v>
      </c>
      <c r="D42" s="12" t="s">
        <v>125</v>
      </c>
      <c r="E42" s="2" t="s">
        <v>54</v>
      </c>
      <c r="F42" s="2"/>
      <c r="G42" s="2"/>
      <c r="H42" s="2"/>
      <c r="I42" s="2"/>
      <c r="J42" s="5"/>
      <c r="K42" s="2"/>
      <c r="L42" s="2"/>
      <c r="M42" s="2"/>
      <c r="N42" s="2"/>
      <c r="O42" s="2"/>
      <c r="P42" s="2"/>
      <c r="Q42" s="2"/>
      <c r="R42" s="2"/>
      <c r="S42" s="2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5"/>
      <c r="AK42" s="5"/>
      <c r="AL42" s="5"/>
      <c r="AM42" s="5"/>
      <c r="AN42" s="5"/>
      <c r="AO42" s="5"/>
      <c r="AP42" s="5"/>
      <c r="AQ42" s="5"/>
      <c r="AR42" s="5"/>
      <c r="AS42" s="1"/>
      <c r="AT42" s="6"/>
      <c r="AU42" s="6"/>
      <c r="AV42" s="6"/>
      <c r="AW42" s="6"/>
      <c r="AX42" s="6"/>
      <c r="AY42" s="6"/>
      <c r="AZ42" s="6"/>
      <c r="BA42" s="6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8"/>
      <c r="BO42" s="6"/>
      <c r="BP42" s="9"/>
      <c r="BQ42" s="7"/>
      <c r="BR42" s="6"/>
      <c r="BS42" s="6"/>
      <c r="BT42" s="6"/>
      <c r="BU42" s="6"/>
      <c r="BV42" s="6"/>
      <c r="BW42" s="6"/>
      <c r="BX42" s="6"/>
    </row>
    <row r="43" s="1" customFormat="1" ht="20" customHeight="1" spans="1:76">
      <c r="A43" s="1" t="s">
        <v>57</v>
      </c>
      <c r="B43" s="11" t="s">
        <v>259</v>
      </c>
      <c r="C43" s="2">
        <v>12</v>
      </c>
      <c r="D43" s="12" t="s">
        <v>125</v>
      </c>
      <c r="E43" s="2" t="s">
        <v>58</v>
      </c>
      <c r="F43" s="2"/>
      <c r="G43" s="2"/>
      <c r="H43" s="2"/>
      <c r="I43" s="2"/>
      <c r="J43" s="5"/>
      <c r="K43" s="2"/>
      <c r="L43" s="2"/>
      <c r="M43" s="2"/>
      <c r="N43" s="2"/>
      <c r="O43" s="2"/>
      <c r="P43" s="2"/>
      <c r="Q43" s="2"/>
      <c r="R43" s="2"/>
      <c r="S43" s="2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5"/>
      <c r="AK43" s="5"/>
      <c r="AL43" s="5"/>
      <c r="AM43" s="5"/>
      <c r="AN43" s="5"/>
      <c r="AO43" s="5"/>
      <c r="AP43" s="5"/>
      <c r="AQ43" s="5"/>
      <c r="AR43" s="5"/>
      <c r="AS43" s="1"/>
      <c r="AT43" s="6"/>
      <c r="AU43" s="6"/>
      <c r="AV43" s="6"/>
      <c r="AW43" s="6"/>
      <c r="AX43" s="6"/>
      <c r="AY43" s="6"/>
      <c r="AZ43" s="6"/>
      <c r="BA43" s="6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8"/>
      <c r="BO43" s="6"/>
      <c r="BP43" s="9"/>
      <c r="BQ43" s="7"/>
      <c r="BR43" s="6"/>
      <c r="BS43" s="6"/>
      <c r="BT43" s="6"/>
      <c r="BU43" s="6"/>
      <c r="BV43" s="6"/>
      <c r="BW43" s="6"/>
      <c r="BX43" s="6"/>
    </row>
    <row r="44" s="1" customFormat="1" ht="20" customHeight="1" spans="1:76">
      <c r="A44" s="1" t="s">
        <v>61</v>
      </c>
      <c r="B44" s="11" t="s">
        <v>260</v>
      </c>
      <c r="C44" s="2">
        <v>12</v>
      </c>
      <c r="D44" s="12" t="s">
        <v>125</v>
      </c>
      <c r="E44" s="2" t="s">
        <v>62</v>
      </c>
      <c r="F44" s="2"/>
      <c r="G44" s="2"/>
      <c r="H44" s="2"/>
      <c r="I44" s="2"/>
      <c r="J44" s="5"/>
      <c r="K44" s="2"/>
      <c r="L44" s="2"/>
      <c r="M44" s="2"/>
      <c r="N44" s="2"/>
      <c r="O44" s="2"/>
      <c r="P44" s="2"/>
      <c r="Q44" s="2"/>
      <c r="R44" s="2"/>
      <c r="S44" s="2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5"/>
      <c r="AK44" s="5"/>
      <c r="AL44" s="5"/>
      <c r="AM44" s="5"/>
      <c r="AN44" s="5"/>
      <c r="AO44" s="5"/>
      <c r="AP44" s="5"/>
      <c r="AQ44" s="5"/>
      <c r="AR44" s="5"/>
      <c r="AS44" s="1"/>
      <c r="AT44" s="6"/>
      <c r="AU44" s="6"/>
      <c r="AV44" s="6"/>
      <c r="AW44" s="6"/>
      <c r="AX44" s="6"/>
      <c r="AY44" s="6"/>
      <c r="AZ44" s="6"/>
      <c r="BA44" s="6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8"/>
      <c r="BO44" s="6"/>
      <c r="BP44" s="9"/>
      <c r="BQ44" s="7"/>
      <c r="BR44" s="6"/>
      <c r="BS44" s="6"/>
      <c r="BT44" s="6"/>
      <c r="BU44" s="6"/>
      <c r="BV44" s="6"/>
      <c r="BW44" s="6"/>
      <c r="BX44" s="6"/>
    </row>
    <row r="45" s="1" customFormat="1" ht="20" customHeight="1" spans="1:76">
      <c r="A45" s="1" t="s">
        <v>65</v>
      </c>
      <c r="B45" s="11" t="s">
        <v>261</v>
      </c>
      <c r="C45" s="2">
        <v>12</v>
      </c>
      <c r="D45" s="12" t="s">
        <v>125</v>
      </c>
      <c r="E45" s="2" t="s">
        <v>66</v>
      </c>
      <c r="F45" s="2"/>
      <c r="G45" s="2"/>
      <c r="H45" s="2"/>
      <c r="I45" s="2"/>
      <c r="J45" s="5"/>
      <c r="K45" s="2"/>
      <c r="L45" s="2"/>
      <c r="M45" s="2"/>
      <c r="N45" s="2"/>
      <c r="O45" s="2"/>
      <c r="P45" s="2"/>
      <c r="Q45" s="2"/>
      <c r="R45" s="2"/>
      <c r="S45" s="2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5"/>
      <c r="AK45" s="5"/>
      <c r="AL45" s="5"/>
      <c r="AM45" s="5"/>
      <c r="AN45" s="5"/>
      <c r="AO45" s="5"/>
      <c r="AP45" s="5"/>
      <c r="AQ45" s="5"/>
      <c r="AR45" s="5"/>
      <c r="AS45" s="1"/>
      <c r="AT45" s="6"/>
      <c r="AU45" s="6"/>
      <c r="AV45" s="6"/>
      <c r="AW45" s="6"/>
      <c r="AX45" s="6"/>
      <c r="AY45" s="6"/>
      <c r="AZ45" s="6"/>
      <c r="BA45" s="6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8"/>
      <c r="BO45" s="6"/>
      <c r="BP45" s="9"/>
      <c r="BQ45" s="7"/>
      <c r="BR45" s="6"/>
      <c r="BS45" s="6"/>
      <c r="BT45" s="6"/>
      <c r="BU45" s="6"/>
      <c r="BV45" s="6"/>
      <c r="BW45" s="6"/>
      <c r="BX45" s="6"/>
    </row>
    <row r="46" s="1" customFormat="1" ht="20" customHeight="1" spans="1:76">
      <c r="A46" s="1" t="s">
        <v>45</v>
      </c>
      <c r="B46" s="11" t="s">
        <v>262</v>
      </c>
      <c r="C46" s="2">
        <v>15</v>
      </c>
      <c r="D46" s="12" t="s">
        <v>127</v>
      </c>
      <c r="E46" s="2" t="s">
        <v>46</v>
      </c>
      <c r="F46" s="2"/>
      <c r="G46" s="2"/>
      <c r="H46" s="2"/>
      <c r="I46" s="2"/>
      <c r="J46" s="5"/>
      <c r="K46" s="2"/>
      <c r="L46" s="2"/>
      <c r="M46" s="2"/>
      <c r="N46" s="2"/>
      <c r="O46" s="2"/>
      <c r="P46" s="2"/>
      <c r="Q46" s="2"/>
      <c r="R46" s="2"/>
      <c r="S46" s="2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5"/>
      <c r="AK46" s="5"/>
      <c r="AL46" s="5"/>
      <c r="AM46" s="5"/>
      <c r="AN46" s="5"/>
      <c r="AO46" s="5"/>
      <c r="AP46" s="5"/>
      <c r="AQ46" s="5"/>
      <c r="AR46" s="5"/>
      <c r="AS46" s="1"/>
      <c r="AT46" s="6"/>
      <c r="AU46" s="6"/>
      <c r="AV46" s="6"/>
      <c r="AW46" s="6"/>
      <c r="AX46" s="6"/>
      <c r="AY46" s="6"/>
      <c r="AZ46" s="6"/>
      <c r="BA46" s="6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8"/>
      <c r="BO46" s="6"/>
      <c r="BP46" s="9"/>
      <c r="BQ46" s="7"/>
      <c r="BR46" s="6"/>
      <c r="BS46" s="6"/>
      <c r="BT46" s="6"/>
      <c r="BU46" s="6"/>
      <c r="BV46" s="6"/>
      <c r="BW46" s="6"/>
      <c r="BX46" s="6"/>
    </row>
    <row r="47" s="1" customFormat="1" ht="20" customHeight="1" spans="1:76">
      <c r="A47" s="1" t="s">
        <v>49</v>
      </c>
      <c r="B47" s="11" t="s">
        <v>263</v>
      </c>
      <c r="C47" s="2">
        <v>15</v>
      </c>
      <c r="D47" s="12" t="s">
        <v>127</v>
      </c>
      <c r="E47" s="2" t="s">
        <v>50</v>
      </c>
      <c r="F47" s="2"/>
      <c r="G47" s="2"/>
      <c r="H47" s="2"/>
      <c r="I47" s="2"/>
      <c r="J47" s="5"/>
      <c r="K47" s="2"/>
      <c r="L47" s="2"/>
      <c r="M47" s="2"/>
      <c r="N47" s="2"/>
      <c r="O47" s="2"/>
      <c r="P47" s="2"/>
      <c r="Q47" s="2"/>
      <c r="R47" s="2"/>
      <c r="S47" s="2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5"/>
      <c r="AK47" s="5"/>
      <c r="AL47" s="5"/>
      <c r="AM47" s="5"/>
      <c r="AN47" s="5"/>
      <c r="AO47" s="5"/>
      <c r="AP47" s="5"/>
      <c r="AQ47" s="5"/>
      <c r="AR47" s="5"/>
      <c r="AS47" s="1"/>
      <c r="AT47" s="6"/>
      <c r="AU47" s="6"/>
      <c r="AV47" s="6"/>
      <c r="AW47" s="6"/>
      <c r="AX47" s="6"/>
      <c r="AY47" s="6"/>
      <c r="AZ47" s="6"/>
      <c r="BA47" s="6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8"/>
      <c r="BO47" s="6"/>
      <c r="BP47" s="9"/>
      <c r="BQ47" s="7"/>
      <c r="BR47" s="6"/>
      <c r="BS47" s="6"/>
      <c r="BT47" s="6"/>
      <c r="BU47" s="6"/>
      <c r="BV47" s="6"/>
      <c r="BW47" s="6"/>
      <c r="BX47" s="6"/>
    </row>
    <row r="48" s="1" customFormat="1" ht="20" customHeight="1" spans="1:76">
      <c r="A48" s="1" t="s">
        <v>53</v>
      </c>
      <c r="B48" s="11" t="s">
        <v>264</v>
      </c>
      <c r="C48" s="2">
        <v>15</v>
      </c>
      <c r="D48" s="12" t="s">
        <v>127</v>
      </c>
      <c r="E48" s="2" t="s">
        <v>54</v>
      </c>
      <c r="F48" s="2"/>
      <c r="G48" s="2"/>
      <c r="H48" s="2"/>
      <c r="I48" s="2"/>
      <c r="J48" s="5"/>
      <c r="K48" s="2"/>
      <c r="L48" s="2"/>
      <c r="M48" s="2"/>
      <c r="N48" s="2"/>
      <c r="O48" s="2"/>
      <c r="P48" s="2"/>
      <c r="Q48" s="2"/>
      <c r="R48" s="2"/>
      <c r="S48" s="2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5"/>
      <c r="AK48" s="5"/>
      <c r="AL48" s="5"/>
      <c r="AM48" s="5"/>
      <c r="AN48" s="5"/>
      <c r="AO48" s="5"/>
      <c r="AP48" s="5"/>
      <c r="AQ48" s="5"/>
      <c r="AR48" s="5"/>
      <c r="AS48" s="1"/>
      <c r="AT48" s="6"/>
      <c r="AU48" s="6"/>
      <c r="AV48" s="6"/>
      <c r="AW48" s="6"/>
      <c r="AX48" s="6"/>
      <c r="AY48" s="6"/>
      <c r="AZ48" s="6"/>
      <c r="BA48" s="6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8"/>
      <c r="BO48" s="6"/>
      <c r="BP48" s="9"/>
      <c r="BQ48" s="7"/>
      <c r="BR48" s="6"/>
      <c r="BS48" s="6"/>
      <c r="BT48" s="6"/>
      <c r="BU48" s="6"/>
      <c r="BV48" s="6"/>
      <c r="BW48" s="6"/>
      <c r="BX48" s="6"/>
    </row>
    <row r="49" s="1" customFormat="1" ht="20" customHeight="1" spans="1:76">
      <c r="A49" s="1" t="s">
        <v>57</v>
      </c>
      <c r="B49" s="11" t="s">
        <v>265</v>
      </c>
      <c r="C49" s="2">
        <v>15</v>
      </c>
      <c r="D49" s="12" t="s">
        <v>127</v>
      </c>
      <c r="E49" s="2" t="s">
        <v>58</v>
      </c>
      <c r="F49" s="2"/>
      <c r="G49" s="2"/>
      <c r="H49" s="2"/>
      <c r="I49" s="2"/>
      <c r="J49" s="5"/>
      <c r="K49" s="2"/>
      <c r="L49" s="2"/>
      <c r="M49" s="2"/>
      <c r="N49" s="2"/>
      <c r="O49" s="2"/>
      <c r="P49" s="2"/>
      <c r="Q49" s="2"/>
      <c r="R49" s="2"/>
      <c r="S49" s="2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5"/>
      <c r="AK49" s="5"/>
      <c r="AL49" s="5"/>
      <c r="AM49" s="5"/>
      <c r="AN49" s="5"/>
      <c r="AO49" s="5"/>
      <c r="AP49" s="5"/>
      <c r="AQ49" s="5"/>
      <c r="AR49" s="5"/>
      <c r="AS49" s="1"/>
      <c r="AT49" s="6"/>
      <c r="AU49" s="6"/>
      <c r="AV49" s="6"/>
      <c r="AW49" s="6"/>
      <c r="AX49" s="6"/>
      <c r="AY49" s="6"/>
      <c r="AZ49" s="6"/>
      <c r="BA49" s="6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8"/>
      <c r="BO49" s="6"/>
      <c r="BP49" s="9"/>
      <c r="BQ49" s="7"/>
      <c r="BR49" s="6"/>
      <c r="BS49" s="6"/>
      <c r="BT49" s="6"/>
      <c r="BU49" s="6"/>
      <c r="BV49" s="6"/>
      <c r="BW49" s="6"/>
      <c r="BX49" s="6"/>
    </row>
    <row r="50" s="1" customFormat="1" ht="20" customHeight="1" spans="1:76">
      <c r="A50" s="1" t="s">
        <v>61</v>
      </c>
      <c r="B50" s="11" t="s">
        <v>266</v>
      </c>
      <c r="C50" s="2">
        <v>15</v>
      </c>
      <c r="D50" s="12" t="s">
        <v>127</v>
      </c>
      <c r="E50" s="2" t="s">
        <v>62</v>
      </c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5"/>
      <c r="AK50" s="5"/>
      <c r="AL50" s="5"/>
      <c r="AM50" s="5"/>
      <c r="AN50" s="5"/>
      <c r="AO50" s="5"/>
      <c r="AP50" s="5"/>
      <c r="AQ50" s="5"/>
      <c r="AR50" s="5"/>
      <c r="AS50" s="1"/>
      <c r="AT50" s="6"/>
      <c r="AU50" s="6"/>
      <c r="AV50" s="6"/>
      <c r="AW50" s="6"/>
      <c r="AX50" s="6"/>
      <c r="AY50" s="6"/>
      <c r="AZ50" s="6"/>
      <c r="BA50" s="6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8"/>
      <c r="BO50" s="6"/>
      <c r="BP50" s="9"/>
      <c r="BQ50" s="7"/>
      <c r="BR50" s="6"/>
      <c r="BS50" s="6"/>
      <c r="BT50" s="6"/>
      <c r="BU50" s="6"/>
      <c r="BV50" s="6"/>
      <c r="BW50" s="6"/>
      <c r="BX50" s="6"/>
    </row>
    <row r="51" s="1" customFormat="1" ht="20" customHeight="1" spans="1:76">
      <c r="A51" s="1" t="s">
        <v>65</v>
      </c>
      <c r="B51" s="11" t="s">
        <v>267</v>
      </c>
      <c r="C51" s="2">
        <v>15</v>
      </c>
      <c r="D51" s="12" t="s">
        <v>127</v>
      </c>
      <c r="E51" s="2" t="s">
        <v>66</v>
      </c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5"/>
      <c r="AK51" s="5"/>
      <c r="AL51" s="5"/>
      <c r="AM51" s="5"/>
      <c r="AN51" s="5"/>
      <c r="AO51" s="5"/>
      <c r="AP51" s="5"/>
      <c r="AQ51" s="5"/>
      <c r="AR51" s="5"/>
      <c r="AS51" s="1"/>
      <c r="AT51" s="6"/>
      <c r="AU51" s="6"/>
      <c r="AV51" s="6"/>
      <c r="AW51" s="6"/>
      <c r="AX51" s="6"/>
      <c r="AY51" s="6"/>
      <c r="AZ51" s="6"/>
      <c r="BA51" s="6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8"/>
      <c r="BO51" s="6"/>
      <c r="BP51" s="9"/>
      <c r="BQ51" s="7"/>
      <c r="BR51" s="6"/>
      <c r="BS51" s="6"/>
      <c r="BT51" s="6"/>
      <c r="BU51" s="6"/>
      <c r="BV51" s="6"/>
      <c r="BW51" s="6"/>
      <c r="BX51" s="6"/>
    </row>
    <row r="52" s="1" customFormat="1" ht="20" customHeight="1" spans="1:76">
      <c r="A52" s="1" t="s">
        <v>69</v>
      </c>
      <c r="B52" s="11" t="s">
        <v>268</v>
      </c>
      <c r="C52" s="2">
        <v>12</v>
      </c>
      <c r="D52" s="12" t="s">
        <v>121</v>
      </c>
      <c r="E52" s="2" t="s">
        <v>70</v>
      </c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5"/>
      <c r="AK52" s="5"/>
      <c r="AL52" s="5"/>
      <c r="AM52" s="5"/>
      <c r="AN52" s="5"/>
      <c r="AO52" s="5"/>
      <c r="AP52" s="5"/>
      <c r="AQ52" s="5"/>
      <c r="AR52" s="5"/>
      <c r="AT52" s="6"/>
      <c r="AU52" s="6"/>
      <c r="AV52" s="6"/>
      <c r="AW52" s="6"/>
      <c r="AX52" s="6"/>
      <c r="AY52" s="6"/>
      <c r="AZ52" s="6"/>
      <c r="BA52" s="6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8"/>
      <c r="BO52" s="6"/>
      <c r="BP52" s="9"/>
      <c r="BQ52" s="7"/>
      <c r="BR52" s="6"/>
      <c r="BS52" s="6"/>
      <c r="BT52" s="6"/>
      <c r="BU52" s="6"/>
      <c r="BV52" s="6"/>
      <c r="BW52" s="6"/>
      <c r="BX52" s="6"/>
    </row>
    <row r="53" s="1" customFormat="1" ht="20" customHeight="1" spans="1:76">
      <c r="A53" s="1" t="s">
        <v>73</v>
      </c>
      <c r="B53" s="11" t="s">
        <v>269</v>
      </c>
      <c r="C53" s="2">
        <v>12</v>
      </c>
      <c r="D53" s="12" t="s">
        <v>121</v>
      </c>
      <c r="E53" s="2" t="s">
        <v>74</v>
      </c>
      <c r="F53" s="2"/>
      <c r="G53" s="2"/>
      <c r="H53" s="2"/>
      <c r="I53" s="2"/>
      <c r="J53" s="5"/>
      <c r="K53" s="2"/>
      <c r="L53" s="2"/>
      <c r="M53" s="2"/>
      <c r="N53" s="2"/>
      <c r="O53" s="2"/>
      <c r="P53" s="2"/>
      <c r="Q53" s="2"/>
      <c r="R53" s="2"/>
      <c r="S53" s="2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5"/>
      <c r="AK53" s="5"/>
      <c r="AL53" s="5"/>
      <c r="AM53" s="5"/>
      <c r="AN53" s="5"/>
      <c r="AO53" s="5"/>
      <c r="AP53" s="5"/>
      <c r="AQ53" s="5"/>
      <c r="AR53" s="5"/>
      <c r="AT53" s="6"/>
      <c r="AU53" s="6"/>
      <c r="AV53" s="6"/>
      <c r="AW53" s="6"/>
      <c r="AX53" s="6"/>
      <c r="AY53" s="6"/>
      <c r="AZ53" s="6"/>
      <c r="BA53" s="6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8"/>
      <c r="BO53" s="6"/>
      <c r="BP53" s="9"/>
      <c r="BQ53" s="7"/>
      <c r="BR53" s="6"/>
      <c r="BS53" s="6"/>
      <c r="BT53" s="6"/>
      <c r="BU53" s="6"/>
      <c r="BV53" s="6"/>
      <c r="BW53" s="6"/>
      <c r="BX53" s="6"/>
    </row>
    <row r="54" s="1" customFormat="1" ht="20" customHeight="1" spans="1:76">
      <c r="A54" s="1" t="s">
        <v>77</v>
      </c>
      <c r="B54" s="11" t="s">
        <v>270</v>
      </c>
      <c r="C54" s="2">
        <v>12</v>
      </c>
      <c r="D54" s="12" t="s">
        <v>121</v>
      </c>
      <c r="E54" s="2" t="s">
        <v>78</v>
      </c>
      <c r="F54" s="2"/>
      <c r="G54" s="2"/>
      <c r="H54" s="2"/>
      <c r="I54" s="2"/>
      <c r="J54" s="5"/>
      <c r="K54" s="2"/>
      <c r="L54" s="2"/>
      <c r="M54" s="2"/>
      <c r="N54" s="2"/>
      <c r="O54" s="2"/>
      <c r="P54" s="2"/>
      <c r="Q54" s="2"/>
      <c r="R54" s="2"/>
      <c r="S54" s="2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5"/>
      <c r="AK54" s="5"/>
      <c r="AL54" s="5"/>
      <c r="AM54" s="5"/>
      <c r="AN54" s="5"/>
      <c r="AO54" s="5"/>
      <c r="AP54" s="5"/>
      <c r="AQ54" s="5"/>
      <c r="AR54" s="5"/>
      <c r="AT54" s="6"/>
      <c r="AU54" s="6"/>
      <c r="AV54" s="6"/>
      <c r="AW54" s="6"/>
      <c r="AX54" s="6"/>
      <c r="AY54" s="6"/>
      <c r="AZ54" s="6"/>
      <c r="BA54" s="6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8"/>
      <c r="BO54" s="6"/>
      <c r="BP54" s="9"/>
      <c r="BQ54" s="7"/>
      <c r="BR54" s="6"/>
      <c r="BS54" s="6"/>
      <c r="BT54" s="6"/>
      <c r="BU54" s="6"/>
      <c r="BV54" s="6"/>
      <c r="BW54" s="6"/>
      <c r="BX54" s="6"/>
    </row>
    <row r="55" s="1" customFormat="1" ht="20" customHeight="1" spans="1:76">
      <c r="A55" s="1" t="s">
        <v>81</v>
      </c>
      <c r="B55" s="11" t="s">
        <v>271</v>
      </c>
      <c r="C55" s="2">
        <v>12</v>
      </c>
      <c r="D55" s="12" t="s">
        <v>121</v>
      </c>
      <c r="E55" s="2" t="s">
        <v>82</v>
      </c>
      <c r="F55" s="2"/>
      <c r="G55" s="2"/>
      <c r="H55" s="2"/>
      <c r="I55" s="2"/>
      <c r="J55" s="5"/>
      <c r="K55" s="2"/>
      <c r="L55" s="2"/>
      <c r="M55" s="2"/>
      <c r="N55" s="2"/>
      <c r="O55" s="2"/>
      <c r="P55" s="2"/>
      <c r="Q55" s="2"/>
      <c r="R55" s="2"/>
      <c r="S55" s="2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5"/>
      <c r="AK55" s="5"/>
      <c r="AL55" s="5"/>
      <c r="AM55" s="5"/>
      <c r="AN55" s="5"/>
      <c r="AO55" s="5"/>
      <c r="AP55" s="5"/>
      <c r="AQ55" s="5"/>
      <c r="AR55" s="5"/>
      <c r="AT55" s="6"/>
      <c r="AU55" s="6"/>
      <c r="AV55" s="6"/>
      <c r="AW55" s="6"/>
      <c r="AX55" s="6"/>
      <c r="AY55" s="6"/>
      <c r="AZ55" s="6"/>
      <c r="BA55" s="6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8"/>
      <c r="BO55" s="6"/>
      <c r="BP55" s="9"/>
      <c r="BQ55" s="7"/>
      <c r="BR55" s="6"/>
      <c r="BS55" s="6"/>
      <c r="BT55" s="6"/>
      <c r="BU55" s="6"/>
      <c r="BV55" s="6"/>
      <c r="BW55" s="6"/>
      <c r="BX55" s="6"/>
    </row>
    <row r="56" s="1" customFormat="1" ht="20" customHeight="1" spans="1:76">
      <c r="A56" s="1" t="s">
        <v>85</v>
      </c>
      <c r="B56" s="11" t="s">
        <v>272</v>
      </c>
      <c r="C56" s="2">
        <v>12</v>
      </c>
      <c r="D56" s="12" t="s">
        <v>121</v>
      </c>
      <c r="E56" s="2" t="s">
        <v>86</v>
      </c>
      <c r="F56" s="2"/>
      <c r="G56" s="2"/>
      <c r="H56" s="2"/>
      <c r="I56" s="2"/>
      <c r="J56" s="5"/>
      <c r="K56" s="2"/>
      <c r="L56" s="2"/>
      <c r="M56" s="2"/>
      <c r="N56" s="2"/>
      <c r="O56" s="2"/>
      <c r="P56" s="2"/>
      <c r="Q56" s="2"/>
      <c r="R56" s="2"/>
      <c r="S56" s="2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5"/>
      <c r="AK56" s="5"/>
      <c r="AL56" s="5"/>
      <c r="AM56" s="5"/>
      <c r="AN56" s="5"/>
      <c r="AO56" s="5"/>
      <c r="AP56" s="5"/>
      <c r="AQ56" s="5"/>
      <c r="AR56" s="5"/>
      <c r="AT56" s="6"/>
      <c r="AU56" s="6"/>
      <c r="AV56" s="6"/>
      <c r="AW56" s="6"/>
      <c r="AX56" s="6"/>
      <c r="AY56" s="6"/>
      <c r="AZ56" s="6"/>
      <c r="BA56" s="6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8"/>
      <c r="BO56" s="6"/>
      <c r="BP56" s="9"/>
      <c r="BQ56" s="7"/>
      <c r="BR56" s="6"/>
      <c r="BS56" s="6"/>
      <c r="BT56" s="6"/>
      <c r="BU56" s="6"/>
      <c r="BV56" s="6"/>
      <c r="BW56" s="6"/>
      <c r="BX56" s="6"/>
    </row>
    <row r="57" s="1" customFormat="1" ht="20" customHeight="1" spans="1:76">
      <c r="A57" s="1" t="s">
        <v>89</v>
      </c>
      <c r="B57" s="11" t="s">
        <v>273</v>
      </c>
      <c r="C57" s="2">
        <v>12</v>
      </c>
      <c r="D57" s="12" t="s">
        <v>121</v>
      </c>
      <c r="E57" s="2" t="s">
        <v>90</v>
      </c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5"/>
      <c r="AK57" s="5"/>
      <c r="AL57" s="5"/>
      <c r="AM57" s="5"/>
      <c r="AN57" s="5"/>
      <c r="AO57" s="5"/>
      <c r="AP57" s="5"/>
      <c r="AQ57" s="5"/>
      <c r="AR57" s="5"/>
      <c r="AT57" s="6"/>
      <c r="AU57" s="6"/>
      <c r="AV57" s="6"/>
      <c r="AW57" s="6"/>
      <c r="AX57" s="6"/>
      <c r="AY57" s="6"/>
      <c r="AZ57" s="6"/>
      <c r="BA57" s="6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8"/>
      <c r="BO57" s="6"/>
      <c r="BP57" s="9"/>
      <c r="BQ57" s="7"/>
      <c r="BR57" s="6"/>
      <c r="BS57" s="6"/>
      <c r="BT57" s="6"/>
      <c r="BU57" s="6"/>
      <c r="BV57" s="6"/>
      <c r="BW57" s="6"/>
      <c r="BX57" s="6"/>
    </row>
    <row r="58" s="1" customFormat="1" ht="20" customHeight="1" spans="1:76">
      <c r="A58" s="1" t="s">
        <v>69</v>
      </c>
      <c r="B58" s="11" t="s">
        <v>274</v>
      </c>
      <c r="C58" s="2">
        <v>15</v>
      </c>
      <c r="D58" s="12" t="s">
        <v>123</v>
      </c>
      <c r="E58" s="2" t="s">
        <v>70</v>
      </c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5"/>
      <c r="AK58" s="5"/>
      <c r="AL58" s="5"/>
      <c r="AM58" s="5"/>
      <c r="AN58" s="5"/>
      <c r="AO58" s="5"/>
      <c r="AP58" s="5"/>
      <c r="AQ58" s="5"/>
      <c r="AR58" s="5"/>
      <c r="AT58" s="6"/>
      <c r="AU58" s="6"/>
      <c r="AV58" s="6"/>
      <c r="AW58" s="6"/>
      <c r="AX58" s="6"/>
      <c r="AY58" s="6"/>
      <c r="AZ58" s="6"/>
      <c r="BA58" s="6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8"/>
      <c r="BO58" s="6"/>
      <c r="BP58" s="9"/>
      <c r="BQ58" s="7"/>
      <c r="BR58" s="6"/>
      <c r="BS58" s="6"/>
      <c r="BT58" s="6"/>
      <c r="BU58" s="6"/>
      <c r="BV58" s="6"/>
      <c r="BW58" s="6"/>
      <c r="BX58" s="6"/>
    </row>
    <row r="59" s="1" customFormat="1" ht="20" customHeight="1" spans="1:76">
      <c r="A59" s="1" t="s">
        <v>73</v>
      </c>
      <c r="B59" s="11" t="s">
        <v>275</v>
      </c>
      <c r="C59" s="2">
        <v>15</v>
      </c>
      <c r="D59" s="12" t="s">
        <v>123</v>
      </c>
      <c r="E59" s="2" t="s">
        <v>74</v>
      </c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5"/>
      <c r="AK59" s="5"/>
      <c r="AL59" s="5"/>
      <c r="AM59" s="5"/>
      <c r="AN59" s="5"/>
      <c r="AO59" s="5"/>
      <c r="AP59" s="5"/>
      <c r="AQ59" s="5"/>
      <c r="AR59" s="5"/>
      <c r="AT59" s="6"/>
      <c r="AU59" s="6"/>
      <c r="AV59" s="6"/>
      <c r="AW59" s="6"/>
      <c r="AX59" s="6"/>
      <c r="AY59" s="6"/>
      <c r="AZ59" s="6"/>
      <c r="BA59" s="6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8"/>
      <c r="BO59" s="6"/>
      <c r="BP59" s="9"/>
      <c r="BQ59" s="7"/>
      <c r="BR59" s="6"/>
      <c r="BS59" s="6"/>
      <c r="BT59" s="6"/>
      <c r="BU59" s="6"/>
      <c r="BV59" s="6"/>
      <c r="BW59" s="6"/>
      <c r="BX59" s="6"/>
    </row>
    <row r="60" s="1" customFormat="1" ht="20" customHeight="1" spans="1:76">
      <c r="A60" s="1" t="s">
        <v>77</v>
      </c>
      <c r="B60" s="11" t="s">
        <v>276</v>
      </c>
      <c r="C60" s="2">
        <v>15</v>
      </c>
      <c r="D60" s="12" t="s">
        <v>123</v>
      </c>
      <c r="E60" s="2" t="s">
        <v>78</v>
      </c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5"/>
      <c r="AK60" s="5"/>
      <c r="AL60" s="5"/>
      <c r="AM60" s="5"/>
      <c r="AN60" s="5"/>
      <c r="AO60" s="5"/>
      <c r="AP60" s="5"/>
      <c r="AQ60" s="5"/>
      <c r="AR60" s="5"/>
      <c r="AT60" s="6"/>
      <c r="AU60" s="6"/>
      <c r="AV60" s="6"/>
      <c r="AW60" s="6"/>
      <c r="AX60" s="6"/>
      <c r="AY60" s="6"/>
      <c r="AZ60" s="6"/>
      <c r="BA60" s="6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8"/>
      <c r="BO60" s="6"/>
      <c r="BP60" s="9"/>
      <c r="BQ60" s="7"/>
      <c r="BR60" s="6"/>
      <c r="BS60" s="6"/>
      <c r="BT60" s="6"/>
      <c r="BU60" s="6"/>
      <c r="BV60" s="6"/>
      <c r="BW60" s="6"/>
      <c r="BX60" s="6"/>
    </row>
    <row r="61" s="1" customFormat="1" ht="20" customHeight="1" spans="1:76">
      <c r="A61" s="1" t="s">
        <v>81</v>
      </c>
      <c r="B61" s="11" t="s">
        <v>277</v>
      </c>
      <c r="C61" s="2">
        <v>15</v>
      </c>
      <c r="D61" s="12" t="s">
        <v>123</v>
      </c>
      <c r="E61" s="2" t="s">
        <v>82</v>
      </c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5"/>
      <c r="AK61" s="5"/>
      <c r="AL61" s="5"/>
      <c r="AM61" s="5"/>
      <c r="AN61" s="5"/>
      <c r="AO61" s="5"/>
      <c r="AP61" s="5"/>
      <c r="AQ61" s="5"/>
      <c r="AR61" s="5"/>
      <c r="AT61" s="6"/>
      <c r="AU61" s="6"/>
      <c r="AV61" s="6"/>
      <c r="AW61" s="6"/>
      <c r="AX61" s="6"/>
      <c r="AY61" s="6"/>
      <c r="AZ61" s="6"/>
      <c r="BA61" s="6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8"/>
      <c r="BO61" s="6"/>
      <c r="BP61" s="9"/>
      <c r="BQ61" s="7"/>
      <c r="BR61" s="6"/>
      <c r="BS61" s="6"/>
      <c r="BT61" s="6"/>
      <c r="BU61" s="6"/>
      <c r="BV61" s="6"/>
      <c r="BW61" s="6"/>
      <c r="BX61" s="6"/>
    </row>
    <row r="62" s="1" customFormat="1" ht="20" customHeight="1" spans="1:76">
      <c r="A62" s="1" t="s">
        <v>85</v>
      </c>
      <c r="B62" s="11" t="s">
        <v>278</v>
      </c>
      <c r="C62" s="2">
        <v>15</v>
      </c>
      <c r="D62" s="12" t="s">
        <v>123</v>
      </c>
      <c r="E62" s="2" t="s">
        <v>86</v>
      </c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5"/>
      <c r="AK62" s="5"/>
      <c r="AL62" s="5"/>
      <c r="AM62" s="5"/>
      <c r="AN62" s="5"/>
      <c r="AO62" s="5"/>
      <c r="AP62" s="5"/>
      <c r="AQ62" s="5"/>
      <c r="AR62" s="5"/>
      <c r="AT62" s="6"/>
      <c r="AU62" s="6"/>
      <c r="AV62" s="6"/>
      <c r="AW62" s="6"/>
      <c r="AX62" s="6"/>
      <c r="AY62" s="6"/>
      <c r="AZ62" s="6"/>
      <c r="BA62" s="6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8"/>
      <c r="BO62" s="6"/>
      <c r="BP62" s="9"/>
      <c r="BQ62" s="7"/>
      <c r="BR62" s="6"/>
      <c r="BS62" s="6"/>
      <c r="BT62" s="6"/>
      <c r="BU62" s="6"/>
      <c r="BV62" s="6"/>
      <c r="BW62" s="6"/>
      <c r="BX62" s="6"/>
    </row>
    <row r="63" s="1" customFormat="1" ht="20" customHeight="1" spans="1:76">
      <c r="A63" s="1" t="s">
        <v>89</v>
      </c>
      <c r="B63" s="11" t="s">
        <v>279</v>
      </c>
      <c r="C63" s="2">
        <v>15</v>
      </c>
      <c r="D63" s="12" t="s">
        <v>123</v>
      </c>
      <c r="E63" s="2" t="s">
        <v>90</v>
      </c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5"/>
      <c r="AK63" s="5"/>
      <c r="AL63" s="5"/>
      <c r="AM63" s="5"/>
      <c r="AN63" s="5"/>
      <c r="AO63" s="5"/>
      <c r="AP63" s="5"/>
      <c r="AQ63" s="5"/>
      <c r="AR63" s="5"/>
      <c r="AT63" s="6"/>
      <c r="AU63" s="6"/>
      <c r="AV63" s="6"/>
      <c r="AW63" s="6"/>
      <c r="AX63" s="6"/>
      <c r="AY63" s="6"/>
      <c r="AZ63" s="6"/>
      <c r="BA63" s="6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8"/>
      <c r="BO63" s="6"/>
      <c r="BP63" s="9"/>
      <c r="BQ63" s="7"/>
      <c r="BR63" s="6"/>
      <c r="BS63" s="6"/>
      <c r="BT63" s="6"/>
      <c r="BU63" s="6"/>
      <c r="BV63" s="6"/>
      <c r="BW63" s="6"/>
      <c r="BX63" s="6"/>
    </row>
    <row r="64" s="1" customFormat="1" ht="20" customHeight="1" spans="1:76">
      <c r="A64" s="1" t="s">
        <v>69</v>
      </c>
      <c r="B64" s="11" t="s">
        <v>280</v>
      </c>
      <c r="C64" s="2">
        <v>18</v>
      </c>
      <c r="D64" s="12" t="s">
        <v>125</v>
      </c>
      <c r="E64" s="2" t="s">
        <v>70</v>
      </c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5"/>
      <c r="AK64" s="5"/>
      <c r="AL64" s="5"/>
      <c r="AM64" s="5"/>
      <c r="AN64" s="5"/>
      <c r="AO64" s="5"/>
      <c r="AP64" s="5"/>
      <c r="AQ64" s="5"/>
      <c r="AR64" s="5"/>
      <c r="AT64" s="6"/>
      <c r="AU64" s="6"/>
      <c r="AV64" s="6"/>
      <c r="AW64" s="6"/>
      <c r="AX64" s="6"/>
      <c r="AY64" s="6"/>
      <c r="AZ64" s="6"/>
      <c r="BA64" s="6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8"/>
      <c r="BO64" s="6"/>
      <c r="BP64" s="9"/>
      <c r="BQ64" s="7"/>
      <c r="BR64" s="6"/>
      <c r="BS64" s="6"/>
      <c r="BT64" s="6"/>
      <c r="BU64" s="6"/>
      <c r="BV64" s="6"/>
      <c r="BW64" s="6"/>
      <c r="BX64" s="6"/>
    </row>
    <row r="65" s="1" customFormat="1" ht="20" customHeight="1" spans="1:76">
      <c r="A65" s="1" t="s">
        <v>73</v>
      </c>
      <c r="B65" s="11" t="s">
        <v>281</v>
      </c>
      <c r="C65" s="2">
        <v>18</v>
      </c>
      <c r="D65" s="12" t="s">
        <v>125</v>
      </c>
      <c r="E65" s="2" t="s">
        <v>74</v>
      </c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5"/>
      <c r="AK65" s="5"/>
      <c r="AL65" s="5"/>
      <c r="AM65" s="5"/>
      <c r="AN65" s="5"/>
      <c r="AO65" s="5"/>
      <c r="AP65" s="5"/>
      <c r="AQ65" s="5"/>
      <c r="AR65" s="5"/>
      <c r="AT65" s="6"/>
      <c r="AU65" s="6"/>
      <c r="AV65" s="6"/>
      <c r="AW65" s="6"/>
      <c r="AX65" s="6"/>
      <c r="AY65" s="6"/>
      <c r="AZ65" s="6"/>
      <c r="BA65" s="6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8"/>
      <c r="BO65" s="6"/>
      <c r="BP65" s="9"/>
      <c r="BQ65" s="7"/>
      <c r="BR65" s="6"/>
      <c r="BS65" s="6"/>
      <c r="BT65" s="6"/>
      <c r="BU65" s="6"/>
      <c r="BV65" s="6"/>
      <c r="BW65" s="6"/>
      <c r="BX65" s="6"/>
    </row>
    <row r="66" s="1" customFormat="1" ht="20" customHeight="1" spans="1:76">
      <c r="A66" s="1" t="s">
        <v>77</v>
      </c>
      <c r="B66" s="11" t="s">
        <v>282</v>
      </c>
      <c r="C66" s="2">
        <v>18</v>
      </c>
      <c r="D66" s="12" t="s">
        <v>125</v>
      </c>
      <c r="E66" s="2" t="s">
        <v>78</v>
      </c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5"/>
      <c r="AK66" s="5"/>
      <c r="AL66" s="5"/>
      <c r="AM66" s="5"/>
      <c r="AN66" s="5"/>
      <c r="AO66" s="5"/>
      <c r="AP66" s="5"/>
      <c r="AQ66" s="5"/>
      <c r="AR66" s="5"/>
      <c r="AT66" s="6"/>
      <c r="AU66" s="6"/>
      <c r="AV66" s="6"/>
      <c r="AW66" s="6"/>
      <c r="AX66" s="6"/>
      <c r="AY66" s="6"/>
      <c r="AZ66" s="6"/>
      <c r="BA66" s="6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8"/>
      <c r="BO66" s="6"/>
      <c r="BP66" s="9"/>
      <c r="BQ66" s="7"/>
      <c r="BR66" s="6"/>
      <c r="BS66" s="6"/>
      <c r="BT66" s="6"/>
      <c r="BU66" s="6"/>
      <c r="BV66" s="6"/>
      <c r="BW66" s="6"/>
      <c r="BX66" s="6"/>
    </row>
    <row r="67" s="1" customFormat="1" ht="20" customHeight="1" spans="1:76">
      <c r="A67" s="1" t="s">
        <v>81</v>
      </c>
      <c r="B67" s="11" t="s">
        <v>283</v>
      </c>
      <c r="C67" s="2">
        <v>18</v>
      </c>
      <c r="D67" s="12" t="s">
        <v>125</v>
      </c>
      <c r="E67" s="2" t="s">
        <v>82</v>
      </c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5"/>
      <c r="AK67" s="5"/>
      <c r="AL67" s="5"/>
      <c r="AM67" s="5"/>
      <c r="AN67" s="5"/>
      <c r="AO67" s="5"/>
      <c r="AP67" s="5"/>
      <c r="AQ67" s="5"/>
      <c r="AR67" s="5"/>
      <c r="AT67" s="6"/>
      <c r="AU67" s="6"/>
      <c r="AV67" s="6"/>
      <c r="AW67" s="6"/>
      <c r="AX67" s="6"/>
      <c r="AY67" s="6"/>
      <c r="AZ67" s="6"/>
      <c r="BA67" s="6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8"/>
      <c r="BO67" s="6"/>
      <c r="BP67" s="9"/>
      <c r="BQ67" s="7"/>
      <c r="BR67" s="6"/>
      <c r="BS67" s="6"/>
      <c r="BT67" s="6"/>
      <c r="BU67" s="6"/>
      <c r="BV67" s="6"/>
      <c r="BW67" s="6"/>
      <c r="BX67" s="6"/>
    </row>
    <row r="68" s="1" customFormat="1" ht="20" customHeight="1" spans="1:76">
      <c r="A68" s="1" t="s">
        <v>85</v>
      </c>
      <c r="B68" s="11" t="s">
        <v>284</v>
      </c>
      <c r="C68" s="2">
        <v>18</v>
      </c>
      <c r="D68" s="12" t="s">
        <v>125</v>
      </c>
      <c r="E68" s="2" t="s">
        <v>86</v>
      </c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5"/>
      <c r="AK68" s="5"/>
      <c r="AL68" s="5"/>
      <c r="AM68" s="5"/>
      <c r="AN68" s="5"/>
      <c r="AO68" s="5"/>
      <c r="AP68" s="5"/>
      <c r="AQ68" s="5"/>
      <c r="AR68" s="5"/>
      <c r="AT68" s="6"/>
      <c r="AU68" s="6"/>
      <c r="AV68" s="6"/>
      <c r="AW68" s="6"/>
      <c r="AX68" s="6"/>
      <c r="AY68" s="6"/>
      <c r="AZ68" s="6"/>
      <c r="BA68" s="6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8"/>
      <c r="BO68" s="6"/>
      <c r="BP68" s="9"/>
      <c r="BQ68" s="7"/>
      <c r="BR68" s="6"/>
      <c r="BS68" s="6"/>
      <c r="BT68" s="6"/>
      <c r="BU68" s="6"/>
      <c r="BV68" s="6"/>
      <c r="BW68" s="6"/>
      <c r="BX68" s="6"/>
    </row>
    <row r="69" s="1" customFormat="1" ht="20" customHeight="1" spans="1:76">
      <c r="A69" s="1" t="s">
        <v>89</v>
      </c>
      <c r="B69" s="11" t="s">
        <v>285</v>
      </c>
      <c r="C69" s="2">
        <v>18</v>
      </c>
      <c r="D69" s="12" t="s">
        <v>125</v>
      </c>
      <c r="E69" s="2" t="s">
        <v>90</v>
      </c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5"/>
      <c r="AK69" s="5"/>
      <c r="AL69" s="5"/>
      <c r="AM69" s="5"/>
      <c r="AN69" s="5"/>
      <c r="AO69" s="5"/>
      <c r="AP69" s="5"/>
      <c r="AQ69" s="5"/>
      <c r="AR69" s="5"/>
      <c r="AT69" s="6"/>
      <c r="AU69" s="6"/>
      <c r="AV69" s="6"/>
      <c r="AW69" s="6"/>
      <c r="AX69" s="6"/>
      <c r="AY69" s="6"/>
      <c r="AZ69" s="6"/>
      <c r="BA69" s="6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8"/>
      <c r="BO69" s="6"/>
      <c r="BP69" s="9"/>
      <c r="BQ69" s="7"/>
      <c r="BR69" s="6"/>
      <c r="BS69" s="6"/>
      <c r="BT69" s="6"/>
      <c r="BU69" s="6"/>
      <c r="BV69" s="6"/>
      <c r="BW69" s="6"/>
      <c r="BX69" s="6"/>
    </row>
    <row r="70" s="1" customFormat="1" ht="20" customHeight="1" spans="1:76">
      <c r="A70" s="1" t="s">
        <v>69</v>
      </c>
      <c r="B70" s="11" t="s">
        <v>286</v>
      </c>
      <c r="C70" s="2">
        <v>21</v>
      </c>
      <c r="D70" s="12" t="s">
        <v>127</v>
      </c>
      <c r="E70" s="2" t="s">
        <v>70</v>
      </c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5"/>
      <c r="AK70" s="5"/>
      <c r="AL70" s="5"/>
      <c r="AM70" s="5"/>
      <c r="AN70" s="5"/>
      <c r="AO70" s="5"/>
      <c r="AP70" s="5"/>
      <c r="AQ70" s="5"/>
      <c r="AR70" s="5"/>
      <c r="AT70" s="6"/>
      <c r="AU70" s="6"/>
      <c r="AV70" s="6"/>
      <c r="AW70" s="6"/>
      <c r="AX70" s="6"/>
      <c r="AY70" s="6"/>
      <c r="AZ70" s="6"/>
      <c r="BA70" s="6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8"/>
      <c r="BO70" s="6"/>
      <c r="BP70" s="9"/>
      <c r="BQ70" s="7"/>
      <c r="BR70" s="6"/>
      <c r="BS70" s="6"/>
      <c r="BT70" s="6"/>
      <c r="BU70" s="6"/>
      <c r="BV70" s="6"/>
      <c r="BW70" s="6"/>
      <c r="BX70" s="6"/>
    </row>
    <row r="71" s="1" customFormat="1" ht="20" customHeight="1" spans="1:76">
      <c r="A71" s="1" t="s">
        <v>73</v>
      </c>
      <c r="B71" s="11" t="s">
        <v>287</v>
      </c>
      <c r="C71" s="2">
        <v>21</v>
      </c>
      <c r="D71" s="12" t="s">
        <v>127</v>
      </c>
      <c r="E71" s="2" t="s">
        <v>74</v>
      </c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5"/>
      <c r="AK71" s="5"/>
      <c r="AL71" s="5"/>
      <c r="AM71" s="5"/>
      <c r="AN71" s="5"/>
      <c r="AO71" s="5"/>
      <c r="AP71" s="5"/>
      <c r="AQ71" s="5"/>
      <c r="AR71" s="5"/>
      <c r="AT71" s="6"/>
      <c r="AU71" s="6"/>
      <c r="AV71" s="6"/>
      <c r="AW71" s="6"/>
      <c r="AX71" s="6"/>
      <c r="AY71" s="6"/>
      <c r="AZ71" s="6"/>
      <c r="BA71" s="6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8"/>
      <c r="BO71" s="6"/>
      <c r="BP71" s="9"/>
      <c r="BQ71" s="7"/>
      <c r="BR71" s="6"/>
      <c r="BS71" s="6"/>
      <c r="BT71" s="6"/>
      <c r="BU71" s="6"/>
      <c r="BV71" s="6"/>
      <c r="BW71" s="6"/>
      <c r="BX71" s="6"/>
    </row>
    <row r="72" s="1" customFormat="1" ht="20" customHeight="1" spans="1:76">
      <c r="A72" s="1" t="s">
        <v>77</v>
      </c>
      <c r="B72" s="11" t="s">
        <v>288</v>
      </c>
      <c r="C72" s="2">
        <v>21</v>
      </c>
      <c r="D72" s="12" t="s">
        <v>127</v>
      </c>
      <c r="E72" s="2" t="s">
        <v>78</v>
      </c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5"/>
      <c r="AK72" s="5"/>
      <c r="AL72" s="5"/>
      <c r="AM72" s="5"/>
      <c r="AN72" s="5"/>
      <c r="AO72" s="5"/>
      <c r="AP72" s="5"/>
      <c r="AQ72" s="5"/>
      <c r="AR72" s="5"/>
      <c r="AT72" s="6"/>
      <c r="AU72" s="6"/>
      <c r="AV72" s="6"/>
      <c r="AW72" s="6"/>
      <c r="AX72" s="6"/>
      <c r="AY72" s="6"/>
      <c r="AZ72" s="6"/>
      <c r="BA72" s="6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8"/>
      <c r="BO72" s="6"/>
      <c r="BP72" s="9"/>
      <c r="BQ72" s="7"/>
      <c r="BR72" s="6"/>
      <c r="BS72" s="6"/>
      <c r="BT72" s="6"/>
      <c r="BU72" s="6"/>
      <c r="BV72" s="6"/>
      <c r="BW72" s="6"/>
      <c r="BX72" s="6"/>
    </row>
    <row r="73" s="1" customFormat="1" ht="20" customHeight="1" spans="1:76">
      <c r="A73" s="1" t="s">
        <v>81</v>
      </c>
      <c r="B73" s="11" t="s">
        <v>289</v>
      </c>
      <c r="C73" s="2">
        <v>21</v>
      </c>
      <c r="D73" s="12" t="s">
        <v>127</v>
      </c>
      <c r="E73" s="2" t="s">
        <v>82</v>
      </c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5"/>
      <c r="AK73" s="5"/>
      <c r="AL73" s="5"/>
      <c r="AM73" s="5"/>
      <c r="AN73" s="5"/>
      <c r="AO73" s="5"/>
      <c r="AP73" s="5"/>
      <c r="AQ73" s="5"/>
      <c r="AR73" s="5"/>
      <c r="AT73" s="6"/>
      <c r="AU73" s="6"/>
      <c r="AV73" s="6"/>
      <c r="AW73" s="6"/>
      <c r="AX73" s="6"/>
      <c r="AY73" s="6"/>
      <c r="AZ73" s="6"/>
      <c r="BA73" s="6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8"/>
      <c r="BO73" s="6"/>
      <c r="BP73" s="9"/>
      <c r="BQ73" s="7"/>
      <c r="BR73" s="6"/>
      <c r="BS73" s="6"/>
      <c r="BT73" s="6"/>
      <c r="BU73" s="6"/>
      <c r="BV73" s="6"/>
      <c r="BW73" s="6"/>
      <c r="BX73" s="6"/>
    </row>
    <row r="74" s="1" customFormat="1" ht="20" customHeight="1" spans="1:76">
      <c r="A74" s="1" t="s">
        <v>85</v>
      </c>
      <c r="B74" s="11" t="s">
        <v>290</v>
      </c>
      <c r="C74" s="2">
        <v>21</v>
      </c>
      <c r="D74" s="12" t="s">
        <v>127</v>
      </c>
      <c r="E74" s="2" t="s">
        <v>86</v>
      </c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5"/>
      <c r="AK74" s="5"/>
      <c r="AL74" s="5"/>
      <c r="AM74" s="5"/>
      <c r="AN74" s="5"/>
      <c r="AO74" s="5"/>
      <c r="AP74" s="5"/>
      <c r="AQ74" s="5"/>
      <c r="AR74" s="5"/>
      <c r="AT74" s="6"/>
      <c r="AU74" s="6"/>
      <c r="AV74" s="6"/>
      <c r="AW74" s="6"/>
      <c r="AX74" s="6"/>
      <c r="AY74" s="6"/>
      <c r="AZ74" s="6"/>
      <c r="BA74" s="6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8"/>
      <c r="BO74" s="6"/>
      <c r="BP74" s="9"/>
      <c r="BQ74" s="7"/>
      <c r="BR74" s="6"/>
      <c r="BS74" s="6"/>
      <c r="BT74" s="6"/>
      <c r="BU74" s="6"/>
      <c r="BV74" s="6"/>
      <c r="BW74" s="6"/>
      <c r="BX74" s="6"/>
    </row>
    <row r="75" s="1" customFormat="1" ht="20" customHeight="1" spans="1:76">
      <c r="A75" s="1" t="s">
        <v>89</v>
      </c>
      <c r="B75" s="11" t="s">
        <v>291</v>
      </c>
      <c r="C75" s="2">
        <v>21</v>
      </c>
      <c r="D75" s="12" t="s">
        <v>127</v>
      </c>
      <c r="E75" s="2" t="s">
        <v>90</v>
      </c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5"/>
      <c r="AK75" s="5"/>
      <c r="AL75" s="5"/>
      <c r="AM75" s="5"/>
      <c r="AN75" s="5"/>
      <c r="AO75" s="5"/>
      <c r="AP75" s="5"/>
      <c r="AQ75" s="5"/>
      <c r="AR75" s="5"/>
      <c r="AT75" s="6"/>
      <c r="AU75" s="6"/>
      <c r="AV75" s="6"/>
      <c r="AW75" s="6"/>
      <c r="AX75" s="6"/>
      <c r="AY75" s="6"/>
      <c r="AZ75" s="6"/>
      <c r="BA75" s="6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8"/>
      <c r="BO75" s="6"/>
      <c r="BP75" s="9"/>
      <c r="BQ75" s="7"/>
      <c r="BR75" s="6"/>
      <c r="BS75" s="6"/>
      <c r="BT75" s="6"/>
      <c r="BU75" s="6"/>
      <c r="BV75" s="6"/>
      <c r="BW75" s="6"/>
      <c r="BX75" s="6"/>
    </row>
    <row r="76" s="1" customFormat="1" ht="20" customHeight="1" spans="1:76">
      <c r="A76" s="1" t="s">
        <v>93</v>
      </c>
      <c r="B76" s="11" t="s">
        <v>292</v>
      </c>
      <c r="C76" s="2">
        <v>18</v>
      </c>
      <c r="D76" s="12" t="s">
        <v>121</v>
      </c>
      <c r="E76" s="2" t="s">
        <v>94</v>
      </c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5"/>
      <c r="AK76" s="5"/>
      <c r="AL76" s="5"/>
      <c r="AM76" s="5"/>
      <c r="AN76" s="5"/>
      <c r="AO76" s="5"/>
      <c r="AP76" s="5"/>
      <c r="AQ76" s="5"/>
      <c r="AR76" s="5"/>
      <c r="AT76" s="6"/>
      <c r="AU76" s="6"/>
      <c r="AV76" s="6"/>
      <c r="AW76" s="6"/>
      <c r="AX76" s="6"/>
      <c r="AY76" s="6"/>
      <c r="AZ76" s="6"/>
      <c r="BA76" s="6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8"/>
      <c r="BO76" s="6"/>
      <c r="BP76" s="9"/>
      <c r="BQ76" s="7"/>
      <c r="BR76" s="6"/>
      <c r="BS76" s="6"/>
      <c r="BT76" s="6"/>
      <c r="BU76" s="6"/>
      <c r="BV76" s="6"/>
      <c r="BW76" s="6"/>
      <c r="BX76" s="6"/>
    </row>
    <row r="77" s="1" customFormat="1" ht="20" customHeight="1" spans="1:76">
      <c r="A77" s="1" t="s">
        <v>97</v>
      </c>
      <c r="B77" s="11" t="s">
        <v>293</v>
      </c>
      <c r="C77" s="2">
        <v>18</v>
      </c>
      <c r="D77" s="12" t="s">
        <v>121</v>
      </c>
      <c r="E77" s="2" t="s">
        <v>98</v>
      </c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5"/>
      <c r="AK77" s="5"/>
      <c r="AL77" s="5"/>
      <c r="AM77" s="5"/>
      <c r="AN77" s="5"/>
      <c r="AO77" s="5"/>
      <c r="AP77" s="5"/>
      <c r="AQ77" s="5"/>
      <c r="AR77" s="5"/>
      <c r="AT77" s="6"/>
      <c r="AU77" s="6"/>
      <c r="AV77" s="6"/>
      <c r="AW77" s="6"/>
      <c r="AX77" s="6"/>
      <c r="AY77" s="6"/>
      <c r="AZ77" s="6"/>
      <c r="BA77" s="6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8"/>
      <c r="BO77" s="6"/>
      <c r="BP77" s="9"/>
      <c r="BQ77" s="7"/>
      <c r="BR77" s="6"/>
      <c r="BS77" s="6"/>
      <c r="BT77" s="6"/>
      <c r="BU77" s="6"/>
      <c r="BV77" s="6"/>
      <c r="BW77" s="6"/>
      <c r="BX77" s="6"/>
    </row>
    <row r="78" s="1" customFormat="1" ht="20" customHeight="1" spans="1:76">
      <c r="A78" s="1" t="s">
        <v>101</v>
      </c>
      <c r="B78" s="11" t="s">
        <v>294</v>
      </c>
      <c r="C78" s="2">
        <v>18</v>
      </c>
      <c r="D78" s="12" t="s">
        <v>121</v>
      </c>
      <c r="E78" s="2" t="s">
        <v>102</v>
      </c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5"/>
      <c r="AK78" s="5"/>
      <c r="AL78" s="5"/>
      <c r="AM78" s="5"/>
      <c r="AN78" s="5"/>
      <c r="AO78" s="5"/>
      <c r="AP78" s="5"/>
      <c r="AQ78" s="5"/>
      <c r="AR78" s="5"/>
      <c r="AT78" s="6"/>
      <c r="AU78" s="6"/>
      <c r="AV78" s="6"/>
      <c r="AW78" s="6"/>
      <c r="AX78" s="6"/>
      <c r="AY78" s="6"/>
      <c r="AZ78" s="6"/>
      <c r="BA78" s="6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8"/>
      <c r="BO78" s="6"/>
      <c r="BP78" s="9"/>
      <c r="BQ78" s="7"/>
      <c r="BR78" s="6"/>
      <c r="BS78" s="6"/>
      <c r="BT78" s="6"/>
      <c r="BU78" s="6"/>
      <c r="BV78" s="6"/>
      <c r="BW78" s="6"/>
      <c r="BX78" s="6"/>
    </row>
    <row r="79" s="1" customFormat="1" ht="20" customHeight="1" spans="1:76">
      <c r="A79" s="1" t="s">
        <v>105</v>
      </c>
      <c r="B79" s="11" t="s">
        <v>295</v>
      </c>
      <c r="C79" s="2">
        <v>18</v>
      </c>
      <c r="D79" s="12" t="s">
        <v>121</v>
      </c>
      <c r="E79" s="2" t="s">
        <v>106</v>
      </c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5"/>
      <c r="AK79" s="5"/>
      <c r="AL79" s="5"/>
      <c r="AM79" s="5"/>
      <c r="AN79" s="5"/>
      <c r="AO79" s="5"/>
      <c r="AP79" s="5"/>
      <c r="AQ79" s="5"/>
      <c r="AR79" s="5"/>
      <c r="AT79" s="6"/>
      <c r="AU79" s="6"/>
      <c r="AV79" s="6"/>
      <c r="AW79" s="6"/>
      <c r="AX79" s="6"/>
      <c r="AY79" s="6"/>
      <c r="AZ79" s="6"/>
      <c r="BA79" s="6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8"/>
      <c r="BO79" s="6"/>
      <c r="BP79" s="9"/>
      <c r="BQ79" s="7"/>
      <c r="BR79" s="6"/>
      <c r="BS79" s="6"/>
      <c r="BT79" s="6"/>
      <c r="BU79" s="6"/>
      <c r="BV79" s="6"/>
      <c r="BW79" s="6"/>
      <c r="BX79" s="6"/>
    </row>
    <row r="80" s="1" customFormat="1" ht="20" customHeight="1" spans="1:76">
      <c r="A80" s="1" t="s">
        <v>109</v>
      </c>
      <c r="B80" s="11" t="s">
        <v>296</v>
      </c>
      <c r="C80" s="2">
        <v>18</v>
      </c>
      <c r="D80" s="12" t="s">
        <v>121</v>
      </c>
      <c r="E80" s="2" t="s">
        <v>110</v>
      </c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5"/>
      <c r="AK80" s="5"/>
      <c r="AL80" s="5"/>
      <c r="AM80" s="5"/>
      <c r="AN80" s="5"/>
      <c r="AO80" s="5"/>
      <c r="AP80" s="5"/>
      <c r="AQ80" s="5"/>
      <c r="AR80" s="5"/>
      <c r="AT80" s="6"/>
      <c r="AU80" s="6"/>
      <c r="AV80" s="6"/>
      <c r="AW80" s="6"/>
      <c r="AX80" s="6"/>
      <c r="AY80" s="6"/>
      <c r="AZ80" s="6"/>
      <c r="BA80" s="6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8"/>
      <c r="BO80" s="6"/>
      <c r="BP80" s="9"/>
      <c r="BQ80" s="7"/>
      <c r="BR80" s="6"/>
      <c r="BS80" s="6"/>
      <c r="BT80" s="6"/>
      <c r="BU80" s="6"/>
      <c r="BV80" s="6"/>
      <c r="BW80" s="6"/>
      <c r="BX80" s="6"/>
    </row>
    <row r="81" s="1" customFormat="1" ht="20" customHeight="1" spans="1:76">
      <c r="A81" s="1" t="s">
        <v>113</v>
      </c>
      <c r="B81" s="11" t="s">
        <v>297</v>
      </c>
      <c r="C81" s="2">
        <v>18</v>
      </c>
      <c r="D81" s="12" t="s">
        <v>121</v>
      </c>
      <c r="E81" s="2" t="s">
        <v>114</v>
      </c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5"/>
      <c r="AK81" s="5"/>
      <c r="AL81" s="5"/>
      <c r="AM81" s="5"/>
      <c r="AN81" s="5"/>
      <c r="AO81" s="5"/>
      <c r="AP81" s="5"/>
      <c r="AQ81" s="5"/>
      <c r="AR81" s="5"/>
      <c r="AT81" s="6"/>
      <c r="AU81" s="6"/>
      <c r="AV81" s="6"/>
      <c r="AW81" s="6"/>
      <c r="AX81" s="6"/>
      <c r="AY81" s="6"/>
      <c r="AZ81" s="6"/>
      <c r="BA81" s="6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8"/>
      <c r="BO81" s="6"/>
      <c r="BP81" s="9"/>
      <c r="BQ81" s="7"/>
      <c r="BR81" s="6"/>
      <c r="BS81" s="6"/>
      <c r="BT81" s="6"/>
      <c r="BU81" s="6"/>
      <c r="BV81" s="6"/>
      <c r="BW81" s="6"/>
      <c r="BX81" s="6"/>
    </row>
    <row r="82" s="1" customFormat="1" ht="20" customHeight="1" spans="1:76">
      <c r="A82" s="1" t="s">
        <v>93</v>
      </c>
      <c r="B82" s="11" t="s">
        <v>298</v>
      </c>
      <c r="C82" s="2">
        <v>21</v>
      </c>
      <c r="D82" s="12" t="s">
        <v>123</v>
      </c>
      <c r="E82" s="2" t="s">
        <v>94</v>
      </c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5"/>
      <c r="AK82" s="5"/>
      <c r="AL82" s="5"/>
      <c r="AM82" s="5"/>
      <c r="AN82" s="5"/>
      <c r="AO82" s="5"/>
      <c r="AP82" s="5"/>
      <c r="AQ82" s="5"/>
      <c r="AR82" s="5"/>
      <c r="AT82" s="6"/>
      <c r="AU82" s="6"/>
      <c r="AV82" s="6"/>
      <c r="AW82" s="6"/>
      <c r="AX82" s="6"/>
      <c r="AY82" s="6"/>
      <c r="AZ82" s="6"/>
      <c r="BA82" s="6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8"/>
      <c r="BO82" s="6"/>
      <c r="BP82" s="9"/>
      <c r="BQ82" s="7"/>
      <c r="BR82" s="6"/>
      <c r="BS82" s="6"/>
      <c r="BT82" s="6"/>
      <c r="BU82" s="6"/>
      <c r="BV82" s="6"/>
      <c r="BW82" s="6"/>
      <c r="BX82" s="6"/>
    </row>
    <row r="83" s="1" customFormat="1" ht="20" customHeight="1" spans="1:76">
      <c r="A83" s="1" t="s">
        <v>97</v>
      </c>
      <c r="B83" s="11" t="s">
        <v>299</v>
      </c>
      <c r="C83" s="2">
        <v>21</v>
      </c>
      <c r="D83" s="12" t="s">
        <v>123</v>
      </c>
      <c r="E83" s="2" t="s">
        <v>98</v>
      </c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5"/>
      <c r="AK83" s="5"/>
      <c r="AL83" s="5"/>
      <c r="AM83" s="5"/>
      <c r="AN83" s="5"/>
      <c r="AO83" s="5"/>
      <c r="AP83" s="5"/>
      <c r="AQ83" s="5"/>
      <c r="AR83" s="5"/>
      <c r="AT83" s="6"/>
      <c r="AU83" s="6"/>
      <c r="AV83" s="6"/>
      <c r="AW83" s="6"/>
      <c r="AX83" s="6"/>
      <c r="AY83" s="6"/>
      <c r="AZ83" s="6"/>
      <c r="BA83" s="6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8"/>
      <c r="BO83" s="6"/>
      <c r="BP83" s="9"/>
      <c r="BQ83" s="7"/>
      <c r="BR83" s="6"/>
      <c r="BS83" s="6"/>
      <c r="BT83" s="6"/>
      <c r="BU83" s="6"/>
      <c r="BV83" s="6"/>
      <c r="BW83" s="6"/>
      <c r="BX83" s="6"/>
    </row>
    <row r="84" s="1" customFormat="1" ht="20" customHeight="1" spans="1:76">
      <c r="A84" s="1" t="s">
        <v>101</v>
      </c>
      <c r="B84" s="11" t="s">
        <v>300</v>
      </c>
      <c r="C84" s="2">
        <v>21</v>
      </c>
      <c r="D84" s="12" t="s">
        <v>123</v>
      </c>
      <c r="E84" s="2" t="s">
        <v>102</v>
      </c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5"/>
      <c r="AK84" s="5"/>
      <c r="AL84" s="5"/>
      <c r="AM84" s="5"/>
      <c r="AN84" s="5"/>
      <c r="AO84" s="5"/>
      <c r="AP84" s="5"/>
      <c r="AQ84" s="5"/>
      <c r="AR84" s="5"/>
      <c r="AT84" s="6"/>
      <c r="AU84" s="6"/>
      <c r="AV84" s="6"/>
      <c r="AW84" s="6"/>
      <c r="AX84" s="6"/>
      <c r="AY84" s="6"/>
      <c r="AZ84" s="6"/>
      <c r="BA84" s="6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8"/>
      <c r="BO84" s="6"/>
      <c r="BP84" s="9"/>
      <c r="BQ84" s="7"/>
      <c r="BR84" s="6"/>
      <c r="BS84" s="6"/>
      <c r="BT84" s="6"/>
      <c r="BU84" s="6"/>
      <c r="BV84" s="6"/>
      <c r="BW84" s="6"/>
      <c r="BX84" s="6"/>
    </row>
    <row r="85" s="1" customFormat="1" ht="20" customHeight="1" spans="1:76">
      <c r="A85" s="1" t="s">
        <v>105</v>
      </c>
      <c r="B85" s="11" t="s">
        <v>301</v>
      </c>
      <c r="C85" s="2">
        <v>21</v>
      </c>
      <c r="D85" s="12" t="s">
        <v>123</v>
      </c>
      <c r="E85" s="2" t="s">
        <v>106</v>
      </c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5"/>
      <c r="AK85" s="5"/>
      <c r="AL85" s="5"/>
      <c r="AM85" s="5"/>
      <c r="AN85" s="5"/>
      <c r="AO85" s="5"/>
      <c r="AP85" s="5"/>
      <c r="AQ85" s="5"/>
      <c r="AR85" s="5"/>
      <c r="AT85" s="6"/>
      <c r="AU85" s="6"/>
      <c r="AV85" s="6"/>
      <c r="AW85" s="6"/>
      <c r="AX85" s="6"/>
      <c r="AY85" s="6"/>
      <c r="AZ85" s="6"/>
      <c r="BA85" s="6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8"/>
      <c r="BO85" s="6"/>
      <c r="BP85" s="9"/>
      <c r="BQ85" s="7"/>
      <c r="BR85" s="6"/>
      <c r="BS85" s="6"/>
      <c r="BT85" s="6"/>
      <c r="BU85" s="6"/>
      <c r="BV85" s="6"/>
      <c r="BW85" s="6"/>
      <c r="BX85" s="6"/>
    </row>
    <row r="86" s="1" customFormat="1" ht="20" customHeight="1" spans="1:76">
      <c r="A86" s="1" t="s">
        <v>109</v>
      </c>
      <c r="B86" s="11" t="s">
        <v>302</v>
      </c>
      <c r="C86" s="2">
        <v>21</v>
      </c>
      <c r="D86" s="12" t="s">
        <v>123</v>
      </c>
      <c r="E86" s="2" t="s">
        <v>110</v>
      </c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5"/>
      <c r="AK86" s="5"/>
      <c r="AL86" s="5"/>
      <c r="AM86" s="5"/>
      <c r="AN86" s="5"/>
      <c r="AO86" s="5"/>
      <c r="AP86" s="5"/>
      <c r="AQ86" s="5"/>
      <c r="AR86" s="5"/>
      <c r="AT86" s="6"/>
      <c r="AU86" s="6"/>
      <c r="AV86" s="6"/>
      <c r="AW86" s="6"/>
      <c r="AX86" s="6"/>
      <c r="AY86" s="6"/>
      <c r="AZ86" s="6"/>
      <c r="BA86" s="6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8"/>
      <c r="BO86" s="6"/>
      <c r="BP86" s="9"/>
      <c r="BQ86" s="7"/>
      <c r="BR86" s="6"/>
      <c r="BS86" s="6"/>
      <c r="BT86" s="6"/>
      <c r="BU86" s="6"/>
      <c r="BV86" s="6"/>
      <c r="BW86" s="6"/>
      <c r="BX86" s="6"/>
    </row>
    <row r="87" s="1" customFormat="1" ht="20" customHeight="1" spans="1:76">
      <c r="A87" s="1" t="s">
        <v>113</v>
      </c>
      <c r="B87" s="11" t="s">
        <v>303</v>
      </c>
      <c r="C87" s="2">
        <v>21</v>
      </c>
      <c r="D87" s="12" t="s">
        <v>123</v>
      </c>
      <c r="E87" s="2" t="s">
        <v>114</v>
      </c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5"/>
      <c r="AK87" s="5"/>
      <c r="AL87" s="5"/>
      <c r="AM87" s="5"/>
      <c r="AN87" s="5"/>
      <c r="AO87" s="5"/>
      <c r="AP87" s="5"/>
      <c r="AQ87" s="5"/>
      <c r="AR87" s="5"/>
      <c r="AT87" s="6"/>
      <c r="AU87" s="6"/>
      <c r="AV87" s="6"/>
      <c r="AW87" s="6"/>
      <c r="AX87" s="6"/>
      <c r="AY87" s="6"/>
      <c r="AZ87" s="6"/>
      <c r="BA87" s="6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8"/>
      <c r="BO87" s="6"/>
      <c r="BP87" s="9"/>
      <c r="BQ87" s="7"/>
      <c r="BR87" s="6"/>
      <c r="BS87" s="6"/>
      <c r="BT87" s="6"/>
      <c r="BU87" s="6"/>
      <c r="BV87" s="6"/>
      <c r="BW87" s="6"/>
      <c r="BX87" s="6"/>
    </row>
    <row r="88" s="1" customFormat="1" ht="20" customHeight="1" spans="1:76">
      <c r="A88" s="1" t="s">
        <v>93</v>
      </c>
      <c r="B88" s="11" t="s">
        <v>304</v>
      </c>
      <c r="C88" s="2">
        <v>24</v>
      </c>
      <c r="D88" s="12" t="s">
        <v>125</v>
      </c>
      <c r="E88" s="2" t="s">
        <v>94</v>
      </c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5"/>
      <c r="AK88" s="5"/>
      <c r="AL88" s="5"/>
      <c r="AM88" s="5"/>
      <c r="AN88" s="5"/>
      <c r="AO88" s="5"/>
      <c r="AP88" s="5"/>
      <c r="AQ88" s="5"/>
      <c r="AR88" s="5"/>
      <c r="AT88" s="6"/>
      <c r="AU88" s="6"/>
      <c r="AV88" s="6"/>
      <c r="AW88" s="6"/>
      <c r="AX88" s="6"/>
      <c r="AY88" s="6"/>
      <c r="AZ88" s="6"/>
      <c r="BA88" s="6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8"/>
      <c r="BO88" s="6"/>
      <c r="BP88" s="9"/>
      <c r="BQ88" s="7"/>
      <c r="BR88" s="6"/>
      <c r="BS88" s="6"/>
      <c r="BT88" s="6"/>
      <c r="BU88" s="6"/>
      <c r="BV88" s="6"/>
      <c r="BW88" s="6"/>
      <c r="BX88" s="6"/>
    </row>
    <row r="89" s="1" customFormat="1" ht="20" customHeight="1" spans="1:76">
      <c r="A89" s="1" t="s">
        <v>97</v>
      </c>
      <c r="B89" s="11" t="s">
        <v>305</v>
      </c>
      <c r="C89" s="2">
        <v>24</v>
      </c>
      <c r="D89" s="12" t="s">
        <v>125</v>
      </c>
      <c r="E89" s="2" t="s">
        <v>98</v>
      </c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5"/>
      <c r="AK89" s="5"/>
      <c r="AL89" s="5"/>
      <c r="AM89" s="5"/>
      <c r="AN89" s="5"/>
      <c r="AO89" s="5"/>
      <c r="AP89" s="5"/>
      <c r="AQ89" s="5"/>
      <c r="AR89" s="5"/>
      <c r="AT89" s="6"/>
      <c r="AU89" s="6"/>
      <c r="AV89" s="6"/>
      <c r="AW89" s="6"/>
      <c r="AX89" s="6"/>
      <c r="AY89" s="6"/>
      <c r="AZ89" s="6"/>
      <c r="BA89" s="6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8"/>
      <c r="BO89" s="6"/>
      <c r="BP89" s="9"/>
      <c r="BQ89" s="7"/>
      <c r="BR89" s="6"/>
      <c r="BS89" s="6"/>
      <c r="BT89" s="6"/>
      <c r="BU89" s="6"/>
      <c r="BV89" s="6"/>
      <c r="BW89" s="6"/>
      <c r="BX89" s="6"/>
    </row>
    <row r="90" s="1" customFormat="1" ht="20" customHeight="1" spans="1:76">
      <c r="A90" s="1" t="s">
        <v>101</v>
      </c>
      <c r="B90" s="11" t="s">
        <v>306</v>
      </c>
      <c r="C90" s="2">
        <v>24</v>
      </c>
      <c r="D90" s="12" t="s">
        <v>125</v>
      </c>
      <c r="E90" s="2" t="s">
        <v>102</v>
      </c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5"/>
      <c r="AK90" s="5"/>
      <c r="AL90" s="5"/>
      <c r="AM90" s="5"/>
      <c r="AN90" s="5"/>
      <c r="AO90" s="5"/>
      <c r="AP90" s="5"/>
      <c r="AQ90" s="5"/>
      <c r="AR90" s="5"/>
      <c r="AT90" s="6"/>
      <c r="AU90" s="6"/>
      <c r="AV90" s="6"/>
      <c r="AW90" s="6"/>
      <c r="AX90" s="6"/>
      <c r="AY90" s="6"/>
      <c r="AZ90" s="6"/>
      <c r="BA90" s="6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8"/>
      <c r="BO90" s="6"/>
      <c r="BP90" s="9"/>
      <c r="BQ90" s="7"/>
      <c r="BR90" s="6"/>
      <c r="BS90" s="6"/>
      <c r="BT90" s="6"/>
      <c r="BU90" s="6"/>
      <c r="BV90" s="6"/>
      <c r="BW90" s="6"/>
      <c r="BX90" s="6"/>
    </row>
    <row r="91" s="1" customFormat="1" ht="20" customHeight="1" spans="1:76">
      <c r="A91" s="1" t="s">
        <v>105</v>
      </c>
      <c r="B91" s="11" t="s">
        <v>307</v>
      </c>
      <c r="C91" s="2">
        <v>24</v>
      </c>
      <c r="D91" s="12" t="s">
        <v>125</v>
      </c>
      <c r="E91" s="2" t="s">
        <v>106</v>
      </c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5"/>
      <c r="AK91" s="5"/>
      <c r="AL91" s="5"/>
      <c r="AM91" s="5"/>
      <c r="AN91" s="5"/>
      <c r="AO91" s="5"/>
      <c r="AP91" s="5"/>
      <c r="AQ91" s="5"/>
      <c r="AR91" s="5"/>
      <c r="AT91" s="6"/>
      <c r="AU91" s="6"/>
      <c r="AV91" s="6"/>
      <c r="AW91" s="6"/>
      <c r="AX91" s="6"/>
      <c r="AY91" s="6"/>
      <c r="AZ91" s="6"/>
      <c r="BA91" s="6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8"/>
      <c r="BO91" s="6"/>
      <c r="BP91" s="9"/>
      <c r="BQ91" s="7"/>
      <c r="BR91" s="6"/>
      <c r="BS91" s="6"/>
      <c r="BT91" s="6"/>
      <c r="BU91" s="6"/>
      <c r="BV91" s="6"/>
      <c r="BW91" s="6"/>
      <c r="BX91" s="6"/>
    </row>
    <row r="92" s="1" customFormat="1" ht="20" customHeight="1" spans="1:76">
      <c r="A92" s="1" t="s">
        <v>109</v>
      </c>
      <c r="B92" s="11" t="s">
        <v>308</v>
      </c>
      <c r="C92" s="2">
        <v>24</v>
      </c>
      <c r="D92" s="12" t="s">
        <v>125</v>
      </c>
      <c r="E92" s="2" t="s">
        <v>110</v>
      </c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5"/>
      <c r="AK92" s="5"/>
      <c r="AL92" s="5"/>
      <c r="AM92" s="5"/>
      <c r="AN92" s="5"/>
      <c r="AO92" s="5"/>
      <c r="AP92" s="5"/>
      <c r="AQ92" s="5"/>
      <c r="AR92" s="5"/>
      <c r="AT92" s="6"/>
      <c r="AU92" s="6"/>
      <c r="AV92" s="6"/>
      <c r="AW92" s="6"/>
      <c r="AX92" s="6"/>
      <c r="AY92" s="6"/>
      <c r="AZ92" s="6"/>
      <c r="BA92" s="6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8"/>
      <c r="BO92" s="6"/>
      <c r="BP92" s="9"/>
      <c r="BQ92" s="7"/>
      <c r="BR92" s="6"/>
      <c r="BS92" s="6"/>
      <c r="BT92" s="6"/>
      <c r="BU92" s="6"/>
      <c r="BV92" s="6"/>
      <c r="BW92" s="6"/>
      <c r="BX92" s="6"/>
    </row>
    <row r="93" s="1" customFormat="1" ht="20" customHeight="1" spans="1:76">
      <c r="A93" s="1" t="s">
        <v>113</v>
      </c>
      <c r="B93" s="11" t="s">
        <v>309</v>
      </c>
      <c r="C93" s="2">
        <v>24</v>
      </c>
      <c r="D93" s="12" t="s">
        <v>125</v>
      </c>
      <c r="E93" s="2" t="s">
        <v>114</v>
      </c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5"/>
      <c r="AK93" s="5"/>
      <c r="AL93" s="5"/>
      <c r="AM93" s="5"/>
      <c r="AN93" s="5"/>
      <c r="AO93" s="5"/>
      <c r="AP93" s="5"/>
      <c r="AQ93" s="5"/>
      <c r="AR93" s="5"/>
      <c r="AT93" s="6"/>
      <c r="AU93" s="6"/>
      <c r="AV93" s="6"/>
      <c r="AW93" s="6"/>
      <c r="AX93" s="6"/>
      <c r="AY93" s="6"/>
      <c r="AZ93" s="6"/>
      <c r="BA93" s="6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8"/>
      <c r="BO93" s="6"/>
      <c r="BP93" s="9"/>
      <c r="BQ93" s="7"/>
      <c r="BR93" s="6"/>
      <c r="BS93" s="6"/>
      <c r="BT93" s="6"/>
      <c r="BU93" s="6"/>
      <c r="BV93" s="6"/>
      <c r="BW93" s="6"/>
      <c r="BX93" s="6"/>
    </row>
    <row r="94" s="1" customFormat="1" ht="20" customHeight="1" spans="1:76">
      <c r="A94" s="1" t="s">
        <v>93</v>
      </c>
      <c r="B94" s="11" t="s">
        <v>310</v>
      </c>
      <c r="C94" s="2">
        <v>27</v>
      </c>
      <c r="D94" s="12" t="s">
        <v>127</v>
      </c>
      <c r="E94" s="2" t="s">
        <v>94</v>
      </c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5"/>
      <c r="AK94" s="5"/>
      <c r="AL94" s="5"/>
      <c r="AM94" s="5"/>
      <c r="AN94" s="5"/>
      <c r="AO94" s="5"/>
      <c r="AP94" s="5"/>
      <c r="AQ94" s="5"/>
      <c r="AR94" s="5"/>
      <c r="AT94" s="6"/>
      <c r="AU94" s="6"/>
      <c r="AV94" s="6"/>
      <c r="AW94" s="6"/>
      <c r="AX94" s="6"/>
      <c r="AY94" s="6"/>
      <c r="AZ94" s="6"/>
      <c r="BA94" s="6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8"/>
      <c r="BO94" s="6"/>
      <c r="BP94" s="9"/>
      <c r="BQ94" s="7"/>
      <c r="BR94" s="6"/>
      <c r="BS94" s="6"/>
      <c r="BT94" s="6"/>
      <c r="BU94" s="6"/>
      <c r="BV94" s="6"/>
      <c r="BW94" s="6"/>
      <c r="BX94" s="6"/>
    </row>
    <row r="95" s="1" customFormat="1" ht="20" customHeight="1" spans="1:76">
      <c r="A95" s="1" t="s">
        <v>97</v>
      </c>
      <c r="B95" s="11" t="s">
        <v>311</v>
      </c>
      <c r="C95" s="2">
        <v>27</v>
      </c>
      <c r="D95" s="12" t="s">
        <v>127</v>
      </c>
      <c r="E95" s="2" t="s">
        <v>98</v>
      </c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5"/>
      <c r="AK95" s="5"/>
      <c r="AL95" s="5"/>
      <c r="AM95" s="5"/>
      <c r="AN95" s="5"/>
      <c r="AO95" s="5"/>
      <c r="AP95" s="5"/>
      <c r="AQ95" s="5"/>
      <c r="AR95" s="5"/>
      <c r="AT95" s="6"/>
      <c r="AU95" s="6"/>
      <c r="AV95" s="6"/>
      <c r="AW95" s="6"/>
      <c r="AX95" s="6"/>
      <c r="AY95" s="6"/>
      <c r="AZ95" s="6"/>
      <c r="BA95" s="6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8"/>
      <c r="BO95" s="6"/>
      <c r="BP95" s="9"/>
      <c r="BQ95" s="7"/>
      <c r="BR95" s="6"/>
      <c r="BS95" s="6"/>
      <c r="BT95" s="6"/>
      <c r="BU95" s="6"/>
      <c r="BV95" s="6"/>
      <c r="BW95" s="6"/>
      <c r="BX95" s="6"/>
    </row>
    <row r="96" s="1" customFormat="1" ht="20" customHeight="1" spans="1:76">
      <c r="A96" s="1" t="s">
        <v>101</v>
      </c>
      <c r="B96" s="11" t="s">
        <v>312</v>
      </c>
      <c r="C96" s="2">
        <v>27</v>
      </c>
      <c r="D96" s="12" t="s">
        <v>127</v>
      </c>
      <c r="E96" s="2" t="s">
        <v>102</v>
      </c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5"/>
      <c r="AK96" s="5"/>
      <c r="AL96" s="5"/>
      <c r="AM96" s="5"/>
      <c r="AN96" s="5"/>
      <c r="AO96" s="5"/>
      <c r="AP96" s="5"/>
      <c r="AQ96" s="5"/>
      <c r="AR96" s="5"/>
      <c r="AT96" s="6"/>
      <c r="AU96" s="6"/>
      <c r="AV96" s="6"/>
      <c r="AW96" s="6"/>
      <c r="AX96" s="6"/>
      <c r="AY96" s="6"/>
      <c r="AZ96" s="6"/>
      <c r="BA96" s="6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8"/>
      <c r="BO96" s="6"/>
      <c r="BP96" s="9"/>
      <c r="BQ96" s="7"/>
      <c r="BR96" s="6"/>
      <c r="BS96" s="6"/>
      <c r="BT96" s="6"/>
      <c r="BU96" s="6"/>
      <c r="BV96" s="6"/>
      <c r="BW96" s="6"/>
      <c r="BX96" s="6"/>
    </row>
    <row r="97" s="1" customFormat="1" ht="20" customHeight="1" spans="1:76">
      <c r="A97" s="1" t="s">
        <v>105</v>
      </c>
      <c r="B97" s="11" t="s">
        <v>313</v>
      </c>
      <c r="C97" s="2">
        <v>27</v>
      </c>
      <c r="D97" s="12" t="s">
        <v>127</v>
      </c>
      <c r="E97" s="2" t="s">
        <v>106</v>
      </c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5"/>
      <c r="AK97" s="5"/>
      <c r="AL97" s="5"/>
      <c r="AM97" s="5"/>
      <c r="AN97" s="5"/>
      <c r="AO97" s="5"/>
      <c r="AP97" s="5"/>
      <c r="AQ97" s="5"/>
      <c r="AR97" s="5"/>
      <c r="AT97" s="6"/>
      <c r="AU97" s="6"/>
      <c r="AV97" s="6"/>
      <c r="AW97" s="6"/>
      <c r="AX97" s="6"/>
      <c r="AY97" s="6"/>
      <c r="AZ97" s="6"/>
      <c r="BA97" s="6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8"/>
      <c r="BO97" s="6"/>
      <c r="BP97" s="9"/>
      <c r="BQ97" s="7"/>
      <c r="BR97" s="6"/>
      <c r="BS97" s="6"/>
      <c r="BT97" s="6"/>
      <c r="BU97" s="6"/>
      <c r="BV97" s="6"/>
      <c r="BW97" s="6"/>
      <c r="BX97" s="6"/>
    </row>
    <row r="98" s="1" customFormat="1" ht="20" customHeight="1" spans="1:76">
      <c r="A98" s="1" t="s">
        <v>109</v>
      </c>
      <c r="B98" s="11" t="s">
        <v>314</v>
      </c>
      <c r="C98" s="2">
        <v>27</v>
      </c>
      <c r="D98" s="12" t="s">
        <v>127</v>
      </c>
      <c r="E98" s="2" t="s">
        <v>110</v>
      </c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5"/>
      <c r="AK98" s="5"/>
      <c r="AL98" s="5"/>
      <c r="AM98" s="5"/>
      <c r="AN98" s="5"/>
      <c r="AO98" s="5"/>
      <c r="AP98" s="5"/>
      <c r="AQ98" s="5"/>
      <c r="AR98" s="5"/>
      <c r="AT98" s="6"/>
      <c r="AU98" s="6"/>
      <c r="AV98" s="6"/>
      <c r="AW98" s="6"/>
      <c r="AX98" s="6"/>
      <c r="AY98" s="6"/>
      <c r="AZ98" s="6"/>
      <c r="BA98" s="6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8"/>
      <c r="BO98" s="6"/>
      <c r="BP98" s="9"/>
      <c r="BQ98" s="7"/>
      <c r="BR98" s="6"/>
      <c r="BS98" s="6"/>
      <c r="BT98" s="6"/>
      <c r="BU98" s="6"/>
      <c r="BV98" s="6"/>
      <c r="BW98" s="6"/>
      <c r="BX98" s="6"/>
    </row>
    <row r="99" s="1" customFormat="1" ht="20" customHeight="1" spans="1:76">
      <c r="A99" s="1" t="s">
        <v>113</v>
      </c>
      <c r="B99" s="11" t="s">
        <v>315</v>
      </c>
      <c r="C99" s="2">
        <v>27</v>
      </c>
      <c r="D99" s="12" t="s">
        <v>127</v>
      </c>
      <c r="E99" s="2" t="s">
        <v>114</v>
      </c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5"/>
      <c r="AK99" s="5"/>
      <c r="AL99" s="5"/>
      <c r="AM99" s="5"/>
      <c r="AN99" s="5"/>
      <c r="AO99" s="5"/>
      <c r="AP99" s="5"/>
      <c r="AQ99" s="5"/>
      <c r="AR99" s="5"/>
      <c r="AT99" s="6"/>
      <c r="AU99" s="6"/>
      <c r="AV99" s="6"/>
      <c r="AW99" s="6"/>
      <c r="AX99" s="6"/>
      <c r="AY99" s="6"/>
      <c r="AZ99" s="6"/>
      <c r="BA99" s="6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8"/>
      <c r="BO99" s="6"/>
      <c r="BP99" s="9"/>
      <c r="BQ99" s="7"/>
      <c r="BR99" s="6"/>
      <c r="BS99" s="6"/>
      <c r="BT99" s="6"/>
      <c r="BU99" s="6"/>
      <c r="BV99" s="6"/>
      <c r="BW99" s="6"/>
      <c r="BX99" s="6"/>
    </row>
  </sheetData>
  <conditionalFormatting sqref="J3">
    <cfRule type="duplicateValues" dxfId="0" priority="23"/>
  </conditionalFormatting>
  <conditionalFormatting sqref="K3:L3">
    <cfRule type="duplicateValues" dxfId="0" priority="1"/>
  </conditionalFormatting>
  <conditionalFormatting sqref="M3:R3">
    <cfRule type="duplicateValues" dxfId="0" priority="117"/>
  </conditionalFormatting>
  <conditionalFormatting sqref="B10:B15">
    <cfRule type="duplicateValues" dxfId="0" priority="70"/>
  </conditionalFormatting>
  <conditionalFormatting sqref="B16:B21">
    <cfRule type="duplicateValues" dxfId="0" priority="67"/>
  </conditionalFormatting>
  <conditionalFormatting sqref="B22:B27">
    <cfRule type="duplicateValues" dxfId="0" priority="64"/>
  </conditionalFormatting>
  <conditionalFormatting sqref="B28:B33">
    <cfRule type="duplicateValues" dxfId="0" priority="52"/>
  </conditionalFormatting>
  <conditionalFormatting sqref="B34:B39">
    <cfRule type="duplicateValues" dxfId="0" priority="50"/>
  </conditionalFormatting>
  <conditionalFormatting sqref="B40:B45">
    <cfRule type="duplicateValues" dxfId="0" priority="47"/>
  </conditionalFormatting>
  <conditionalFormatting sqref="B46:B51">
    <cfRule type="duplicateValues" dxfId="0" priority="44"/>
  </conditionalFormatting>
  <conditionalFormatting sqref="B52:B57">
    <cfRule type="duplicateValues" dxfId="0" priority="42"/>
  </conditionalFormatting>
  <conditionalFormatting sqref="B58:B63">
    <cfRule type="duplicateValues" dxfId="0" priority="40"/>
  </conditionalFormatting>
  <conditionalFormatting sqref="B64:B69">
    <cfRule type="duplicateValues" dxfId="0" priority="37"/>
  </conditionalFormatting>
  <conditionalFormatting sqref="B70:B75">
    <cfRule type="duplicateValues" dxfId="0" priority="34"/>
  </conditionalFormatting>
  <conditionalFormatting sqref="B76:B81">
    <cfRule type="duplicateValues" dxfId="0" priority="32"/>
  </conditionalFormatting>
  <conditionalFormatting sqref="B82:B87">
    <cfRule type="duplicateValues" dxfId="0" priority="30"/>
  </conditionalFormatting>
  <conditionalFormatting sqref="B88:B93">
    <cfRule type="duplicateValues" dxfId="0" priority="27"/>
  </conditionalFormatting>
  <conditionalFormatting sqref="B94:B99">
    <cfRule type="duplicateValues" dxfId="0" priority="24"/>
  </conditionalFormatting>
  <conditionalFormatting sqref="C10:C15">
    <cfRule type="duplicateValues" dxfId="0" priority="71"/>
  </conditionalFormatting>
  <conditionalFormatting sqref="C16:C21">
    <cfRule type="duplicateValues" dxfId="0" priority="68"/>
  </conditionalFormatting>
  <conditionalFormatting sqref="C22:C27">
    <cfRule type="duplicateValues" dxfId="0" priority="65"/>
  </conditionalFormatting>
  <conditionalFormatting sqref="C28:C33">
    <cfRule type="duplicateValues" dxfId="0" priority="53"/>
  </conditionalFormatting>
  <conditionalFormatting sqref="C34:C39">
    <cfRule type="duplicateValues" dxfId="0" priority="51"/>
  </conditionalFormatting>
  <conditionalFormatting sqref="C40:C45">
    <cfRule type="duplicateValues" dxfId="0" priority="48"/>
  </conditionalFormatting>
  <conditionalFormatting sqref="C46:C51">
    <cfRule type="duplicateValues" dxfId="0" priority="45"/>
  </conditionalFormatting>
  <conditionalFormatting sqref="C58:C63">
    <cfRule type="duplicateValues" dxfId="0" priority="41"/>
  </conditionalFormatting>
  <conditionalFormatting sqref="C64:C69">
    <cfRule type="duplicateValues" dxfId="0" priority="38"/>
  </conditionalFormatting>
  <conditionalFormatting sqref="C70:C75">
    <cfRule type="duplicateValues" dxfId="0" priority="35"/>
  </conditionalFormatting>
  <conditionalFormatting sqref="C82:C87">
    <cfRule type="duplicateValues" dxfId="0" priority="31"/>
  </conditionalFormatting>
  <conditionalFormatting sqref="C88:C93">
    <cfRule type="duplicateValues" dxfId="0" priority="28"/>
  </conditionalFormatting>
  <conditionalFormatting sqref="C94:C99">
    <cfRule type="duplicateValues" dxfId="0" priority="25"/>
  </conditionalFormatting>
  <conditionalFormatting sqref="E16:E21">
    <cfRule type="duplicateValues" dxfId="0" priority="15"/>
  </conditionalFormatting>
  <conditionalFormatting sqref="E22:E27">
    <cfRule type="duplicateValues" dxfId="0" priority="14"/>
  </conditionalFormatting>
  <conditionalFormatting sqref="I4:I9">
    <cfRule type="duplicateValues" dxfId="0" priority="21"/>
  </conditionalFormatting>
  <conditionalFormatting sqref="I10:I15">
    <cfRule type="duplicateValues" dxfId="0" priority="18"/>
  </conditionalFormatting>
  <conditionalFormatting sqref="I16:I21">
    <cfRule type="duplicateValues" dxfId="0" priority="17"/>
  </conditionalFormatting>
  <conditionalFormatting sqref="I22:I27">
    <cfRule type="duplicateValues" dxfId="0" priority="16"/>
  </conditionalFormatting>
  <conditionalFormatting sqref="A1:A3 A100:A1048576 B4:B9">
    <cfRule type="duplicateValues" dxfId="0" priority="232"/>
  </conditionalFormatting>
  <conditionalFormatting sqref="C2:C9 C100:C1048576 E1:F3 E4:E15 E100:F1048576">
    <cfRule type="duplicateValues" dxfId="0" priority="242"/>
  </conditionalFormatting>
  <conditionalFormatting sqref="E28:F33">
    <cfRule type="duplicateValues" dxfId="0" priority="13"/>
  </conditionalFormatting>
  <conditionalFormatting sqref="E34:F39">
    <cfRule type="duplicateValues" dxfId="0" priority="12"/>
  </conditionalFormatting>
  <conditionalFormatting sqref="E40:F45">
    <cfRule type="duplicateValues" dxfId="0" priority="11"/>
  </conditionalFormatting>
  <conditionalFormatting sqref="E46:F51">
    <cfRule type="duplicateValues" dxfId="0" priority="10"/>
  </conditionalFormatting>
  <conditionalFormatting sqref="C52:C57 E52:F63">
    <cfRule type="duplicateValues" dxfId="0" priority="43"/>
  </conditionalFormatting>
  <conditionalFormatting sqref="E64:F69">
    <cfRule type="duplicateValues" dxfId="0" priority="9"/>
  </conditionalFormatting>
  <conditionalFormatting sqref="E70:F75">
    <cfRule type="duplicateValues" dxfId="0" priority="8"/>
  </conditionalFormatting>
  <conditionalFormatting sqref="C76:C81 E76:F87">
    <cfRule type="duplicateValues" dxfId="0" priority="33"/>
  </conditionalFormatting>
  <conditionalFormatting sqref="E88:F93">
    <cfRule type="duplicateValues" dxfId="0" priority="7"/>
  </conditionalFormatting>
  <conditionalFormatting sqref="E94:F99">
    <cfRule type="duplicateValues" dxfId="0" priority="6"/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掉落概率表格</vt:lpstr>
      <vt:lpstr>可存档物品</vt:lpstr>
      <vt:lpstr>品质</vt:lpstr>
      <vt:lpstr>特殊属性库</vt:lpstr>
      <vt:lpstr>思考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blue_狂奔的蜗牛</cp:lastModifiedBy>
  <dcterms:created xsi:type="dcterms:W3CDTF">2006-09-16T00:00:00Z</dcterms:created>
  <dcterms:modified xsi:type="dcterms:W3CDTF">2019-12-27T08:29:18Z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