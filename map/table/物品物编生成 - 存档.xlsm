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13B44074-CF9D-4989-9E8B-357421061F21}" xr6:coauthVersionLast="45" xr6:coauthVersionMax="45" xr10:uidLastSave="{00000000-0000-0000-0000-000000000000}"/>
  <bookViews>
    <workbookView xWindow="-120" yWindow="-120" windowWidth="29040" windowHeight="15840" tabRatio="682" activeTab="1" xr2:uid="{00000000-000D-0000-FFFF-FFFF00000000}"/>
  </bookViews>
  <sheets>
    <sheet name="掉落概率表格" sheetId="33" r:id="rId1"/>
    <sheet name="可存档物品" sheetId="31" r:id="rId2"/>
    <sheet name="品质" sheetId="30" r:id="rId3"/>
    <sheet name="特殊属性库" sheetId="32" r:id="rId4"/>
    <sheet name="思考" sheetId="27" r:id="rId5"/>
  </sheets>
  <definedNames>
    <definedName name="_xlnm._FilterDatabase" localSheetId="4" hidden="1">思考!$A$3:$BX$3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6" i="31" l="1"/>
  <c r="C2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K25" i="31"/>
  <c r="K23" i="31"/>
  <c r="K19" i="31"/>
  <c r="K17" i="31"/>
  <c r="K13" i="31"/>
  <c r="C13" i="31" s="1"/>
  <c r="K11" i="31"/>
  <c r="K7" i="31"/>
  <c r="C7" i="31" s="1"/>
  <c r="K5" i="31"/>
  <c r="C5" i="31" s="1"/>
  <c r="J25" i="31"/>
  <c r="J23" i="31"/>
  <c r="J19" i="31"/>
  <c r="J17" i="31"/>
  <c r="J13" i="31"/>
  <c r="J11" i="31"/>
  <c r="J7" i="31"/>
  <c r="J5" i="31"/>
  <c r="C4" i="31"/>
  <c r="C10" i="31"/>
  <c r="C11" i="31"/>
  <c r="C12" i="31"/>
  <c r="C3" i="31"/>
  <c r="K24" i="31"/>
  <c r="K18" i="31"/>
  <c r="K12" i="31"/>
  <c r="K22" i="31"/>
  <c r="K16" i="31"/>
  <c r="K10" i="31"/>
  <c r="K4" i="31"/>
  <c r="K3" i="31"/>
  <c r="C6" i="31"/>
  <c r="K8" i="31"/>
  <c r="C8" i="31" s="1"/>
  <c r="K9" i="31"/>
  <c r="C9" i="31" s="1"/>
  <c r="K14" i="31"/>
  <c r="K15" i="31"/>
  <c r="K20" i="31"/>
  <c r="K21" i="31"/>
  <c r="K2" i="31"/>
  <c r="F4" i="32"/>
  <c r="F5" i="32"/>
  <c r="F6" i="32"/>
  <c r="F7" i="32"/>
  <c r="F8" i="32"/>
  <c r="F9" i="32"/>
  <c r="F10" i="32"/>
  <c r="F11" i="32"/>
  <c r="F12" i="32"/>
  <c r="F13" i="32"/>
  <c r="F14" i="32"/>
  <c r="F15" i="32"/>
  <c r="F16" i="32"/>
  <c r="F17" i="32"/>
  <c r="F18" i="32"/>
  <c r="F19" i="32"/>
  <c r="F20" i="32"/>
  <c r="F21" i="32"/>
  <c r="F22" i="32"/>
  <c r="F23" i="32"/>
  <c r="F24" i="32"/>
  <c r="F25" i="32"/>
  <c r="F26" i="32"/>
  <c r="F27" i="32"/>
  <c r="F28" i="32"/>
  <c r="F29" i="32"/>
  <c r="F30" i="32"/>
  <c r="F31" i="32"/>
  <c r="F32" i="32"/>
  <c r="F33" i="32"/>
  <c r="F34" i="32"/>
  <c r="F35" i="32"/>
  <c r="F36" i="32"/>
  <c r="F37" i="32"/>
  <c r="F38" i="32"/>
  <c r="F39" i="32"/>
  <c r="F40" i="32"/>
  <c r="F41" i="32"/>
  <c r="F42" i="32"/>
  <c r="F43" i="32"/>
  <c r="F44" i="32"/>
  <c r="F45" i="32"/>
  <c r="F46" i="32"/>
  <c r="F47" i="32"/>
  <c r="F48" i="32"/>
  <c r="F49" i="32"/>
  <c r="F50" i="32"/>
  <c r="F51" i="32"/>
  <c r="F52" i="32"/>
  <c r="F53" i="32"/>
  <c r="F54" i="32"/>
  <c r="F3" i="32"/>
  <c r="O19" i="27" l="1"/>
  <c r="Q19" i="27" s="1"/>
  <c r="R18" i="27"/>
  <c r="O18" i="27"/>
  <c r="Q18" i="27" s="1"/>
  <c r="P18" i="27" s="1"/>
  <c r="R17" i="27"/>
  <c r="Q17" i="27"/>
  <c r="P17" i="27"/>
  <c r="O17" i="27"/>
  <c r="R16" i="27"/>
  <c r="Q16" i="27"/>
  <c r="P16" i="27"/>
  <c r="R15" i="27"/>
  <c r="Q15" i="27"/>
  <c r="P15" i="27" s="1"/>
  <c r="O15" i="27"/>
  <c r="O14" i="27"/>
  <c r="R14" i="27" s="1"/>
  <c r="O13" i="27"/>
  <c r="R13" i="27" s="1"/>
  <c r="R12" i="27"/>
  <c r="Q12" i="27"/>
  <c r="P12" i="27" s="1"/>
  <c r="O11" i="27"/>
  <c r="Q11" i="27" s="1"/>
  <c r="R10" i="27"/>
  <c r="O10" i="27"/>
  <c r="Q10" i="27" s="1"/>
  <c r="P10" i="27" s="1"/>
  <c r="R9" i="27"/>
  <c r="Q9" i="27"/>
  <c r="P9" i="27"/>
  <c r="O9" i="27"/>
  <c r="R8" i="27"/>
  <c r="Q8" i="27"/>
  <c r="P8" i="27"/>
  <c r="R7" i="27"/>
  <c r="Q7" i="27"/>
  <c r="P7" i="27" s="1"/>
  <c r="O7" i="27"/>
  <c r="O6" i="27"/>
  <c r="R6" i="27" s="1"/>
  <c r="O5" i="27"/>
  <c r="R5" i="27" s="1"/>
  <c r="R4" i="27"/>
  <c r="Q4" i="27"/>
  <c r="P4" i="27" s="1"/>
  <c r="D7" i="30"/>
  <c r="G15" i="33"/>
  <c r="G14" i="33"/>
  <c r="G13" i="33"/>
  <c r="G12" i="33"/>
  <c r="G11" i="33"/>
  <c r="G10" i="33"/>
  <c r="G9" i="33"/>
  <c r="G8" i="33"/>
  <c r="G7" i="33"/>
  <c r="G6" i="33"/>
  <c r="G5" i="33"/>
  <c r="P11" i="27" l="1"/>
  <c r="Q5" i="27"/>
  <c r="P5" i="27" s="1"/>
  <c r="R11" i="27"/>
  <c r="Q13" i="27"/>
  <c r="P13" i="27" s="1"/>
  <c r="R19" i="27"/>
  <c r="P19" i="27" s="1"/>
  <c r="Q6" i="27"/>
  <c r="P6" i="27" s="1"/>
  <c r="Q14" i="27"/>
  <c r="P14" i="27" s="1"/>
</calcChain>
</file>

<file path=xl/sharedStrings.xml><?xml version="1.0" encoding="utf-8"?>
<sst xmlns="http://schemas.openxmlformats.org/spreadsheetml/2006/main" count="892" uniqueCount="343">
  <si>
    <t>不同等级的物品，掉落概率和难度相关，如右下表</t>
  </si>
  <si>
    <t>难度</t>
  </si>
  <si>
    <t>一级物品掉落概率</t>
  </si>
  <si>
    <t>二级物品掉落概率</t>
  </si>
  <si>
    <t>三级物品掉落概率</t>
  </si>
  <si>
    <t>四级物品掉落概率</t>
  </si>
  <si>
    <t>合计</t>
  </si>
  <si>
    <t>名称</t>
  </si>
  <si>
    <t>图标</t>
  </si>
  <si>
    <t>地图等级限制</t>
  </si>
  <si>
    <t>等级</t>
  </si>
  <si>
    <t>品质</t>
  </si>
  <si>
    <t>基本属性
（随机生成时候，会有50%-150%的波动）</t>
  </si>
  <si>
    <t>特殊属性的数量</t>
  </si>
  <si>
    <t>特殊属性（基本）</t>
  </si>
  <si>
    <t>特殊属性（百分比）</t>
  </si>
  <si>
    <t>霓光刀</t>
  </si>
  <si>
    <t>yiji1.blp</t>
  </si>
  <si>
    <t>（装备等级-1）*6+（装备品质-1）*3</t>
  </si>
  <si>
    <t>一级武器</t>
  </si>
  <si>
    <t>四种品质：白-蓝-金-暗金，对应品质数值1-4，查看工作表“品质”</t>
  </si>
  <si>
    <t>+2000000攻击</t>
  </si>
  <si>
    <t>数量可能有0-8个，和物品品质相关，查看工作表“品质”</t>
  </si>
  <si>
    <t>查看工作表“特殊属性库”</t>
  </si>
  <si>
    <t>（0.6+装备等级*0.4）*特殊属性加成b（查看工作表“品质”）</t>
  </si>
  <si>
    <t>霓光甲</t>
  </si>
  <si>
    <t>yiji2.blp</t>
  </si>
  <si>
    <t>一级衣服</t>
  </si>
  <si>
    <t>+1000护甲</t>
  </si>
  <si>
    <t>霓光面罩</t>
  </si>
  <si>
    <t>yiji3.blp</t>
  </si>
  <si>
    <t>一级头盔</t>
  </si>
  <si>
    <t>+1000000技能伤害</t>
  </si>
  <si>
    <t>霓光靴</t>
  </si>
  <si>
    <t>yiji4.blp</t>
  </si>
  <si>
    <t>一级鞋子</t>
  </si>
  <si>
    <t>+500护甲
+25移动速度</t>
  </si>
  <si>
    <t>霓光腰带</t>
  </si>
  <si>
    <t>yiji5.blp</t>
  </si>
  <si>
    <t>一级腰带</t>
  </si>
  <si>
    <t>+3000000生命上限</t>
  </si>
  <si>
    <t>霓光之钩</t>
  </si>
  <si>
    <t>yiji6.blp</t>
  </si>
  <si>
    <t>一级手套</t>
  </si>
  <si>
    <t>+500护甲
+25%攻击速度</t>
  </si>
  <si>
    <t>血腥三月镰</t>
  </si>
  <si>
    <t>erji1.blp</t>
  </si>
  <si>
    <t>二级武器</t>
  </si>
  <si>
    <t>+4000000攻击</t>
  </si>
  <si>
    <t>血腥三月甲</t>
  </si>
  <si>
    <t>erji2.blp</t>
  </si>
  <si>
    <t>二级衣服</t>
  </si>
  <si>
    <t>+2000护甲</t>
  </si>
  <si>
    <t>血腥三月面罩</t>
  </si>
  <si>
    <t>erji3.blp</t>
  </si>
  <si>
    <t>二级头盔</t>
  </si>
  <si>
    <t>+2000000技能伤害</t>
  </si>
  <si>
    <t>血腥三月鞋</t>
  </si>
  <si>
    <t>erji4.blp</t>
  </si>
  <si>
    <t>二级鞋子</t>
  </si>
  <si>
    <t>+1000护甲
+50移动速度</t>
  </si>
  <si>
    <t>血腥三月腰带</t>
  </si>
  <si>
    <t>erji5.blp</t>
  </si>
  <si>
    <t>二级腰带</t>
  </si>
  <si>
    <t>+6000000生命上限</t>
  </si>
  <si>
    <t>血腥三月护手</t>
  </si>
  <si>
    <t>erji6.blp</t>
  </si>
  <si>
    <t>二级手套</t>
  </si>
  <si>
    <t>+1000护甲
+50%攻击速度</t>
  </si>
  <si>
    <t>银霜法杖</t>
  </si>
  <si>
    <t>sanji1.blp</t>
  </si>
  <si>
    <t>三级武器</t>
  </si>
  <si>
    <t>+8000000攻击</t>
  </si>
  <si>
    <t>银霜甲</t>
  </si>
  <si>
    <t>sanji2.blp</t>
  </si>
  <si>
    <t>三级衣服</t>
  </si>
  <si>
    <t>+4000护甲</t>
  </si>
  <si>
    <t>银霜头盔</t>
  </si>
  <si>
    <t>sanji3.blp</t>
  </si>
  <si>
    <t>三级头盔</t>
  </si>
  <si>
    <t>+4000000技能伤害</t>
  </si>
  <si>
    <t>银霜鞋</t>
  </si>
  <si>
    <t>sanji4.blp</t>
  </si>
  <si>
    <t>三级鞋子</t>
  </si>
  <si>
    <t>+2000护甲
+100移动速度</t>
  </si>
  <si>
    <t>银霜腰带</t>
  </si>
  <si>
    <t>sanji5.blp</t>
  </si>
  <si>
    <t>三级腰带</t>
  </si>
  <si>
    <t>+12000000生命上限</t>
  </si>
  <si>
    <t>银霜护手</t>
  </si>
  <si>
    <t>sanji6.blp</t>
  </si>
  <si>
    <t>三级手套</t>
  </si>
  <si>
    <t>+2000护甲
+100%攻击速度</t>
  </si>
  <si>
    <t>菲普斯的法杖</t>
  </si>
  <si>
    <t>siji1.blp</t>
  </si>
  <si>
    <t>四级武器</t>
  </si>
  <si>
    <t>+16000000攻击</t>
  </si>
  <si>
    <t>菲普斯的战甲</t>
  </si>
  <si>
    <t>siji2.blp</t>
  </si>
  <si>
    <t>四级衣服</t>
  </si>
  <si>
    <t>+8000护甲</t>
  </si>
  <si>
    <t>菲普斯的面具</t>
  </si>
  <si>
    <t>siji3.blp</t>
  </si>
  <si>
    <t>四级头盔</t>
  </si>
  <si>
    <t>+8000000技能伤害</t>
  </si>
  <si>
    <t>菲普斯的鞋子</t>
  </si>
  <si>
    <t>siji4.blp</t>
  </si>
  <si>
    <t>四级鞋子</t>
  </si>
  <si>
    <t>+4000护甲
+200移动速度</t>
  </si>
  <si>
    <t>菲普斯的护腰</t>
  </si>
  <si>
    <t>siji5.blp</t>
  </si>
  <si>
    <t>四级腰带</t>
  </si>
  <si>
    <t>+24000000生命上限</t>
  </si>
  <si>
    <t>菲普斯的护手</t>
  </si>
  <si>
    <t>siji6.blp</t>
  </si>
  <si>
    <t>四级手套</t>
  </si>
  <si>
    <t>+4000护甲
+200%攻击速度</t>
  </si>
  <si>
    <t>概率</t>
  </si>
  <si>
    <t>特殊属性数量（随机）</t>
  </si>
  <si>
    <t>特殊属性加成b</t>
  </si>
  <si>
    <t>影戏地图等级因素b</t>
  </si>
  <si>
    <t>白</t>
  </si>
  <si>
    <t>0、1</t>
  </si>
  <si>
    <t>蓝</t>
  </si>
  <si>
    <t>2、3</t>
  </si>
  <si>
    <t>金</t>
  </si>
  <si>
    <t>4、5</t>
  </si>
  <si>
    <t>暗金</t>
  </si>
  <si>
    <t>6、7、8</t>
  </si>
  <si>
    <t>属性名</t>
  </si>
  <si>
    <t>值</t>
  </si>
  <si>
    <t>杀敌数加成</t>
  </si>
  <si>
    <t>木头加成</t>
  </si>
  <si>
    <t>魔丸加成</t>
  </si>
  <si>
    <t>物品获取率</t>
  </si>
  <si>
    <t>吸血</t>
  </si>
  <si>
    <t>暴击几率</t>
  </si>
  <si>
    <t>技暴几率</t>
  </si>
  <si>
    <t>暴击伤害</t>
  </si>
  <si>
    <t>技暴伤害</t>
  </si>
  <si>
    <t>全伤加深</t>
  </si>
  <si>
    <t>减伤</t>
  </si>
  <si>
    <t>免伤几率</t>
  </si>
  <si>
    <t>闪避</t>
  </si>
  <si>
    <t>每秒回血</t>
  </si>
  <si>
    <t>触发概率加成</t>
  </si>
  <si>
    <t>技能冷却</t>
  </si>
  <si>
    <t>攻击速度</t>
  </si>
  <si>
    <t>分裂伤害</t>
  </si>
  <si>
    <t>物理伤害加深</t>
  </si>
  <si>
    <t>技能伤害加深</t>
  </si>
  <si>
    <t>对BOSS额外伤害</t>
  </si>
  <si>
    <t>全属性</t>
  </si>
  <si>
    <t>杀怪加全属性</t>
  </si>
  <si>
    <t>攻击加全属性</t>
  </si>
  <si>
    <t>每秒加全属性</t>
  </si>
  <si>
    <t>力量</t>
  </si>
  <si>
    <t>杀怪加力量</t>
  </si>
  <si>
    <t>攻击加力量</t>
  </si>
  <si>
    <t>每秒加力量</t>
  </si>
  <si>
    <t>敏捷</t>
  </si>
  <si>
    <t>杀怪加敏捷</t>
  </si>
  <si>
    <t>攻击加敏捷</t>
  </si>
  <si>
    <t>每秒加敏捷</t>
  </si>
  <si>
    <t>智力</t>
  </si>
  <si>
    <t>杀怪加智力</t>
  </si>
  <si>
    <t>攻击加智力</t>
  </si>
  <si>
    <t>每秒加智力</t>
  </si>
  <si>
    <t>攻击</t>
  </si>
  <si>
    <t>杀怪加攻击</t>
  </si>
  <si>
    <t>每秒加攻击</t>
  </si>
  <si>
    <t>护甲</t>
  </si>
  <si>
    <t>每秒加护甲</t>
  </si>
  <si>
    <t>攻击减甲</t>
  </si>
  <si>
    <t>攻击间隔</t>
  </si>
  <si>
    <t>生命恢复</t>
  </si>
  <si>
    <t>攻击回血</t>
  </si>
  <si>
    <t>杀怪回血</t>
  </si>
  <si>
    <t>减少周围护甲</t>
  </si>
  <si>
    <t>伤害减少</t>
  </si>
  <si>
    <t>攻击距离</t>
  </si>
  <si>
    <t>移动速度</t>
  </si>
  <si>
    <t>多重射</t>
  </si>
  <si>
    <t>string</t>
  </si>
  <si>
    <t>名字</t>
  </si>
  <si>
    <t>类型</t>
  </si>
  <si>
    <t>(仅远程有效)</t>
  </si>
  <si>
    <t>name</t>
  </si>
  <si>
    <t>item_type</t>
  </si>
  <si>
    <t>level_map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</si>
  <si>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</si>
  <si>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</si>
  <si>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影戏地图等级因素1</t>
  </si>
  <si>
    <t>特殊属性加成</t>
  </si>
  <si>
    <t>特殊属性</t>
  </si>
  <si>
    <t>条数</t>
  </si>
  <si>
    <t>每个词条的加成百分比</t>
  </si>
  <si>
    <t>综合加成</t>
  </si>
  <si>
    <t>最低值</t>
  </si>
  <si>
    <t>最高值</t>
  </si>
  <si>
    <t>一级武器白</t>
  </si>
  <si>
    <t>一级白色词条库</t>
  </si>
  <si>
    <t>0-1</t>
  </si>
  <si>
    <t>一级衣服白</t>
  </si>
  <si>
    <t>一级蓝色词条库</t>
  </si>
  <si>
    <t>2-3</t>
  </si>
  <si>
    <t>一级头盔白</t>
  </si>
  <si>
    <t>一级金色词条库</t>
  </si>
  <si>
    <t>4-5</t>
  </si>
  <si>
    <t>一级鞋子白</t>
  </si>
  <si>
    <t>一级暗金色词条库</t>
  </si>
  <si>
    <t>6-8</t>
  </si>
  <si>
    <t>一级腰带白</t>
  </si>
  <si>
    <t>二级白色词条库</t>
  </si>
  <si>
    <t>一级手套白</t>
  </si>
  <si>
    <t>二级蓝色词条库</t>
  </si>
  <si>
    <t>一级武器蓝</t>
  </si>
  <si>
    <t>二级金色词条库</t>
  </si>
  <si>
    <t>一级衣服蓝</t>
  </si>
  <si>
    <t>二级暗金色词条库</t>
  </si>
  <si>
    <t>一级头盔蓝</t>
  </si>
  <si>
    <t>三级白色词条库</t>
  </si>
  <si>
    <t>一级鞋子蓝</t>
  </si>
  <si>
    <t>三级蓝色词条库</t>
  </si>
  <si>
    <t>一级腰带蓝</t>
  </si>
  <si>
    <t>三级金色词条库</t>
  </si>
  <si>
    <t>一级手套蓝</t>
  </si>
  <si>
    <t>三级暗金色词条库</t>
  </si>
  <si>
    <t>一级武器金</t>
  </si>
  <si>
    <t>四级白色词条库</t>
  </si>
  <si>
    <t>一级衣服金</t>
  </si>
  <si>
    <t>四级蓝色词条库</t>
  </si>
  <si>
    <t>一级头盔金</t>
  </si>
  <si>
    <t>四级金色词条库</t>
  </si>
  <si>
    <t>一级鞋子金</t>
  </si>
  <si>
    <t>四级暗金色词条库</t>
  </si>
  <si>
    <t>一级腰带金</t>
  </si>
  <si>
    <t>一级手套金</t>
  </si>
  <si>
    <t>一级武器暗金</t>
  </si>
  <si>
    <t>一级衣服暗金</t>
  </si>
  <si>
    <t>一级头盔暗金</t>
  </si>
  <si>
    <t>一级鞋子暗金</t>
  </si>
  <si>
    <t>一级腰带暗金</t>
  </si>
  <si>
    <t>一级手套暗金</t>
  </si>
  <si>
    <t>二级武器白</t>
  </si>
  <si>
    <t>二级衣服白</t>
  </si>
  <si>
    <t>二级头盔白</t>
  </si>
  <si>
    <t>二级鞋子白</t>
  </si>
  <si>
    <t>二级腰带白</t>
  </si>
  <si>
    <t>二级手套白</t>
  </si>
  <si>
    <t>二级武器蓝</t>
  </si>
  <si>
    <t>二级衣服蓝</t>
  </si>
  <si>
    <t>二级头盔蓝</t>
  </si>
  <si>
    <t>二级鞋子蓝</t>
  </si>
  <si>
    <t>二级腰带蓝</t>
  </si>
  <si>
    <t>二级手套蓝</t>
  </si>
  <si>
    <t>二级武器金</t>
  </si>
  <si>
    <t>二级衣服金</t>
  </si>
  <si>
    <t>二级头盔金</t>
  </si>
  <si>
    <t>二级鞋子金</t>
  </si>
  <si>
    <t>二级腰带金</t>
  </si>
  <si>
    <t>二级手套金</t>
  </si>
  <si>
    <t>二级武器暗金</t>
  </si>
  <si>
    <t>二级衣服暗金</t>
  </si>
  <si>
    <t>二级头盔暗金</t>
  </si>
  <si>
    <t>二级鞋子暗金</t>
  </si>
  <si>
    <t>二级腰带暗金</t>
  </si>
  <si>
    <t>二级手套暗金</t>
  </si>
  <si>
    <t>三级武器白</t>
  </si>
  <si>
    <t>三级衣服白</t>
  </si>
  <si>
    <t>三级头盔白</t>
  </si>
  <si>
    <t>三级鞋子白</t>
  </si>
  <si>
    <t>三级腰带白</t>
  </si>
  <si>
    <t>三级手套白</t>
  </si>
  <si>
    <t>三级武器蓝</t>
  </si>
  <si>
    <t>三级衣服蓝</t>
  </si>
  <si>
    <t>三级头盔蓝</t>
  </si>
  <si>
    <t>三级鞋子蓝</t>
  </si>
  <si>
    <t>三级腰带蓝</t>
  </si>
  <si>
    <t>三级手套蓝</t>
  </si>
  <si>
    <t>三级武器金</t>
  </si>
  <si>
    <t>三级衣服金</t>
  </si>
  <si>
    <t>三级头盔金</t>
  </si>
  <si>
    <t>三级鞋子金</t>
  </si>
  <si>
    <t>三级腰带金</t>
  </si>
  <si>
    <t>三级手套金</t>
  </si>
  <si>
    <t>三级武器暗金</t>
  </si>
  <si>
    <t>三级衣服暗金</t>
  </si>
  <si>
    <t>三级头盔暗金</t>
  </si>
  <si>
    <t>三级鞋子暗金</t>
  </si>
  <si>
    <t>三级腰带暗金</t>
  </si>
  <si>
    <t>三级手套暗金</t>
  </si>
  <si>
    <t>四级武器白</t>
  </si>
  <si>
    <t>四级衣服白</t>
  </si>
  <si>
    <t>四级头盔白</t>
  </si>
  <si>
    <t>四级鞋子白</t>
  </si>
  <si>
    <t>四级腰带白</t>
  </si>
  <si>
    <t>四级手套白</t>
  </si>
  <si>
    <t>四级武器蓝</t>
  </si>
  <si>
    <t>四级衣服蓝</t>
  </si>
  <si>
    <t>四级头盔蓝</t>
  </si>
  <si>
    <t>四级鞋子蓝</t>
  </si>
  <si>
    <t>四级腰带蓝</t>
  </si>
  <si>
    <t>四级手套蓝</t>
  </si>
  <si>
    <t>四级武器金</t>
  </si>
  <si>
    <t>四级衣服金</t>
  </si>
  <si>
    <t>四级头盔金</t>
  </si>
  <si>
    <t>四级鞋子金</t>
  </si>
  <si>
    <t>四级腰带金</t>
  </si>
  <si>
    <t>四级手套金</t>
  </si>
  <si>
    <t>四级武器暗金</t>
  </si>
  <si>
    <t>四级衣服暗金</t>
  </si>
  <si>
    <t>四级头盔暗金</t>
  </si>
  <si>
    <t>四级鞋子暗金</t>
  </si>
  <si>
    <t>四级腰带暗金</t>
  </si>
  <si>
    <t>四级手套暗金</t>
  </si>
  <si>
    <t>霓光刀</t>
    <phoneticPr fontId="6" type="noConversion"/>
  </si>
  <si>
    <t>yiji1.blp</t>
    <phoneticPr fontId="6" type="noConversion"/>
  </si>
  <si>
    <t>['力量']</t>
    <phoneticPr fontId="6" type="noConversion"/>
  </si>
  <si>
    <t>2000000攻击</t>
  </si>
  <si>
    <t>1000护甲</t>
  </si>
  <si>
    <t>500护甲
25移动速度</t>
  </si>
  <si>
    <t>3000000生命上限</t>
  </si>
  <si>
    <t>500护甲
25%攻击速度</t>
  </si>
  <si>
    <t>4000000攻击</t>
  </si>
  <si>
    <t>2000护甲</t>
  </si>
  <si>
    <t>1000护甲
50移动速度</t>
  </si>
  <si>
    <t>6000000生命上限</t>
  </si>
  <si>
    <t>1000护甲
50%攻击速度</t>
  </si>
  <si>
    <t>8000000攻击</t>
  </si>
  <si>
    <t>4000护甲</t>
  </si>
  <si>
    <t>2000护甲
100移动速度</t>
  </si>
  <si>
    <t>12000000生命上限</t>
  </si>
  <si>
    <t>2000护甲
100%攻击速度</t>
  </si>
  <si>
    <t>16000000攻击</t>
  </si>
  <si>
    <t>8000护甲</t>
  </si>
  <si>
    <t>4000护甲
200移动速度</t>
  </si>
  <si>
    <t>24000000生命上限</t>
  </si>
  <si>
    <t>4000护甲
200%攻击速度</t>
  </si>
  <si>
    <t>1000000技能基础伤害</t>
  </si>
  <si>
    <t>2000000技能基础伤害</t>
  </si>
  <si>
    <t>4000000技能基础伤害</t>
  </si>
  <si>
    <t>8000000技能基础伤害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</si>
</sst>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8" formatCode="0.0%"/>
    <numFmt numFmtId="179" formatCode="0.0_ "/>
    <numFmt numFmtId="180" formatCode="0_ "/>
    <numFmt numFmtId="181" formatCode="0.00_ "/>
  </numFmts>
  <fonts count="7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9" fontId="1" fillId="0" borderId="0" xfId="0" applyNumberFormat="1" applyFon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0" fontId="2" fillId="0" borderId="0" xfId="0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81" fontId="2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8" fontId="1" fillId="0" borderId="0" xfId="0" applyNumberFormat="1" applyFont="1" applyAlignment="1">
      <alignment horizontal="center" vertical="center" wrapText="1"/>
    </xf>
    <xf numFmtId="178" fontId="1" fillId="0" borderId="0" xfId="0" applyNumberFormat="1" applyFont="1" applyBorder="1" applyAlignment="1">
      <alignment horizontal="center" vertical="center"/>
    </xf>
    <xf numFmtId="178" fontId="3" fillId="0" borderId="0" xfId="0" applyNumberFormat="1" applyFont="1" applyBorder="1" applyAlignment="1">
      <alignment horizontal="center" vertical="center"/>
    </xf>
    <xf numFmtId="180" fontId="0" fillId="0" borderId="0" xfId="0" applyNumberFormat="1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0" fontId="0" fillId="0" borderId="0" xfId="0" applyNumberFormat="1" applyBorder="1" applyAlignment="1">
      <alignment horizontal="center" vertical="center"/>
    </xf>
    <xf numFmtId="181" fontId="0" fillId="0" borderId="0" xfId="0" applyNumberFormat="1" applyFont="1" applyAlignment="1">
      <alignment horizontal="center" vertical="center"/>
    </xf>
    <xf numFmtId="180" fontId="0" fillId="0" borderId="0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178" fontId="1" fillId="0" borderId="0" xfId="0" applyNumberFormat="1" applyFont="1" applyAlignment="1">
      <alignment horizontal="left" vertical="center"/>
    </xf>
    <xf numFmtId="178" fontId="3" fillId="0" borderId="0" xfId="0" applyNumberFormat="1" applyFont="1" applyAlignment="1">
      <alignment horizontal="left" vertical="center"/>
    </xf>
    <xf numFmtId="178" fontId="1" fillId="0" borderId="0" xfId="0" applyNumberFormat="1" applyFont="1" applyAlignment="1">
      <alignment horizontal="left" vertical="center" wrapText="1"/>
    </xf>
    <xf numFmtId="178" fontId="3" fillId="0" borderId="0" xfId="0" applyNumberFormat="1" applyFont="1" applyBorder="1" applyAlignment="1">
      <alignment horizontal="left" vertical="center"/>
    </xf>
    <xf numFmtId="9" fontId="1" fillId="0" borderId="0" xfId="0" applyNumberFormat="1" applyFont="1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80" fontId="0" fillId="0" borderId="0" xfId="0" applyNumberFormat="1" applyFont="1" applyAlignment="1">
      <alignment horizontal="left" vertical="center"/>
    </xf>
    <xf numFmtId="179" fontId="0" fillId="0" borderId="0" xfId="0" applyNumberFormat="1" applyAlignment="1">
      <alignment horizontal="left" vertical="center"/>
    </xf>
    <xf numFmtId="179" fontId="2" fillId="0" borderId="0" xfId="0" applyNumberFormat="1" applyFont="1" applyAlignment="1">
      <alignment horizontal="left" vertical="center"/>
    </xf>
    <xf numFmtId="181" fontId="0" fillId="0" borderId="0" xfId="0" applyNumberFormat="1" applyFont="1" applyAlignment="1">
      <alignment horizontal="left" vertical="center"/>
    </xf>
    <xf numFmtId="181" fontId="2" fillId="0" borderId="0" xfId="0" applyNumberFormat="1" applyFont="1" applyAlignment="1">
      <alignment horizontal="left" vertical="center"/>
    </xf>
    <xf numFmtId="180" fontId="2" fillId="0" borderId="0" xfId="0" applyNumberFormat="1" applyFont="1" applyAlignment="1">
      <alignment horizontal="left" vertical="center"/>
    </xf>
    <xf numFmtId="180" fontId="0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1" fillId="0" borderId="0" xfId="0" quotePrefix="1" applyFont="1" applyAlignment="1">
      <alignment horizontal="center" vertical="center"/>
    </xf>
    <xf numFmtId="0" fontId="1" fillId="0" borderId="0" xfId="0" quotePrefix="1" applyFont="1" applyAlignment="1">
      <alignment horizontal="center" vertical="center" wrapText="1"/>
    </xf>
    <xf numFmtId="0" fontId="4" fillId="0" borderId="0" xfId="0" applyFont="1"/>
  </cellXfs>
  <cellStyles count="1">
    <cellStyle name="常规" xfId="0" builtinId="0"/>
  </cellStyles>
  <dxfs count="68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G15"/>
  <sheetViews>
    <sheetView workbookViewId="0">
      <selection activeCell="A36" sqref="A36"/>
    </sheetView>
  </sheetViews>
  <sheetFormatPr defaultColWidth="9" defaultRowHeight="13.5" x14ac:dyDescent="0.15"/>
  <cols>
    <col min="1" max="1" width="49.375" customWidth="1"/>
    <col min="3" max="6" width="20.625" customWidth="1"/>
  </cols>
  <sheetData>
    <row r="2" spans="1:7" ht="51" customHeight="1" x14ac:dyDescent="0.15">
      <c r="A2" s="43" t="s">
        <v>0</v>
      </c>
    </row>
    <row r="4" spans="1:7" x14ac:dyDescent="0.15"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  <c r="G4" s="39" t="s">
        <v>6</v>
      </c>
    </row>
    <row r="5" spans="1:7" x14ac:dyDescent="0.15">
      <c r="B5" s="2">
        <v>1</v>
      </c>
      <c r="C5" s="5">
        <v>0.95</v>
      </c>
      <c r="D5" s="5">
        <v>0.05</v>
      </c>
      <c r="E5" s="5">
        <v>0</v>
      </c>
      <c r="F5" s="5">
        <v>0</v>
      </c>
      <c r="G5" s="39">
        <f t="shared" ref="G5:G15" si="0">C5+D5+E5+F5</f>
        <v>1</v>
      </c>
    </row>
    <row r="6" spans="1:7" x14ac:dyDescent="0.15">
      <c r="B6" s="2">
        <v>2</v>
      </c>
      <c r="C6" s="5">
        <v>0.9</v>
      </c>
      <c r="D6" s="5">
        <v>0.1</v>
      </c>
      <c r="E6" s="5">
        <v>0</v>
      </c>
      <c r="F6" s="5">
        <v>0</v>
      </c>
      <c r="G6" s="39">
        <f t="shared" si="0"/>
        <v>1</v>
      </c>
    </row>
    <row r="7" spans="1:7" x14ac:dyDescent="0.15">
      <c r="B7" s="2">
        <v>3</v>
      </c>
      <c r="C7" s="5">
        <v>0.85</v>
      </c>
      <c r="D7" s="5">
        <v>0.15</v>
      </c>
      <c r="E7" s="5">
        <v>0</v>
      </c>
      <c r="F7" s="5">
        <v>0</v>
      </c>
      <c r="G7" s="39">
        <f t="shared" si="0"/>
        <v>1</v>
      </c>
    </row>
    <row r="8" spans="1:7" x14ac:dyDescent="0.15">
      <c r="B8" s="2">
        <v>4</v>
      </c>
      <c r="C8" s="5">
        <v>0.75</v>
      </c>
      <c r="D8" s="5">
        <v>0.2</v>
      </c>
      <c r="E8" s="5">
        <v>0.05</v>
      </c>
      <c r="F8" s="5">
        <v>0</v>
      </c>
      <c r="G8" s="39">
        <f t="shared" si="0"/>
        <v>1</v>
      </c>
    </row>
    <row r="9" spans="1:7" x14ac:dyDescent="0.15">
      <c r="B9" s="2">
        <v>5</v>
      </c>
      <c r="C9" s="5">
        <v>0.65</v>
      </c>
      <c r="D9" s="5">
        <v>0.25</v>
      </c>
      <c r="E9" s="5">
        <v>0.1</v>
      </c>
      <c r="F9" s="5">
        <v>0</v>
      </c>
      <c r="G9" s="39">
        <f t="shared" si="0"/>
        <v>1</v>
      </c>
    </row>
    <row r="10" spans="1:7" x14ac:dyDescent="0.15">
      <c r="B10" s="2">
        <v>6</v>
      </c>
      <c r="C10" s="5">
        <v>0.55000000000000004</v>
      </c>
      <c r="D10" s="5">
        <v>0.3</v>
      </c>
      <c r="E10" s="5">
        <v>0.15</v>
      </c>
      <c r="F10" s="5">
        <v>0</v>
      </c>
      <c r="G10" s="39">
        <f t="shared" si="0"/>
        <v>1</v>
      </c>
    </row>
    <row r="11" spans="1:7" x14ac:dyDescent="0.15">
      <c r="B11" s="2">
        <v>7</v>
      </c>
      <c r="C11" s="5">
        <v>0.45</v>
      </c>
      <c r="D11" s="5">
        <v>0.35</v>
      </c>
      <c r="E11" s="5">
        <v>0.2</v>
      </c>
      <c r="F11" s="5">
        <v>0</v>
      </c>
      <c r="G11" s="39">
        <f t="shared" si="0"/>
        <v>1</v>
      </c>
    </row>
    <row r="12" spans="1:7" x14ac:dyDescent="0.15">
      <c r="B12" s="2">
        <v>8</v>
      </c>
      <c r="C12" s="5">
        <v>0.3</v>
      </c>
      <c r="D12" s="5">
        <v>0.4</v>
      </c>
      <c r="E12" s="5">
        <v>0.25</v>
      </c>
      <c r="F12" s="5">
        <v>0.05</v>
      </c>
      <c r="G12" s="39">
        <f t="shared" si="0"/>
        <v>1</v>
      </c>
    </row>
    <row r="13" spans="1:7" x14ac:dyDescent="0.15">
      <c r="B13" s="2">
        <v>9</v>
      </c>
      <c r="C13" s="5">
        <v>0.2</v>
      </c>
      <c r="D13" s="5">
        <v>0.4</v>
      </c>
      <c r="E13" s="5">
        <v>0.3</v>
      </c>
      <c r="F13" s="5">
        <v>0.1</v>
      </c>
      <c r="G13" s="39">
        <f t="shared" si="0"/>
        <v>1.0000000000000002</v>
      </c>
    </row>
    <row r="14" spans="1:7" x14ac:dyDescent="0.15">
      <c r="B14" s="2">
        <v>10</v>
      </c>
      <c r="C14" s="5">
        <v>0.1</v>
      </c>
      <c r="D14" s="5">
        <v>0.4</v>
      </c>
      <c r="E14" s="5">
        <v>0.35</v>
      </c>
      <c r="F14" s="5">
        <v>0.15</v>
      </c>
      <c r="G14" s="39">
        <f t="shared" si="0"/>
        <v>1</v>
      </c>
    </row>
    <row r="15" spans="1:7" x14ac:dyDescent="0.15">
      <c r="B15" s="2">
        <v>11</v>
      </c>
      <c r="C15" s="5">
        <v>0</v>
      </c>
      <c r="D15" s="5">
        <v>0.4</v>
      </c>
      <c r="E15" s="5">
        <v>0.4</v>
      </c>
      <c r="F15" s="5">
        <v>0.2</v>
      </c>
      <c r="G15" s="39">
        <f t="shared" si="0"/>
        <v>1</v>
      </c>
    </row>
  </sheetData>
  <phoneticPr fontId="6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54"/>
  <sheetViews>
    <sheetView tabSelected="1" topLeftCell="G1" workbookViewId="0">
      <selection activeCell="K11" sqref="K11"/>
    </sheetView>
  </sheetViews>
  <sheetFormatPr defaultColWidth="9" defaultRowHeight="13.5" x14ac:dyDescent="0.15"/>
  <cols>
    <col min="1" max="2" width="19.875" style="2" customWidth="1"/>
    <col min="3" max="3" width="131" style="2" customWidth="1"/>
    <col min="4" max="4" width="34.75" style="2" customWidth="1"/>
    <col min="5" max="5" width="16.5" style="2" customWidth="1"/>
    <col min="6" max="6" width="18" style="2" customWidth="1"/>
    <col min="7" max="7" width="42" style="2" customWidth="1"/>
    <col min="8" max="11" width="36.125" style="2" customWidth="1"/>
    <col min="12" max="12" width="26.25" style="2" customWidth="1"/>
    <col min="13" max="13" width="27.25" style="2" customWidth="1"/>
    <col min="14" max="14" width="56.625" customWidth="1"/>
  </cols>
  <sheetData>
    <row r="1" spans="1:14" ht="48.95" customHeight="1" x14ac:dyDescent="0.15">
      <c r="A1" s="2" t="s">
        <v>7</v>
      </c>
      <c r="B1" s="2" t="s">
        <v>8</v>
      </c>
      <c r="D1" s="13" t="s">
        <v>9</v>
      </c>
      <c r="E1" s="13"/>
      <c r="F1" s="10" t="s">
        <v>10</v>
      </c>
      <c r="G1" s="10" t="s">
        <v>11</v>
      </c>
      <c r="H1" s="13" t="s">
        <v>12</v>
      </c>
      <c r="I1" s="13"/>
      <c r="J1" s="13"/>
      <c r="K1" s="13"/>
      <c r="L1" s="13" t="s">
        <v>13</v>
      </c>
      <c r="M1" s="13" t="s">
        <v>14</v>
      </c>
      <c r="N1" s="13" t="s">
        <v>15</v>
      </c>
    </row>
    <row r="2" spans="1:14" ht="30" customHeight="1" x14ac:dyDescent="0.15">
      <c r="A2" s="11" t="s">
        <v>316</v>
      </c>
      <c r="B2" s="2" t="s">
        <v>317</v>
      </c>
      <c r="C2" s="2" t="str">
        <f>"['"&amp;A2&amp;"']={num=20,type1 = '"&amp;RIGHT(F2,2)&amp;"',lv = "&amp;E2&amp;",art = '"&amp;B2&amp;"',attr = {"&amp;K2&amp;"}},"</f>
        <v>['霓光刀']={num=20,type1 = '武器',lv = 1,art = 'yiji1.blp',attr = {['攻击']=2000000}},</v>
      </c>
      <c r="D2" s="2" t="s">
        <v>18</v>
      </c>
      <c r="E2" s="2">
        <v>1</v>
      </c>
      <c r="F2" s="11" t="s">
        <v>19</v>
      </c>
      <c r="G2" s="40" t="s">
        <v>20</v>
      </c>
      <c r="H2" s="44" t="s">
        <v>319</v>
      </c>
      <c r="I2" s="44">
        <v>2000000</v>
      </c>
      <c r="J2" s="44"/>
      <c r="K2" s="44" t="str">
        <f>"['"&amp;RIGHT(H2,2)&amp;"']="&amp;I2</f>
        <v>['攻击']=2000000</v>
      </c>
      <c r="L2" s="41" t="s">
        <v>22</v>
      </c>
      <c r="M2" s="2" t="s">
        <v>23</v>
      </c>
      <c r="N2" s="42" t="s">
        <v>24</v>
      </c>
    </row>
    <row r="3" spans="1:14" ht="30" customHeight="1" x14ac:dyDescent="0.15">
      <c r="A3" s="1" t="s">
        <v>25</v>
      </c>
      <c r="B3" s="2" t="s">
        <v>26</v>
      </c>
      <c r="C3" s="2" t="str">
        <f>"['"&amp;A3&amp;"']={num=20,type1 = '"&amp;RIGHT(F3,2)&amp;"',lv = "&amp;E3&amp;",art = '"&amp;B3&amp;"',attr = {"&amp;K3&amp;"}},"</f>
        <v>['霓光甲']={num=20,type1 = '衣服',lv = 1,art = 'yiji2.blp',attr = {['护甲']=1000}},</v>
      </c>
      <c r="D3" s="2" t="s">
        <v>18</v>
      </c>
      <c r="E3" s="2">
        <v>1</v>
      </c>
      <c r="F3" s="11" t="s">
        <v>27</v>
      </c>
      <c r="G3" s="40" t="s">
        <v>20</v>
      </c>
      <c r="H3" s="44" t="s">
        <v>320</v>
      </c>
      <c r="I3" s="44">
        <v>1000</v>
      </c>
      <c r="J3" s="44"/>
      <c r="K3" s="44" t="str">
        <f>"['"&amp;RIGHT(H3,2)&amp;"']="&amp;I3</f>
        <v>['护甲']=1000</v>
      </c>
      <c r="L3" s="41" t="s">
        <v>22</v>
      </c>
      <c r="M3" s="2" t="s">
        <v>23</v>
      </c>
      <c r="N3" s="42" t="s">
        <v>24</v>
      </c>
    </row>
    <row r="4" spans="1:14" ht="30" customHeight="1" x14ac:dyDescent="0.15">
      <c r="A4" s="1" t="s">
        <v>29</v>
      </c>
      <c r="B4" s="2" t="s">
        <v>30</v>
      </c>
      <c r="C4" s="2" t="str">
        <f t="shared" ref="C4:C25" si="0">"['"&amp;A4&amp;"']={num=20,type1 = '"&amp;RIGHT(F4,2)&amp;"',lv = "&amp;E4&amp;",art = '"&amp;B4&amp;"',attr = {"&amp;K4&amp;"}},"</f>
        <v>['霓光面罩']={num=20,type1 = '头盔',lv = 1,art = 'yiji3.blp',attr = {['技能基础伤害']=1000000}},</v>
      </c>
      <c r="D4" s="2" t="s">
        <v>18</v>
      </c>
      <c r="E4" s="2">
        <v>1</v>
      </c>
      <c r="F4" s="11" t="s">
        <v>31</v>
      </c>
      <c r="G4" s="40" t="s">
        <v>20</v>
      </c>
      <c r="H4" s="44" t="s">
        <v>339</v>
      </c>
      <c r="I4" s="44">
        <v>1000000</v>
      </c>
      <c r="J4" s="44"/>
      <c r="K4" s="44" t="str">
        <f>"['"&amp;RIGHT(H4,6)&amp;"']="&amp;I4</f>
        <v>['技能基础伤害']=1000000</v>
      </c>
      <c r="L4" s="41" t="s">
        <v>22</v>
      </c>
      <c r="M4" s="2" t="s">
        <v>23</v>
      </c>
      <c r="N4" s="42" t="s">
        <v>24</v>
      </c>
    </row>
    <row r="5" spans="1:14" ht="30" customHeight="1" x14ac:dyDescent="0.15">
      <c r="A5" s="1" t="s">
        <v>33</v>
      </c>
      <c r="B5" s="2" t="s">
        <v>34</v>
      </c>
      <c r="C5" s="2" t="str">
        <f t="shared" si="0"/>
        <v>['霓光靴']={num=20,type1 = '鞋子',lv = 1,art = 'yiji4.blp',attr = {['移动速度']=25,['护甲']=500}},</v>
      </c>
      <c r="D5" s="2" t="s">
        <v>18</v>
      </c>
      <c r="E5" s="2">
        <v>1</v>
      </c>
      <c r="F5" s="11" t="s">
        <v>35</v>
      </c>
      <c r="G5" s="40" t="s">
        <v>20</v>
      </c>
      <c r="H5" s="45" t="s">
        <v>321</v>
      </c>
      <c r="I5" s="45">
        <v>25</v>
      </c>
      <c r="J5" s="45" t="str">
        <f>",['护甲']=500"</f>
        <v>,['护甲']=500</v>
      </c>
      <c r="K5" s="44" t="str">
        <f>"['"&amp;RIGHT(H5,4)&amp;"']="&amp;I5&amp;J5</f>
        <v>['移动速度']=25,['护甲']=500</v>
      </c>
      <c r="L5" s="41" t="s">
        <v>22</v>
      </c>
      <c r="M5" s="2" t="s">
        <v>23</v>
      </c>
      <c r="N5" s="42" t="s">
        <v>24</v>
      </c>
    </row>
    <row r="6" spans="1:14" ht="30" customHeight="1" x14ac:dyDescent="0.15">
      <c r="A6" s="1" t="s">
        <v>37</v>
      </c>
      <c r="B6" s="2" t="s">
        <v>38</v>
      </c>
      <c r="C6" s="2" t="str">
        <f t="shared" si="0"/>
        <v>['霓光腰带']={num=20,type1 = '腰带',lv = 1,art = 'yiji5.blp',attr = {['生命上限']=3000000}},</v>
      </c>
      <c r="D6" s="2" t="s">
        <v>18</v>
      </c>
      <c r="E6" s="2">
        <v>1</v>
      </c>
      <c r="F6" s="11" t="s">
        <v>39</v>
      </c>
      <c r="G6" s="40" t="s">
        <v>20</v>
      </c>
      <c r="H6" s="44" t="s">
        <v>322</v>
      </c>
      <c r="I6" s="44">
        <v>3000000</v>
      </c>
      <c r="J6" s="44"/>
      <c r="K6" s="44" t="str">
        <f>"['"&amp;RIGHT(H6,4)&amp;"']="&amp;I6</f>
        <v>['生命上限']=3000000</v>
      </c>
      <c r="L6" s="41" t="s">
        <v>22</v>
      </c>
      <c r="M6" s="2" t="s">
        <v>23</v>
      </c>
      <c r="N6" s="42" t="s">
        <v>24</v>
      </c>
    </row>
    <row r="7" spans="1:14" ht="30" customHeight="1" x14ac:dyDescent="0.15">
      <c r="A7" s="1" t="s">
        <v>41</v>
      </c>
      <c r="B7" s="2" t="s">
        <v>42</v>
      </c>
      <c r="C7" s="2" t="str">
        <f t="shared" si="0"/>
        <v>['霓光之钩']={num=20,type1 = '手套',lv = 1,art = 'yiji6.blp',attr = {['攻击速度']=25,['护甲']=500}},</v>
      </c>
      <c r="D7" s="2" t="s">
        <v>18</v>
      </c>
      <c r="E7" s="2">
        <v>1</v>
      </c>
      <c r="F7" s="11" t="s">
        <v>43</v>
      </c>
      <c r="G7" s="40" t="s">
        <v>20</v>
      </c>
      <c r="H7" s="45" t="s">
        <v>323</v>
      </c>
      <c r="I7" s="45">
        <v>25</v>
      </c>
      <c r="J7" s="45" t="str">
        <f>",['护甲']=500"</f>
        <v>,['护甲']=500</v>
      </c>
      <c r="K7" s="44" t="str">
        <f>"['"&amp;RIGHT(H7,4)&amp;"']="&amp;I7&amp;J7</f>
        <v>['攻击速度']=25,['护甲']=500</v>
      </c>
      <c r="L7" s="41" t="s">
        <v>22</v>
      </c>
      <c r="M7" s="2" t="s">
        <v>23</v>
      </c>
      <c r="N7" s="42" t="s">
        <v>24</v>
      </c>
    </row>
    <row r="8" spans="1:14" ht="30" customHeight="1" x14ac:dyDescent="0.15">
      <c r="A8" s="1" t="s">
        <v>45</v>
      </c>
      <c r="B8" s="2" t="s">
        <v>46</v>
      </c>
      <c r="C8" s="2" t="str">
        <f t="shared" si="0"/>
        <v>['血腥三月镰']={num=20,type1 = '武器',lv = 2,art = 'erji1.blp',attr = {['攻击']=4000000}},</v>
      </c>
      <c r="D8" s="2" t="s">
        <v>18</v>
      </c>
      <c r="E8" s="2">
        <v>2</v>
      </c>
      <c r="F8" s="11" t="s">
        <v>47</v>
      </c>
      <c r="G8" s="40" t="s">
        <v>20</v>
      </c>
      <c r="H8" s="44" t="s">
        <v>324</v>
      </c>
      <c r="I8" s="44">
        <v>4000000</v>
      </c>
      <c r="J8" s="44"/>
      <c r="K8" s="44" t="str">
        <f>"['"&amp;RIGHT(H8,2)&amp;"']="&amp;I8</f>
        <v>['攻击']=4000000</v>
      </c>
      <c r="L8" s="41" t="s">
        <v>22</v>
      </c>
      <c r="M8" s="2" t="s">
        <v>23</v>
      </c>
      <c r="N8" s="42" t="s">
        <v>24</v>
      </c>
    </row>
    <row r="9" spans="1:14" ht="30" customHeight="1" x14ac:dyDescent="0.15">
      <c r="A9" s="1" t="s">
        <v>49</v>
      </c>
      <c r="B9" s="2" t="s">
        <v>50</v>
      </c>
      <c r="C9" s="2" t="str">
        <f t="shared" si="0"/>
        <v>['血腥三月甲']={num=20,type1 = '衣服',lv = 2,art = 'erji2.blp',attr = {['护甲']=2000}},</v>
      </c>
      <c r="D9" s="2" t="s">
        <v>18</v>
      </c>
      <c r="E9" s="2">
        <v>2</v>
      </c>
      <c r="F9" s="11" t="s">
        <v>51</v>
      </c>
      <c r="G9" s="40" t="s">
        <v>20</v>
      </c>
      <c r="H9" s="44" t="s">
        <v>325</v>
      </c>
      <c r="I9" s="44">
        <v>2000</v>
      </c>
      <c r="J9" s="44"/>
      <c r="K9" s="44" t="str">
        <f>"['"&amp;RIGHT(H9,2)&amp;"']="&amp;I9</f>
        <v>['护甲']=2000</v>
      </c>
      <c r="L9" s="41" t="s">
        <v>22</v>
      </c>
      <c r="M9" s="2" t="s">
        <v>23</v>
      </c>
      <c r="N9" s="42" t="s">
        <v>24</v>
      </c>
    </row>
    <row r="10" spans="1:14" ht="30" customHeight="1" x14ac:dyDescent="0.15">
      <c r="A10" s="1" t="s">
        <v>53</v>
      </c>
      <c r="B10" s="2" t="s">
        <v>54</v>
      </c>
      <c r="C10" s="2" t="str">
        <f t="shared" si="0"/>
        <v>['血腥三月面罩']={num=20,type1 = '头盔',lv = 2,art = 'erji3.blp',attr = {['技能基础伤害']=2000000}},</v>
      </c>
      <c r="D10" s="2" t="s">
        <v>18</v>
      </c>
      <c r="E10" s="2">
        <v>2</v>
      </c>
      <c r="F10" s="11" t="s">
        <v>55</v>
      </c>
      <c r="G10" s="40" t="s">
        <v>20</v>
      </c>
      <c r="H10" s="44" t="s">
        <v>340</v>
      </c>
      <c r="I10" s="44">
        <v>2000000</v>
      </c>
      <c r="J10" s="44"/>
      <c r="K10" s="44" t="str">
        <f>"['"&amp;RIGHT(H10,6)&amp;"']="&amp;I10</f>
        <v>['技能基础伤害']=2000000</v>
      </c>
      <c r="L10" s="41" t="s">
        <v>22</v>
      </c>
      <c r="M10" s="2" t="s">
        <v>23</v>
      </c>
      <c r="N10" s="42" t="s">
        <v>24</v>
      </c>
    </row>
    <row r="11" spans="1:14" ht="30" customHeight="1" x14ac:dyDescent="0.15">
      <c r="A11" s="1" t="s">
        <v>57</v>
      </c>
      <c r="B11" s="2" t="s">
        <v>58</v>
      </c>
      <c r="C11" s="2" t="str">
        <f t="shared" si="0"/>
        <v>['血腥三月鞋']={num=20,type1 = '鞋子',lv = 2,art = 'erji4.blp',attr = {['移动速度']=50,['护甲']=1000}},</v>
      </c>
      <c r="D11" s="2" t="s">
        <v>18</v>
      </c>
      <c r="E11" s="2">
        <v>2</v>
      </c>
      <c r="F11" s="11" t="s">
        <v>59</v>
      </c>
      <c r="G11" s="40" t="s">
        <v>20</v>
      </c>
      <c r="H11" s="45" t="s">
        <v>326</v>
      </c>
      <c r="I11" s="45">
        <v>50</v>
      </c>
      <c r="J11" s="45" t="str">
        <f>",['护甲']=1000"</f>
        <v>,['护甲']=1000</v>
      </c>
      <c r="K11" s="44" t="str">
        <f>"['"&amp;RIGHT(H11,4)&amp;"']="&amp;I11&amp;J11</f>
        <v>['移动速度']=50,['护甲']=1000</v>
      </c>
      <c r="L11" s="41" t="s">
        <v>22</v>
      </c>
      <c r="M11" s="2" t="s">
        <v>23</v>
      </c>
      <c r="N11" s="42" t="s">
        <v>24</v>
      </c>
    </row>
    <row r="12" spans="1:14" ht="30" customHeight="1" x14ac:dyDescent="0.15">
      <c r="A12" s="1" t="s">
        <v>61</v>
      </c>
      <c r="B12" s="2" t="s">
        <v>62</v>
      </c>
      <c r="C12" s="2" t="str">
        <f t="shared" si="0"/>
        <v>['血腥三月腰带']={num=20,type1 = '腰带',lv = 2,art = 'erji5.blp',attr = {['生命上限']=6000000}},</v>
      </c>
      <c r="D12" s="2" t="s">
        <v>18</v>
      </c>
      <c r="E12" s="2">
        <v>2</v>
      </c>
      <c r="F12" s="11" t="s">
        <v>63</v>
      </c>
      <c r="G12" s="40" t="s">
        <v>20</v>
      </c>
      <c r="H12" s="44" t="s">
        <v>327</v>
      </c>
      <c r="I12" s="44">
        <v>6000000</v>
      </c>
      <c r="J12" s="44"/>
      <c r="K12" s="44" t="str">
        <f>"['"&amp;RIGHT(H12,4)&amp;"']="&amp;I12</f>
        <v>['生命上限']=6000000</v>
      </c>
      <c r="L12" s="41" t="s">
        <v>22</v>
      </c>
      <c r="M12" s="2" t="s">
        <v>23</v>
      </c>
      <c r="N12" s="42" t="s">
        <v>24</v>
      </c>
    </row>
    <row r="13" spans="1:14" ht="30" customHeight="1" x14ac:dyDescent="0.15">
      <c r="A13" s="1" t="s">
        <v>65</v>
      </c>
      <c r="B13" s="2" t="s">
        <v>66</v>
      </c>
      <c r="C13" s="2" t="str">
        <f t="shared" si="0"/>
        <v>['血腥三月护手']={num=20,type1 = '手套',lv = 2,art = 'erji6.blp',attr = {['攻击速度']=50,['护甲']=1000}},</v>
      </c>
      <c r="D13" s="2" t="s">
        <v>18</v>
      </c>
      <c r="E13" s="2">
        <v>2</v>
      </c>
      <c r="F13" s="11" t="s">
        <v>67</v>
      </c>
      <c r="G13" s="40" t="s">
        <v>20</v>
      </c>
      <c r="H13" s="45" t="s">
        <v>328</v>
      </c>
      <c r="I13" s="45">
        <v>50</v>
      </c>
      <c r="J13" s="45" t="str">
        <f>",['护甲']=1000"</f>
        <v>,['护甲']=1000</v>
      </c>
      <c r="K13" s="44" t="str">
        <f>"['"&amp;RIGHT(H13,4)&amp;"']="&amp;I13&amp;J13</f>
        <v>['攻击速度']=50,['护甲']=1000</v>
      </c>
      <c r="L13" s="41" t="s">
        <v>22</v>
      </c>
      <c r="M13" s="2" t="s">
        <v>23</v>
      </c>
      <c r="N13" s="42" t="s">
        <v>24</v>
      </c>
    </row>
    <row r="14" spans="1:14" ht="30" customHeight="1" x14ac:dyDescent="0.15">
      <c r="A14" s="1" t="s">
        <v>69</v>
      </c>
      <c r="B14" s="2" t="s">
        <v>70</v>
      </c>
      <c r="C14" s="2" t="str">
        <f t="shared" si="0"/>
        <v>['银霜法杖']={num=20,type1 = '武器',lv = 3,art = 'sanji1.blp',attr = {['攻击']=8000000}},</v>
      </c>
      <c r="D14" s="2" t="s">
        <v>18</v>
      </c>
      <c r="E14" s="2">
        <v>3</v>
      </c>
      <c r="F14" s="11" t="s">
        <v>71</v>
      </c>
      <c r="G14" s="40" t="s">
        <v>20</v>
      </c>
      <c r="H14" s="44" t="s">
        <v>329</v>
      </c>
      <c r="I14" s="44">
        <v>8000000</v>
      </c>
      <c r="J14" s="44"/>
      <c r="K14" s="44" t="str">
        <f>"['"&amp;RIGHT(H14,2)&amp;"']="&amp;I14</f>
        <v>['攻击']=8000000</v>
      </c>
      <c r="L14" s="41" t="s">
        <v>22</v>
      </c>
      <c r="M14" s="2" t="s">
        <v>23</v>
      </c>
      <c r="N14" s="42" t="s">
        <v>24</v>
      </c>
    </row>
    <row r="15" spans="1:14" ht="30" customHeight="1" x14ac:dyDescent="0.15">
      <c r="A15" s="1" t="s">
        <v>73</v>
      </c>
      <c r="B15" s="2" t="s">
        <v>74</v>
      </c>
      <c r="C15" s="2" t="str">
        <f t="shared" si="0"/>
        <v>['银霜甲']={num=20,type1 = '衣服',lv = 3,art = 'sanji2.blp',attr = {['护甲']=4000}},</v>
      </c>
      <c r="D15" s="2" t="s">
        <v>18</v>
      </c>
      <c r="E15" s="2">
        <v>3</v>
      </c>
      <c r="F15" s="11" t="s">
        <v>75</v>
      </c>
      <c r="G15" s="40" t="s">
        <v>20</v>
      </c>
      <c r="H15" s="44" t="s">
        <v>330</v>
      </c>
      <c r="I15" s="44">
        <v>4000</v>
      </c>
      <c r="J15" s="44"/>
      <c r="K15" s="44" t="str">
        <f>"['"&amp;RIGHT(H15,2)&amp;"']="&amp;I15</f>
        <v>['护甲']=4000</v>
      </c>
      <c r="L15" s="41" t="s">
        <v>22</v>
      </c>
      <c r="M15" s="2" t="s">
        <v>23</v>
      </c>
      <c r="N15" s="42" t="s">
        <v>24</v>
      </c>
    </row>
    <row r="16" spans="1:14" ht="30" customHeight="1" x14ac:dyDescent="0.15">
      <c r="A16" s="1" t="s">
        <v>77</v>
      </c>
      <c r="B16" s="2" t="s">
        <v>78</v>
      </c>
      <c r="C16" s="2" t="str">
        <f t="shared" si="0"/>
        <v>['银霜头盔']={num=20,type1 = '头盔',lv = 3,art = 'sanji3.blp',attr = {['技能基础伤害']=4000000}},</v>
      </c>
      <c r="D16" s="2" t="s">
        <v>18</v>
      </c>
      <c r="E16" s="2">
        <v>3</v>
      </c>
      <c r="F16" s="11" t="s">
        <v>79</v>
      </c>
      <c r="G16" s="40" t="s">
        <v>20</v>
      </c>
      <c r="H16" s="44" t="s">
        <v>341</v>
      </c>
      <c r="I16" s="44">
        <v>4000000</v>
      </c>
      <c r="J16" s="44"/>
      <c r="K16" s="44" t="str">
        <f>"['"&amp;RIGHT(H16,6)&amp;"']="&amp;I16</f>
        <v>['技能基础伤害']=4000000</v>
      </c>
      <c r="L16" s="41" t="s">
        <v>22</v>
      </c>
      <c r="M16" s="2" t="s">
        <v>23</v>
      </c>
      <c r="N16" s="42" t="s">
        <v>24</v>
      </c>
    </row>
    <row r="17" spans="1:14" ht="30" customHeight="1" x14ac:dyDescent="0.15">
      <c r="A17" s="1" t="s">
        <v>81</v>
      </c>
      <c r="B17" s="2" t="s">
        <v>82</v>
      </c>
      <c r="C17" s="2" t="str">
        <f t="shared" si="0"/>
        <v>['银霜鞋']={num=20,type1 = '鞋子',lv = 3,art = 'sanji4.blp',attr = {['移动速度']=100,['护甲']=2000}},</v>
      </c>
      <c r="D17" s="2" t="s">
        <v>18</v>
      </c>
      <c r="E17" s="2">
        <v>3</v>
      </c>
      <c r="F17" s="11" t="s">
        <v>83</v>
      </c>
      <c r="G17" s="40" t="s">
        <v>20</v>
      </c>
      <c r="H17" s="45" t="s">
        <v>331</v>
      </c>
      <c r="I17" s="45">
        <v>100</v>
      </c>
      <c r="J17" s="45" t="str">
        <f>",['护甲']=2000"</f>
        <v>,['护甲']=2000</v>
      </c>
      <c r="K17" s="44" t="str">
        <f>"['"&amp;RIGHT(H17,4)&amp;"']="&amp;I17&amp;J17</f>
        <v>['移动速度']=100,['护甲']=2000</v>
      </c>
      <c r="L17" s="41" t="s">
        <v>22</v>
      </c>
      <c r="M17" s="2" t="s">
        <v>23</v>
      </c>
      <c r="N17" s="42" t="s">
        <v>24</v>
      </c>
    </row>
    <row r="18" spans="1:14" ht="30" customHeight="1" x14ac:dyDescent="0.15">
      <c r="A18" s="1" t="s">
        <v>85</v>
      </c>
      <c r="B18" s="2" t="s">
        <v>86</v>
      </c>
      <c r="C18" s="2" t="str">
        <f t="shared" si="0"/>
        <v>['银霜腰带']={num=20,type1 = '腰带',lv = 3,art = 'sanji5.blp',attr = {['生命上限']=12000000}},</v>
      </c>
      <c r="D18" s="2" t="s">
        <v>18</v>
      </c>
      <c r="E18" s="2">
        <v>3</v>
      </c>
      <c r="F18" s="11" t="s">
        <v>87</v>
      </c>
      <c r="G18" s="40" t="s">
        <v>20</v>
      </c>
      <c r="H18" s="44" t="s">
        <v>332</v>
      </c>
      <c r="I18" s="44">
        <v>12000000</v>
      </c>
      <c r="J18" s="44"/>
      <c r="K18" s="44" t="str">
        <f>"['"&amp;RIGHT(H18,4)&amp;"']="&amp;I18</f>
        <v>['生命上限']=12000000</v>
      </c>
      <c r="L18" s="41" t="s">
        <v>22</v>
      </c>
      <c r="M18" s="2" t="s">
        <v>23</v>
      </c>
      <c r="N18" s="42" t="s">
        <v>24</v>
      </c>
    </row>
    <row r="19" spans="1:14" ht="30" customHeight="1" x14ac:dyDescent="0.15">
      <c r="A19" s="1" t="s">
        <v>89</v>
      </c>
      <c r="B19" s="2" t="s">
        <v>90</v>
      </c>
      <c r="C19" s="2" t="str">
        <f t="shared" si="0"/>
        <v>['银霜护手']={num=20,type1 = '手套',lv = 3,art = 'sanji6.blp',attr = {['攻击速度']=100,['护甲']=2000}},</v>
      </c>
      <c r="D19" s="2" t="s">
        <v>18</v>
      </c>
      <c r="E19" s="2">
        <v>3</v>
      </c>
      <c r="F19" s="11" t="s">
        <v>91</v>
      </c>
      <c r="G19" s="40" t="s">
        <v>20</v>
      </c>
      <c r="H19" s="45" t="s">
        <v>333</v>
      </c>
      <c r="I19" s="45">
        <v>100</v>
      </c>
      <c r="J19" s="45" t="str">
        <f>",['护甲']=2000"</f>
        <v>,['护甲']=2000</v>
      </c>
      <c r="K19" s="44" t="str">
        <f>"['"&amp;RIGHT(H19,4)&amp;"']="&amp;I19&amp;J19</f>
        <v>['攻击速度']=100,['护甲']=2000</v>
      </c>
      <c r="L19" s="41" t="s">
        <v>22</v>
      </c>
      <c r="M19" s="2" t="s">
        <v>23</v>
      </c>
      <c r="N19" s="42" t="s">
        <v>24</v>
      </c>
    </row>
    <row r="20" spans="1:14" ht="30" customHeight="1" x14ac:dyDescent="0.15">
      <c r="A20" s="1" t="s">
        <v>93</v>
      </c>
      <c r="B20" s="2" t="s">
        <v>94</v>
      </c>
      <c r="C20" s="2" t="str">
        <f t="shared" si="0"/>
        <v>['菲普斯的法杖']={num=20,type1 = '武器',lv = 4,art = 'siji1.blp',attr = {['攻击']=16000000}},</v>
      </c>
      <c r="D20" s="2" t="s">
        <v>18</v>
      </c>
      <c r="E20" s="2">
        <v>4</v>
      </c>
      <c r="F20" s="11" t="s">
        <v>95</v>
      </c>
      <c r="G20" s="40" t="s">
        <v>20</v>
      </c>
      <c r="H20" s="44" t="s">
        <v>334</v>
      </c>
      <c r="I20" s="44">
        <v>16000000</v>
      </c>
      <c r="J20" s="44"/>
      <c r="K20" s="44" t="str">
        <f>"['"&amp;RIGHT(H20,2)&amp;"']="&amp;I20</f>
        <v>['攻击']=16000000</v>
      </c>
      <c r="L20" s="41" t="s">
        <v>22</v>
      </c>
      <c r="M20" s="2" t="s">
        <v>23</v>
      </c>
      <c r="N20" s="42" t="s">
        <v>24</v>
      </c>
    </row>
    <row r="21" spans="1:14" ht="30" customHeight="1" x14ac:dyDescent="0.15">
      <c r="A21" s="1" t="s">
        <v>97</v>
      </c>
      <c r="B21" s="2" t="s">
        <v>98</v>
      </c>
      <c r="C21" s="2" t="str">
        <f t="shared" si="0"/>
        <v>['菲普斯的战甲']={num=20,type1 = '衣服',lv = 4,art = 'siji2.blp',attr = {['护甲']=8000}},</v>
      </c>
      <c r="D21" s="2" t="s">
        <v>18</v>
      </c>
      <c r="E21" s="2">
        <v>4</v>
      </c>
      <c r="F21" s="11" t="s">
        <v>99</v>
      </c>
      <c r="G21" s="40" t="s">
        <v>20</v>
      </c>
      <c r="H21" s="44" t="s">
        <v>335</v>
      </c>
      <c r="I21" s="44">
        <v>8000</v>
      </c>
      <c r="J21" s="44"/>
      <c r="K21" s="44" t="str">
        <f>"['"&amp;RIGHT(H21,2)&amp;"']="&amp;I21</f>
        <v>['护甲']=8000</v>
      </c>
      <c r="L21" s="41" t="s">
        <v>22</v>
      </c>
      <c r="M21" s="2" t="s">
        <v>23</v>
      </c>
      <c r="N21" s="42" t="s">
        <v>24</v>
      </c>
    </row>
    <row r="22" spans="1:14" ht="30" customHeight="1" x14ac:dyDescent="0.15">
      <c r="A22" s="1" t="s">
        <v>101</v>
      </c>
      <c r="B22" s="2" t="s">
        <v>102</v>
      </c>
      <c r="C22" s="2" t="str">
        <f t="shared" si="0"/>
        <v>['菲普斯的面具']={num=20,type1 = '头盔',lv = 4,art = 'siji3.blp',attr = {['技能基础伤害']=8000000}},</v>
      </c>
      <c r="D22" s="2" t="s">
        <v>18</v>
      </c>
      <c r="E22" s="2">
        <v>4</v>
      </c>
      <c r="F22" s="11" t="s">
        <v>103</v>
      </c>
      <c r="G22" s="40" t="s">
        <v>20</v>
      </c>
      <c r="H22" s="44" t="s">
        <v>342</v>
      </c>
      <c r="I22" s="44">
        <v>8000000</v>
      </c>
      <c r="J22" s="44"/>
      <c r="K22" s="44" t="str">
        <f>"['"&amp;RIGHT(H22,6)&amp;"']="&amp;I22</f>
        <v>['技能基础伤害']=8000000</v>
      </c>
      <c r="L22" s="41" t="s">
        <v>22</v>
      </c>
      <c r="M22" s="2" t="s">
        <v>23</v>
      </c>
      <c r="N22" s="42" t="s">
        <v>24</v>
      </c>
    </row>
    <row r="23" spans="1:14" ht="30" customHeight="1" x14ac:dyDescent="0.15">
      <c r="A23" s="1" t="s">
        <v>105</v>
      </c>
      <c r="B23" s="2" t="s">
        <v>106</v>
      </c>
      <c r="C23" s="2" t="str">
        <f t="shared" si="0"/>
        <v>['菲普斯的鞋子']={num=20,type1 = '鞋子',lv = 4,art = 'siji4.blp',attr = {['移动速度']=200,['护甲']=4000}},</v>
      </c>
      <c r="D23" s="2" t="s">
        <v>18</v>
      </c>
      <c r="E23" s="2">
        <v>4</v>
      </c>
      <c r="F23" s="11" t="s">
        <v>107</v>
      </c>
      <c r="G23" s="40" t="s">
        <v>20</v>
      </c>
      <c r="H23" s="45" t="s">
        <v>336</v>
      </c>
      <c r="I23" s="45">
        <v>200</v>
      </c>
      <c r="J23" s="45" t="str">
        <f>",['护甲']=4000"</f>
        <v>,['护甲']=4000</v>
      </c>
      <c r="K23" s="44" t="str">
        <f>"['"&amp;RIGHT(H23,4)&amp;"']="&amp;I23&amp;J23</f>
        <v>['移动速度']=200,['护甲']=4000</v>
      </c>
      <c r="L23" s="41" t="s">
        <v>22</v>
      </c>
      <c r="M23" s="2" t="s">
        <v>23</v>
      </c>
      <c r="N23" s="42" t="s">
        <v>24</v>
      </c>
    </row>
    <row r="24" spans="1:14" ht="30" customHeight="1" x14ac:dyDescent="0.15">
      <c r="A24" s="1" t="s">
        <v>109</v>
      </c>
      <c r="B24" s="2" t="s">
        <v>110</v>
      </c>
      <c r="C24" s="2" t="str">
        <f t="shared" si="0"/>
        <v>['菲普斯的护腰']={num=20,type1 = '腰带',lv = 4,art = 'siji5.blp',attr = {['生命上限']=24000000}},</v>
      </c>
      <c r="D24" s="2" t="s">
        <v>18</v>
      </c>
      <c r="E24" s="2">
        <v>4</v>
      </c>
      <c r="F24" s="11" t="s">
        <v>111</v>
      </c>
      <c r="G24" s="40" t="s">
        <v>20</v>
      </c>
      <c r="H24" s="44" t="s">
        <v>337</v>
      </c>
      <c r="I24" s="44">
        <v>24000000</v>
      </c>
      <c r="J24" s="44"/>
      <c r="K24" s="44" t="str">
        <f>"['"&amp;RIGHT(H24,4)&amp;"']="&amp;I24</f>
        <v>['生命上限']=24000000</v>
      </c>
      <c r="L24" s="41" t="s">
        <v>22</v>
      </c>
      <c r="M24" s="2" t="s">
        <v>23</v>
      </c>
      <c r="N24" s="42" t="s">
        <v>24</v>
      </c>
    </row>
    <row r="25" spans="1:14" ht="30" customHeight="1" x14ac:dyDescent="0.15">
      <c r="A25" s="1" t="s">
        <v>113</v>
      </c>
      <c r="B25" s="2" t="s">
        <v>114</v>
      </c>
      <c r="C25" s="2" t="str">
        <f t="shared" si="0"/>
        <v>['菲普斯的护手']={num=20,type1 = '手套',lv = 4,art = 'siji6.blp',attr = {['攻击速度']=200,['护甲']=4000}},</v>
      </c>
      <c r="D25" s="2" t="s">
        <v>18</v>
      </c>
      <c r="E25" s="2">
        <v>4</v>
      </c>
      <c r="F25" s="11" t="s">
        <v>115</v>
      </c>
      <c r="G25" s="40" t="s">
        <v>20</v>
      </c>
      <c r="H25" s="45" t="s">
        <v>338</v>
      </c>
      <c r="I25" s="45">
        <v>200</v>
      </c>
      <c r="J25" s="45" t="str">
        <f>",['护甲']=4000"</f>
        <v>,['护甲']=4000</v>
      </c>
      <c r="K25" s="44" t="str">
        <f>"['"&amp;RIGHT(H25,4)&amp;"']="&amp;I25&amp;J25</f>
        <v>['攻击速度']=200,['护甲']=4000</v>
      </c>
      <c r="L25" s="41" t="s">
        <v>22</v>
      </c>
      <c r="M25" s="2" t="s">
        <v>23</v>
      </c>
      <c r="N25" s="42" t="s">
        <v>24</v>
      </c>
    </row>
    <row r="27" spans="1:14" x14ac:dyDescent="0.15">
      <c r="J27" s="45"/>
    </row>
    <row r="37" spans="8:12" x14ac:dyDescent="0.15">
      <c r="H37" s="5"/>
      <c r="I37" s="5"/>
      <c r="J37" s="5"/>
      <c r="K37" s="5"/>
      <c r="L37" s="5"/>
    </row>
    <row r="38" spans="8:12" x14ac:dyDescent="0.15">
      <c r="H38" s="5"/>
      <c r="I38" s="5"/>
      <c r="J38" s="5"/>
      <c r="K38" s="5"/>
      <c r="L38" s="5"/>
    </row>
    <row r="39" spans="8:12" x14ac:dyDescent="0.15">
      <c r="H39" s="5"/>
      <c r="I39" s="5"/>
      <c r="J39" s="5"/>
      <c r="K39" s="5"/>
      <c r="L39" s="5"/>
    </row>
    <row r="40" spans="8:12" x14ac:dyDescent="0.15">
      <c r="H40" s="5"/>
      <c r="I40" s="5"/>
      <c r="J40" s="5"/>
      <c r="K40" s="5"/>
      <c r="L40" s="5"/>
    </row>
    <row r="41" spans="8:12" x14ac:dyDescent="0.15">
      <c r="H41" s="5"/>
      <c r="I41" s="5"/>
      <c r="J41" s="5"/>
      <c r="K41" s="5"/>
      <c r="L41" s="5"/>
    </row>
    <row r="42" spans="8:12" x14ac:dyDescent="0.15">
      <c r="H42" s="5"/>
      <c r="I42" s="5"/>
      <c r="J42" s="5"/>
      <c r="K42" s="5"/>
      <c r="L42" s="5"/>
    </row>
    <row r="43" spans="8:12" x14ac:dyDescent="0.15">
      <c r="H43" s="5"/>
      <c r="I43" s="5"/>
      <c r="J43" s="5"/>
      <c r="K43" s="5"/>
      <c r="L43" s="5"/>
    </row>
    <row r="44" spans="8:12" x14ac:dyDescent="0.15">
      <c r="H44" s="5"/>
      <c r="I44" s="5"/>
      <c r="J44" s="5"/>
      <c r="K44" s="5"/>
      <c r="L44" s="5"/>
    </row>
    <row r="45" spans="8:12" x14ac:dyDescent="0.15">
      <c r="H45" s="5"/>
      <c r="I45" s="5"/>
      <c r="J45" s="5"/>
      <c r="K45" s="5"/>
      <c r="L45" s="5"/>
    </row>
    <row r="46" spans="8:12" x14ac:dyDescent="0.15">
      <c r="H46" s="5"/>
      <c r="I46" s="5"/>
      <c r="J46" s="5"/>
      <c r="K46" s="5"/>
      <c r="L46" s="5"/>
    </row>
    <row r="47" spans="8:12" x14ac:dyDescent="0.15">
      <c r="H47" s="5"/>
      <c r="I47" s="5"/>
      <c r="J47" s="5"/>
      <c r="K47" s="5"/>
      <c r="L47" s="5"/>
    </row>
    <row r="51" spans="8:12" x14ac:dyDescent="0.15">
      <c r="H51" s="5"/>
      <c r="I51" s="5"/>
      <c r="J51" s="5"/>
      <c r="K51" s="5"/>
      <c r="L51" s="5"/>
    </row>
    <row r="52" spans="8:12" x14ac:dyDescent="0.15">
      <c r="H52" s="5"/>
      <c r="I52" s="5"/>
      <c r="J52" s="5"/>
      <c r="K52" s="5"/>
      <c r="L52" s="5"/>
    </row>
    <row r="53" spans="8:12" x14ac:dyDescent="0.15">
      <c r="H53" s="5"/>
      <c r="I53" s="5"/>
      <c r="J53" s="5"/>
      <c r="K53" s="5"/>
      <c r="L53" s="5"/>
    </row>
    <row r="54" spans="8:12" x14ac:dyDescent="0.15">
      <c r="H54" s="5"/>
      <c r="I54" s="5"/>
      <c r="J54" s="5"/>
      <c r="K54" s="5"/>
      <c r="L54" s="5"/>
    </row>
  </sheetData>
  <phoneticPr fontId="6" type="noConversion"/>
  <conditionalFormatting sqref="H1:L1">
    <cfRule type="duplicateValues" dxfId="67" priority="15"/>
  </conditionalFormatting>
  <conditionalFormatting sqref="M1">
    <cfRule type="duplicateValues" dxfId="66" priority="2"/>
  </conditionalFormatting>
  <conditionalFormatting sqref="N1">
    <cfRule type="duplicateValues" dxfId="65" priority="1"/>
  </conditionalFormatting>
  <conditionalFormatting sqref="A26:A31">
    <cfRule type="duplicateValues" dxfId="64" priority="10"/>
  </conditionalFormatting>
  <conditionalFormatting sqref="A32:A37">
    <cfRule type="duplicateValues" dxfId="63" priority="9"/>
  </conditionalFormatting>
  <conditionalFormatting sqref="A38:A43">
    <cfRule type="duplicateValues" dxfId="62" priority="8"/>
  </conditionalFormatting>
  <conditionalFormatting sqref="A44:A49">
    <cfRule type="duplicateValues" dxfId="61" priority="7"/>
  </conditionalFormatting>
  <conditionalFormatting sqref="A50:A61">
    <cfRule type="duplicateValues" dxfId="60" priority="17"/>
  </conditionalFormatting>
  <conditionalFormatting sqref="A62:A67">
    <cfRule type="duplicateValues" dxfId="59" priority="6"/>
  </conditionalFormatting>
  <conditionalFormatting sqref="A68:A73">
    <cfRule type="duplicateValues" dxfId="58" priority="5"/>
  </conditionalFormatting>
  <conditionalFormatting sqref="A74:A85">
    <cfRule type="duplicateValues" dxfId="57" priority="16"/>
  </conditionalFormatting>
  <conditionalFormatting sqref="A86:A91">
    <cfRule type="duplicateValues" dxfId="56" priority="4"/>
  </conditionalFormatting>
  <conditionalFormatting sqref="A92:A97">
    <cfRule type="duplicateValues" dxfId="55" priority="3"/>
  </conditionalFormatting>
  <conditionalFormatting sqref="F2:F7">
    <cfRule type="duplicateValues" dxfId="54" priority="14"/>
  </conditionalFormatting>
  <conditionalFormatting sqref="F8:F13">
    <cfRule type="duplicateValues" dxfId="53" priority="13"/>
  </conditionalFormatting>
  <conditionalFormatting sqref="F14:F19">
    <cfRule type="duplicateValues" dxfId="52" priority="12"/>
  </conditionalFormatting>
  <conditionalFormatting sqref="F20:F25">
    <cfRule type="duplicateValues" dxfId="51" priority="11"/>
  </conditionalFormatting>
  <conditionalFormatting sqref="A98:A1048576 A1">
    <cfRule type="duplicateValues" dxfId="50" priority="18"/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H13"/>
  <sheetViews>
    <sheetView topLeftCell="B1" workbookViewId="0">
      <selection activeCell="F17" sqref="F17"/>
    </sheetView>
  </sheetViews>
  <sheetFormatPr defaultColWidth="9" defaultRowHeight="13.5" x14ac:dyDescent="0.15"/>
  <cols>
    <col min="2" max="4" width="9" style="39"/>
    <col min="5" max="5" width="19.875" customWidth="1"/>
    <col min="6" max="6" width="16.75" customWidth="1"/>
    <col min="7" max="7" width="20.375" customWidth="1"/>
  </cols>
  <sheetData>
    <row r="2" spans="3:8" x14ac:dyDescent="0.15">
      <c r="C2" s="2" t="s">
        <v>11</v>
      </c>
      <c r="D2" s="2" t="s">
        <v>117</v>
      </c>
      <c r="E2" s="39" t="s">
        <v>118</v>
      </c>
      <c r="F2" s="39" t="s">
        <v>119</v>
      </c>
      <c r="G2" s="39" t="s">
        <v>120</v>
      </c>
    </row>
    <row r="3" spans="3:8" x14ac:dyDescent="0.15">
      <c r="C3" s="2" t="s">
        <v>121</v>
      </c>
      <c r="D3" s="5">
        <v>0.65</v>
      </c>
      <c r="E3" s="2" t="s">
        <v>122</v>
      </c>
      <c r="F3" s="39">
        <v>1</v>
      </c>
      <c r="G3" s="39">
        <v>0</v>
      </c>
    </row>
    <row r="4" spans="3:8" x14ac:dyDescent="0.15">
      <c r="C4" s="2" t="s">
        <v>123</v>
      </c>
      <c r="D4" s="5">
        <v>0.25</v>
      </c>
      <c r="E4" s="14" t="s">
        <v>124</v>
      </c>
      <c r="F4" s="39">
        <v>0.6</v>
      </c>
      <c r="G4" s="39">
        <v>3</v>
      </c>
    </row>
    <row r="5" spans="3:8" x14ac:dyDescent="0.15">
      <c r="C5" s="2" t="s">
        <v>125</v>
      </c>
      <c r="D5" s="5">
        <v>0.08</v>
      </c>
      <c r="E5" s="14" t="s">
        <v>126</v>
      </c>
      <c r="F5" s="39">
        <v>0.5</v>
      </c>
      <c r="G5" s="39">
        <v>6</v>
      </c>
    </row>
    <row r="6" spans="3:8" x14ac:dyDescent="0.15">
      <c r="C6" s="2" t="s">
        <v>127</v>
      </c>
      <c r="D6" s="5">
        <v>0.02</v>
      </c>
      <c r="E6" s="14" t="s">
        <v>128</v>
      </c>
      <c r="F6" s="39">
        <v>0.45</v>
      </c>
      <c r="G6" s="39">
        <v>9</v>
      </c>
    </row>
    <row r="7" spans="3:8" x14ac:dyDescent="0.15">
      <c r="C7" s="39" t="s">
        <v>6</v>
      </c>
      <c r="D7" s="39">
        <f>D3+D4+D5+D6</f>
        <v>1</v>
      </c>
      <c r="E7" s="39"/>
      <c r="F7" s="39"/>
      <c r="G7" s="39"/>
    </row>
    <row r="8" spans="3:8" x14ac:dyDescent="0.15">
      <c r="E8" s="39"/>
      <c r="F8" s="39"/>
      <c r="G8" s="39"/>
    </row>
    <row r="9" spans="3:8" x14ac:dyDescent="0.15">
      <c r="F9" s="2"/>
      <c r="G9" s="2"/>
      <c r="H9" s="2"/>
    </row>
    <row r="10" spans="3:8" x14ac:dyDescent="0.15">
      <c r="F10" s="2"/>
      <c r="G10" s="2"/>
      <c r="H10" s="2"/>
    </row>
    <row r="11" spans="3:8" x14ac:dyDescent="0.15">
      <c r="F11" s="2"/>
      <c r="G11" s="14"/>
      <c r="H11" s="2"/>
    </row>
    <row r="12" spans="3:8" x14ac:dyDescent="0.15">
      <c r="E12">
        <v>2.5</v>
      </c>
      <c r="F12" s="2"/>
      <c r="G12" s="14"/>
      <c r="H12" s="2"/>
    </row>
    <row r="13" spans="3:8" x14ac:dyDescent="0.15">
      <c r="F13" s="2"/>
      <c r="G13" s="14"/>
      <c r="H13" s="2"/>
    </row>
  </sheetData>
  <phoneticPr fontId="6" type="noConversion"/>
  <conditionalFormatting sqref="F9:H9">
    <cfRule type="duplicateValues" dxfId="49" priority="1"/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2:F54"/>
  <sheetViews>
    <sheetView workbookViewId="0">
      <selection activeCell="F6" sqref="F6"/>
    </sheetView>
  </sheetViews>
  <sheetFormatPr defaultColWidth="9" defaultRowHeight="13.5" x14ac:dyDescent="0.15"/>
  <cols>
    <col min="2" max="2" width="19.875" style="25" customWidth="1"/>
    <col min="3" max="3" width="13.125" style="25" customWidth="1"/>
    <col min="6" max="6" width="22.5" customWidth="1"/>
  </cols>
  <sheetData>
    <row r="2" spans="2:6" x14ac:dyDescent="0.15">
      <c r="B2" s="25" t="s">
        <v>129</v>
      </c>
      <c r="C2" s="25" t="s">
        <v>130</v>
      </c>
    </row>
    <row r="3" spans="2:6" x14ac:dyDescent="0.15">
      <c r="B3" s="26" t="s">
        <v>131</v>
      </c>
      <c r="C3" s="27">
        <v>0.1</v>
      </c>
      <c r="E3" s="46" t="s">
        <v>318</v>
      </c>
      <c r="F3" t="str">
        <f>"['"&amp;B3&amp;"']"&amp;"= "&amp;C3&amp;","</f>
        <v>['杀敌数加成']= 0.1,</v>
      </c>
    </row>
    <row r="4" spans="2:6" x14ac:dyDescent="0.15">
      <c r="B4" s="26" t="s">
        <v>132</v>
      </c>
      <c r="C4" s="27">
        <v>0.1</v>
      </c>
      <c r="F4" t="str">
        <f t="shared" ref="F4:F54" si="0">"['"&amp;B4&amp;"']"&amp;"= "&amp;C4&amp;","</f>
        <v>['木头加成']= 0.1,</v>
      </c>
    </row>
    <row r="5" spans="2:6" x14ac:dyDescent="0.15">
      <c r="B5" s="27" t="s">
        <v>133</v>
      </c>
      <c r="C5" s="27">
        <v>0.1</v>
      </c>
      <c r="F5" t="str">
        <f t="shared" si="0"/>
        <v>['魔丸加成']= 0.1,</v>
      </c>
    </row>
    <row r="6" spans="2:6" x14ac:dyDescent="0.15">
      <c r="B6" s="27" t="s">
        <v>134</v>
      </c>
      <c r="C6" s="27">
        <v>0.1</v>
      </c>
      <c r="F6" t="str">
        <f t="shared" si="0"/>
        <v>['物品获取率']= 0.1,</v>
      </c>
    </row>
    <row r="7" spans="2:6" x14ac:dyDescent="0.15">
      <c r="B7" s="28" t="s">
        <v>135</v>
      </c>
      <c r="C7" s="27">
        <v>0.1</v>
      </c>
      <c r="F7" t="str">
        <f t="shared" si="0"/>
        <v>['吸血']= 0.1,</v>
      </c>
    </row>
    <row r="8" spans="2:6" x14ac:dyDescent="0.15">
      <c r="B8" s="26" t="s">
        <v>136</v>
      </c>
      <c r="C8" s="27">
        <v>2.5000000000000001E-2</v>
      </c>
      <c r="F8" t="str">
        <f t="shared" si="0"/>
        <v>['暴击几率']= 0.025,</v>
      </c>
    </row>
    <row r="9" spans="2:6" x14ac:dyDescent="0.15">
      <c r="B9" s="26" t="s">
        <v>137</v>
      </c>
      <c r="C9" s="27">
        <v>2.5000000000000001E-2</v>
      </c>
      <c r="F9" t="str">
        <f t="shared" si="0"/>
        <v>['技暴几率']= 0.025,</v>
      </c>
    </row>
    <row r="10" spans="2:6" x14ac:dyDescent="0.15">
      <c r="B10" s="26" t="s">
        <v>138</v>
      </c>
      <c r="C10" s="27">
        <v>0.5</v>
      </c>
      <c r="F10" t="str">
        <f t="shared" si="0"/>
        <v>['暴击伤害']= 0.5,</v>
      </c>
    </row>
    <row r="11" spans="2:6" x14ac:dyDescent="0.15">
      <c r="B11" s="26" t="s">
        <v>139</v>
      </c>
      <c r="C11" s="27">
        <v>0.5</v>
      </c>
      <c r="F11" t="str">
        <f t="shared" si="0"/>
        <v>['技暴伤害']= 0.5,</v>
      </c>
    </row>
    <row r="12" spans="2:6" x14ac:dyDescent="0.15">
      <c r="B12" s="26" t="s">
        <v>140</v>
      </c>
      <c r="C12" s="27">
        <v>7.4999999999999997E-2</v>
      </c>
      <c r="F12" t="str">
        <f t="shared" si="0"/>
        <v>['全伤加深']= 0.075,</v>
      </c>
    </row>
    <row r="13" spans="2:6" x14ac:dyDescent="0.15">
      <c r="B13" s="27" t="s">
        <v>141</v>
      </c>
      <c r="C13" s="27">
        <v>2.5000000000000001E-2</v>
      </c>
      <c r="F13" t="str">
        <f t="shared" si="0"/>
        <v>['减伤']= 0.025,</v>
      </c>
    </row>
    <row r="14" spans="2:6" x14ac:dyDescent="0.15">
      <c r="B14" s="27" t="s">
        <v>142</v>
      </c>
      <c r="C14" s="27">
        <v>2.5000000000000001E-2</v>
      </c>
      <c r="F14" t="str">
        <f t="shared" si="0"/>
        <v>['免伤几率']= 0.025,</v>
      </c>
    </row>
    <row r="15" spans="2:6" x14ac:dyDescent="0.15">
      <c r="B15" s="27" t="s">
        <v>143</v>
      </c>
      <c r="C15" s="27">
        <v>2.5000000000000001E-2</v>
      </c>
      <c r="F15" t="str">
        <f t="shared" si="0"/>
        <v>['闪避']= 0.025,</v>
      </c>
    </row>
    <row r="16" spans="2:6" x14ac:dyDescent="0.15">
      <c r="B16" s="29" t="s">
        <v>144</v>
      </c>
      <c r="C16" s="27">
        <v>0.05</v>
      </c>
      <c r="F16" t="str">
        <f t="shared" si="0"/>
        <v>['每秒回血']= 0.05,</v>
      </c>
    </row>
    <row r="17" spans="2:6" x14ac:dyDescent="0.15">
      <c r="B17" s="29" t="s">
        <v>145</v>
      </c>
      <c r="C17" s="27">
        <v>0.05</v>
      </c>
      <c r="F17" t="str">
        <f t="shared" si="0"/>
        <v>['触发概率加成']= 0.05,</v>
      </c>
    </row>
    <row r="18" spans="2:6" x14ac:dyDescent="0.15">
      <c r="B18" s="29" t="s">
        <v>146</v>
      </c>
      <c r="C18" s="27">
        <v>0.05</v>
      </c>
      <c r="F18" t="str">
        <f t="shared" si="0"/>
        <v>['技能冷却']= 0.05,</v>
      </c>
    </row>
    <row r="19" spans="2:6" x14ac:dyDescent="0.15">
      <c r="B19" s="30" t="s">
        <v>147</v>
      </c>
      <c r="C19" s="30">
        <v>0.25</v>
      </c>
      <c r="F19" t="str">
        <f t="shared" si="0"/>
        <v>['攻击速度']= 0.25,</v>
      </c>
    </row>
    <row r="20" spans="2:6" x14ac:dyDescent="0.15">
      <c r="B20" s="30" t="s">
        <v>148</v>
      </c>
      <c r="C20" s="30">
        <v>0.2</v>
      </c>
      <c r="F20" t="str">
        <f t="shared" si="0"/>
        <v>['分裂伤害']= 0.2,</v>
      </c>
    </row>
    <row r="21" spans="2:6" x14ac:dyDescent="0.15">
      <c r="B21" s="30" t="s">
        <v>149</v>
      </c>
      <c r="C21" s="30">
        <v>0.15</v>
      </c>
      <c r="F21" t="str">
        <f t="shared" si="0"/>
        <v>['物理伤害加深']= 0.15,</v>
      </c>
    </row>
    <row r="22" spans="2:6" x14ac:dyDescent="0.15">
      <c r="B22" s="30" t="s">
        <v>150</v>
      </c>
      <c r="C22" s="30">
        <v>0.15</v>
      </c>
      <c r="F22" t="str">
        <f t="shared" si="0"/>
        <v>['技能伤害加深']= 0.15,</v>
      </c>
    </row>
    <row r="23" spans="2:6" x14ac:dyDescent="0.15">
      <c r="B23" s="30" t="s">
        <v>151</v>
      </c>
      <c r="C23" s="30">
        <v>7.4999999999999997E-2</v>
      </c>
      <c r="F23" t="str">
        <f t="shared" si="0"/>
        <v>['对BOSS额外伤害']= 0.075,</v>
      </c>
    </row>
    <row r="24" spans="2:6" x14ac:dyDescent="0.15">
      <c r="B24" s="31" t="s">
        <v>152</v>
      </c>
      <c r="C24" s="31">
        <v>500000</v>
      </c>
      <c r="F24" t="str">
        <f t="shared" si="0"/>
        <v>['全属性']= 500000,</v>
      </c>
    </row>
    <row r="25" spans="2:6" x14ac:dyDescent="0.15">
      <c r="B25" s="32" t="s">
        <v>153</v>
      </c>
      <c r="C25" s="31">
        <v>20</v>
      </c>
      <c r="F25" t="str">
        <f t="shared" si="0"/>
        <v>['杀怪加全属性']= 20,</v>
      </c>
    </row>
    <row r="26" spans="2:6" x14ac:dyDescent="0.15">
      <c r="B26" s="32" t="s">
        <v>154</v>
      </c>
      <c r="C26" s="31">
        <v>120</v>
      </c>
      <c r="F26" t="str">
        <f t="shared" si="0"/>
        <v>['攻击加全属性']= 120,</v>
      </c>
    </row>
    <row r="27" spans="2:6" x14ac:dyDescent="0.15">
      <c r="B27" s="32" t="s">
        <v>155</v>
      </c>
      <c r="C27" s="31">
        <v>400</v>
      </c>
      <c r="F27" t="str">
        <f t="shared" si="0"/>
        <v>['每秒加全属性']= 400,</v>
      </c>
    </row>
    <row r="28" spans="2:6" x14ac:dyDescent="0.15">
      <c r="B28" s="31" t="s">
        <v>156</v>
      </c>
      <c r="C28" s="31">
        <v>1000000</v>
      </c>
      <c r="F28" t="str">
        <f t="shared" si="0"/>
        <v>['力量']= 1000000,</v>
      </c>
    </row>
    <row r="29" spans="2:6" x14ac:dyDescent="0.15">
      <c r="B29" s="32" t="s">
        <v>157</v>
      </c>
      <c r="C29" s="31">
        <v>40</v>
      </c>
      <c r="F29" t="str">
        <f t="shared" si="0"/>
        <v>['杀怪加力量']= 40,</v>
      </c>
    </row>
    <row r="30" spans="2:6" x14ac:dyDescent="0.15">
      <c r="B30" s="32" t="s">
        <v>158</v>
      </c>
      <c r="C30" s="31">
        <v>240</v>
      </c>
      <c r="F30" t="str">
        <f t="shared" si="0"/>
        <v>['攻击加力量']= 240,</v>
      </c>
    </row>
    <row r="31" spans="2:6" x14ac:dyDescent="0.15">
      <c r="B31" s="32" t="s">
        <v>159</v>
      </c>
      <c r="C31" s="31">
        <v>800</v>
      </c>
      <c r="F31" t="str">
        <f t="shared" si="0"/>
        <v>['每秒加力量']= 800,</v>
      </c>
    </row>
    <row r="32" spans="2:6" x14ac:dyDescent="0.15">
      <c r="B32" s="31" t="s">
        <v>160</v>
      </c>
      <c r="C32" s="31">
        <v>1000000</v>
      </c>
      <c r="F32" t="str">
        <f t="shared" si="0"/>
        <v>['敏捷']= 1000000,</v>
      </c>
    </row>
    <row r="33" spans="2:6" x14ac:dyDescent="0.15">
      <c r="B33" s="32" t="s">
        <v>161</v>
      </c>
      <c r="C33" s="31">
        <v>40</v>
      </c>
      <c r="F33" t="str">
        <f t="shared" si="0"/>
        <v>['杀怪加敏捷']= 40,</v>
      </c>
    </row>
    <row r="34" spans="2:6" x14ac:dyDescent="0.15">
      <c r="B34" s="32" t="s">
        <v>162</v>
      </c>
      <c r="C34" s="31">
        <v>240</v>
      </c>
      <c r="F34" t="str">
        <f t="shared" si="0"/>
        <v>['攻击加敏捷']= 240,</v>
      </c>
    </row>
    <row r="35" spans="2:6" x14ac:dyDescent="0.15">
      <c r="B35" s="32" t="s">
        <v>163</v>
      </c>
      <c r="C35" s="31">
        <v>800</v>
      </c>
      <c r="F35" t="str">
        <f t="shared" si="0"/>
        <v>['每秒加敏捷']= 800,</v>
      </c>
    </row>
    <row r="36" spans="2:6" x14ac:dyDescent="0.15">
      <c r="B36" s="31" t="s">
        <v>164</v>
      </c>
      <c r="C36" s="31">
        <v>1000000</v>
      </c>
      <c r="F36" t="str">
        <f t="shared" si="0"/>
        <v>['智力']= 1000000,</v>
      </c>
    </row>
    <row r="37" spans="2:6" x14ac:dyDescent="0.15">
      <c r="B37" s="32" t="s">
        <v>165</v>
      </c>
      <c r="C37" s="31">
        <v>40</v>
      </c>
      <c r="F37" t="str">
        <f t="shared" si="0"/>
        <v>['杀怪加智力']= 40,</v>
      </c>
    </row>
    <row r="38" spans="2:6" x14ac:dyDescent="0.15">
      <c r="B38" s="32" t="s">
        <v>166</v>
      </c>
      <c r="C38" s="31">
        <v>240</v>
      </c>
      <c r="F38" t="str">
        <f t="shared" si="0"/>
        <v>['攻击加智力']= 240,</v>
      </c>
    </row>
    <row r="39" spans="2:6" x14ac:dyDescent="0.15">
      <c r="B39" s="32" t="s">
        <v>167</v>
      </c>
      <c r="C39" s="31">
        <v>800</v>
      </c>
      <c r="F39" t="str">
        <f t="shared" si="0"/>
        <v>['每秒加智力']= 800,</v>
      </c>
    </row>
    <row r="40" spans="2:6" x14ac:dyDescent="0.15">
      <c r="B40" s="31" t="s">
        <v>168</v>
      </c>
      <c r="C40" s="31">
        <v>2000000</v>
      </c>
      <c r="F40" t="str">
        <f t="shared" si="0"/>
        <v>['攻击']= 2000000,</v>
      </c>
    </row>
    <row r="41" spans="2:6" x14ac:dyDescent="0.15">
      <c r="B41" s="32" t="s">
        <v>169</v>
      </c>
      <c r="C41" s="31">
        <v>80</v>
      </c>
      <c r="F41" t="str">
        <f t="shared" si="0"/>
        <v>['杀怪加攻击']= 80,</v>
      </c>
    </row>
    <row r="42" spans="2:6" x14ac:dyDescent="0.15">
      <c r="B42" s="32" t="s">
        <v>170</v>
      </c>
      <c r="C42" s="31">
        <v>1600</v>
      </c>
      <c r="F42" t="str">
        <f t="shared" si="0"/>
        <v>['每秒加攻击']= 1600,</v>
      </c>
    </row>
    <row r="43" spans="2:6" x14ac:dyDescent="0.15">
      <c r="B43" s="31" t="s">
        <v>171</v>
      </c>
      <c r="C43" s="31">
        <v>1000</v>
      </c>
      <c r="F43" t="str">
        <f t="shared" si="0"/>
        <v>['护甲']= 1000,</v>
      </c>
    </row>
    <row r="44" spans="2:6" x14ac:dyDescent="0.15">
      <c r="B44" s="33" t="s">
        <v>172</v>
      </c>
      <c r="C44" s="34">
        <v>1</v>
      </c>
      <c r="F44" t="str">
        <f t="shared" si="0"/>
        <v>['每秒加护甲']= 1,</v>
      </c>
    </row>
    <row r="45" spans="2:6" x14ac:dyDescent="0.15">
      <c r="B45" s="32" t="s">
        <v>173</v>
      </c>
      <c r="C45" s="31">
        <v>35</v>
      </c>
      <c r="F45" t="str">
        <f t="shared" si="0"/>
        <v>['攻击减甲']= 35,</v>
      </c>
    </row>
    <row r="46" spans="2:6" x14ac:dyDescent="0.15">
      <c r="B46" s="35" t="s">
        <v>174</v>
      </c>
      <c r="C46" s="36">
        <v>-0.03</v>
      </c>
      <c r="F46" t="str">
        <f t="shared" si="0"/>
        <v>['攻击间隔']= -0.03,</v>
      </c>
    </row>
    <row r="47" spans="2:6" x14ac:dyDescent="0.15">
      <c r="B47" s="32" t="s">
        <v>175</v>
      </c>
      <c r="C47" s="37">
        <v>350000</v>
      </c>
      <c r="F47" t="str">
        <f t="shared" si="0"/>
        <v>['生命恢复']= 350000,</v>
      </c>
    </row>
    <row r="48" spans="2:6" x14ac:dyDescent="0.15">
      <c r="B48" s="38" t="s">
        <v>176</v>
      </c>
      <c r="C48" s="37">
        <v>350000</v>
      </c>
      <c r="F48" t="str">
        <f t="shared" si="0"/>
        <v>['攻击回血']= 350000,</v>
      </c>
    </row>
    <row r="49" spans="2:6" x14ac:dyDescent="0.15">
      <c r="B49" s="32" t="s">
        <v>177</v>
      </c>
      <c r="C49" s="37">
        <v>350000</v>
      </c>
      <c r="F49" t="str">
        <f t="shared" si="0"/>
        <v>['杀怪回血']= 350000,</v>
      </c>
    </row>
    <row r="50" spans="2:6" x14ac:dyDescent="0.15">
      <c r="B50" s="31" t="s">
        <v>178</v>
      </c>
      <c r="C50" s="31">
        <v>200</v>
      </c>
      <c r="F50" t="str">
        <f t="shared" si="0"/>
        <v>['减少周围护甲']= 200,</v>
      </c>
    </row>
    <row r="51" spans="2:6" x14ac:dyDescent="0.15">
      <c r="B51" s="32" t="s">
        <v>179</v>
      </c>
      <c r="C51" s="37">
        <v>350000</v>
      </c>
      <c r="F51" t="str">
        <f t="shared" si="0"/>
        <v>['伤害减少']= 350000,</v>
      </c>
    </row>
    <row r="52" spans="2:6" x14ac:dyDescent="0.15">
      <c r="B52" s="32" t="s">
        <v>180</v>
      </c>
      <c r="C52" s="31">
        <v>25</v>
      </c>
      <c r="F52" t="str">
        <f t="shared" si="0"/>
        <v>['攻击距离']= 25,</v>
      </c>
    </row>
    <row r="53" spans="2:6" x14ac:dyDescent="0.15">
      <c r="B53" s="32" t="s">
        <v>181</v>
      </c>
      <c r="C53" s="31">
        <v>25</v>
      </c>
      <c r="F53" t="str">
        <f t="shared" si="0"/>
        <v>['移动速度']= 25,</v>
      </c>
    </row>
    <row r="54" spans="2:6" x14ac:dyDescent="0.15">
      <c r="B54" s="32" t="s">
        <v>182</v>
      </c>
      <c r="C54" s="31">
        <v>1</v>
      </c>
      <c r="F54" t="str">
        <f t="shared" si="0"/>
        <v>['多重射']= 1,</v>
      </c>
    </row>
  </sheetData>
  <phoneticPr fontId="6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X99"/>
  <sheetViews>
    <sheetView zoomScale="85" zoomScaleNormal="85" workbookViewId="0">
      <pane ySplit="3" topLeftCell="A73" activePane="bottomLeft" state="frozen"/>
      <selection pane="bottomLeft" activeCell="E99" sqref="E99"/>
    </sheetView>
  </sheetViews>
  <sheetFormatPr defaultColWidth="9" defaultRowHeight="13.5" x14ac:dyDescent="0.15"/>
  <cols>
    <col min="1" max="1" width="23.25" style="1" customWidth="1"/>
    <col min="2" max="2" width="17.75" style="1" customWidth="1"/>
    <col min="3" max="3" width="19.25" style="2" customWidth="1"/>
    <col min="4" max="4" width="12.875" style="3" customWidth="1"/>
    <col min="5" max="5" width="48.25" style="2" customWidth="1"/>
    <col min="6" max="7" width="19.875" style="2" customWidth="1"/>
    <col min="8" max="8" width="20.75" style="2" customWidth="1"/>
    <col min="9" max="9" width="18" style="2" customWidth="1"/>
    <col min="10" max="10" width="36.125" style="2" customWidth="1"/>
    <col min="11" max="13" width="18" style="2" customWidth="1"/>
    <col min="14" max="14" width="9" style="2" customWidth="1"/>
    <col min="15" max="15" width="27.25" style="2" customWidth="1"/>
    <col min="16" max="19" width="9.75" style="2" customWidth="1"/>
    <col min="20" max="20" width="11.375" style="4" customWidth="1"/>
    <col min="21" max="22" width="11.625" style="4" customWidth="1"/>
    <col min="23" max="23" width="12.5" style="4" customWidth="1"/>
    <col min="24" max="24" width="9" style="4"/>
    <col min="25" max="25" width="12.125" style="4" customWidth="1"/>
    <col min="26" max="26" width="15.375" style="4" customWidth="1"/>
    <col min="27" max="27" width="16.125" style="4" customWidth="1"/>
    <col min="28" max="29" width="15.125" style="4" customWidth="1"/>
    <col min="30" max="33" width="10.25" style="4" customWidth="1"/>
    <col min="34" max="34" width="18.125" style="4" customWidth="1"/>
    <col min="35" max="35" width="10.25" style="4" customWidth="1"/>
    <col min="36" max="36" width="10.375" style="5"/>
    <col min="37" max="37" width="9" style="5"/>
    <col min="38" max="39" width="11.75" style="5" customWidth="1"/>
    <col min="40" max="40" width="17" style="5" customWidth="1"/>
    <col min="41" max="41" width="6" style="5" customWidth="1"/>
    <col min="42" max="44" width="5.875" style="5" customWidth="1"/>
    <col min="45" max="45" width="6.5" style="1" customWidth="1"/>
    <col min="46" max="46" width="13.75" style="6"/>
    <col min="47" max="53" width="13.625" style="6" customWidth="1"/>
    <col min="54" max="65" width="13.625" style="7" customWidth="1"/>
    <col min="66" max="66" width="13.625" style="8" customWidth="1"/>
    <col min="67" max="67" width="21.75" style="6" customWidth="1"/>
    <col min="68" max="68" width="13.625" style="9" customWidth="1"/>
    <col min="69" max="69" width="12.5" style="7" customWidth="1"/>
    <col min="70" max="71" width="13.75" style="6"/>
    <col min="72" max="72" width="14.125" style="6" customWidth="1"/>
    <col min="73" max="73" width="13.75" style="6"/>
    <col min="74" max="75" width="9.375" style="6"/>
    <col min="76" max="76" width="9" style="6"/>
    <col min="77" max="16384" width="9" style="1"/>
  </cols>
  <sheetData>
    <row r="1" spans="1:76" x14ac:dyDescent="0.15">
      <c r="B1" s="2" t="s">
        <v>183</v>
      </c>
      <c r="C1" s="2" t="s">
        <v>183</v>
      </c>
      <c r="D1" s="2" t="s">
        <v>183</v>
      </c>
      <c r="E1" s="2" t="s">
        <v>183</v>
      </c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7"/>
      <c r="AI1" s="15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20"/>
      <c r="BP1" s="21"/>
      <c r="BQ1" s="6"/>
    </row>
    <row r="2" spans="1:76" x14ac:dyDescent="0.15">
      <c r="A2" s="1" t="s">
        <v>184</v>
      </c>
      <c r="B2" s="10" t="s">
        <v>185</v>
      </c>
      <c r="C2" s="2" t="s">
        <v>9</v>
      </c>
      <c r="D2" s="3" t="s">
        <v>11</v>
      </c>
      <c r="E2" s="2" t="s">
        <v>8</v>
      </c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7"/>
      <c r="AI2" s="17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20"/>
      <c r="BP2" s="21"/>
      <c r="BQ2" s="19"/>
      <c r="BR2" s="22"/>
      <c r="BX2" s="19" t="s">
        <v>186</v>
      </c>
    </row>
    <row r="3" spans="1:76" ht="41.1" customHeight="1" x14ac:dyDescent="0.15">
      <c r="A3" s="10" t="s">
        <v>187</v>
      </c>
      <c r="B3" s="10" t="s">
        <v>188</v>
      </c>
      <c r="C3" s="2" t="s">
        <v>189</v>
      </c>
      <c r="D3" s="10" t="s">
        <v>190</v>
      </c>
      <c r="E3" s="2" t="s">
        <v>191</v>
      </c>
      <c r="F3" s="2" t="s">
        <v>7</v>
      </c>
      <c r="G3" s="2" t="s">
        <v>8</v>
      </c>
      <c r="H3" s="2" t="s">
        <v>192</v>
      </c>
      <c r="I3" s="10" t="s">
        <v>185</v>
      </c>
      <c r="J3" s="13" t="s">
        <v>12</v>
      </c>
      <c r="K3" s="2" t="s">
        <v>193</v>
      </c>
      <c r="M3" s="2" t="s">
        <v>194</v>
      </c>
      <c r="N3" s="2" t="s">
        <v>195</v>
      </c>
      <c r="O3" s="2" t="s">
        <v>196</v>
      </c>
      <c r="P3" s="2" t="s">
        <v>197</v>
      </c>
      <c r="Q3" s="2" t="s">
        <v>198</v>
      </c>
      <c r="R3" s="2" t="s">
        <v>199</v>
      </c>
      <c r="T3" s="15" t="s">
        <v>131</v>
      </c>
      <c r="U3" s="15" t="s">
        <v>132</v>
      </c>
      <c r="V3" s="4" t="s">
        <v>133</v>
      </c>
      <c r="W3" s="4" t="s">
        <v>134</v>
      </c>
      <c r="X3" s="16" t="s">
        <v>135</v>
      </c>
      <c r="Y3" s="15" t="s">
        <v>136</v>
      </c>
      <c r="Z3" s="15" t="s">
        <v>137</v>
      </c>
      <c r="AA3" s="15" t="s">
        <v>138</v>
      </c>
      <c r="AB3" s="15" t="s">
        <v>139</v>
      </c>
      <c r="AC3" s="15" t="s">
        <v>140</v>
      </c>
      <c r="AD3" s="4" t="s">
        <v>141</v>
      </c>
      <c r="AE3" s="4" t="s">
        <v>142</v>
      </c>
      <c r="AF3" s="4" t="s">
        <v>143</v>
      </c>
      <c r="AG3" s="18" t="s">
        <v>144</v>
      </c>
      <c r="AH3" s="18" t="s">
        <v>145</v>
      </c>
      <c r="AI3" s="18" t="s">
        <v>146</v>
      </c>
      <c r="AJ3" s="5" t="s">
        <v>147</v>
      </c>
      <c r="AK3" s="5" t="s">
        <v>148</v>
      </c>
      <c r="AL3" s="5" t="s">
        <v>149</v>
      </c>
      <c r="AM3" s="5" t="s">
        <v>150</v>
      </c>
      <c r="AN3" s="5" t="s">
        <v>151</v>
      </c>
      <c r="AT3" s="6" t="s">
        <v>152</v>
      </c>
      <c r="AU3" s="19" t="s">
        <v>153</v>
      </c>
      <c r="AV3" s="19" t="s">
        <v>154</v>
      </c>
      <c r="AW3" s="19" t="s">
        <v>155</v>
      </c>
      <c r="AX3" s="6" t="s">
        <v>156</v>
      </c>
      <c r="AY3" s="19" t="s">
        <v>157</v>
      </c>
      <c r="AZ3" s="19" t="s">
        <v>158</v>
      </c>
      <c r="BA3" s="19" t="s">
        <v>159</v>
      </c>
      <c r="BB3" s="6" t="s">
        <v>160</v>
      </c>
      <c r="BC3" s="19" t="s">
        <v>161</v>
      </c>
      <c r="BD3" s="19" t="s">
        <v>162</v>
      </c>
      <c r="BE3" s="19" t="s">
        <v>163</v>
      </c>
      <c r="BF3" s="6" t="s">
        <v>164</v>
      </c>
      <c r="BG3" s="19" t="s">
        <v>165</v>
      </c>
      <c r="BH3" s="19" t="s">
        <v>166</v>
      </c>
      <c r="BI3" s="19" t="s">
        <v>167</v>
      </c>
      <c r="BJ3" s="6" t="s">
        <v>168</v>
      </c>
      <c r="BK3" s="19" t="s">
        <v>169</v>
      </c>
      <c r="BL3" s="19" t="s">
        <v>170</v>
      </c>
      <c r="BM3" s="6" t="s">
        <v>171</v>
      </c>
      <c r="BN3" s="20" t="s">
        <v>172</v>
      </c>
      <c r="BO3" s="19" t="s">
        <v>173</v>
      </c>
      <c r="BP3" s="23" t="s">
        <v>174</v>
      </c>
      <c r="BQ3" s="19" t="s">
        <v>175</v>
      </c>
      <c r="BR3" s="24" t="s">
        <v>176</v>
      </c>
      <c r="BS3" s="19" t="s">
        <v>177</v>
      </c>
      <c r="BT3" s="6" t="s">
        <v>178</v>
      </c>
      <c r="BU3" s="19" t="s">
        <v>179</v>
      </c>
      <c r="BV3" s="19" t="s">
        <v>180</v>
      </c>
      <c r="BW3" s="19" t="s">
        <v>181</v>
      </c>
      <c r="BX3" s="19" t="s">
        <v>182</v>
      </c>
    </row>
    <row r="4" spans="1:76" ht="20.100000000000001" customHeight="1" x14ac:dyDescent="0.15">
      <c r="A4" s="1" t="s">
        <v>16</v>
      </c>
      <c r="B4" s="11" t="s">
        <v>200</v>
      </c>
      <c r="C4" s="2">
        <v>0</v>
      </c>
      <c r="D4" s="12" t="s">
        <v>121</v>
      </c>
      <c r="E4" s="2" t="s">
        <v>17</v>
      </c>
      <c r="F4" s="1" t="s">
        <v>16</v>
      </c>
      <c r="G4" s="2" t="s">
        <v>17</v>
      </c>
      <c r="H4" s="2">
        <v>0</v>
      </c>
      <c r="I4" s="11" t="s">
        <v>19</v>
      </c>
      <c r="J4" s="44" t="s">
        <v>21</v>
      </c>
      <c r="K4" s="2">
        <v>100</v>
      </c>
      <c r="M4" s="2" t="s">
        <v>201</v>
      </c>
      <c r="N4" s="2" t="s">
        <v>202</v>
      </c>
      <c r="O4" s="2">
        <v>100</v>
      </c>
      <c r="P4" s="2">
        <f t="shared" ref="P4:P19" si="0">(Q4+R4)/2</f>
        <v>50</v>
      </c>
      <c r="Q4" s="2">
        <f>O4*0</f>
        <v>0</v>
      </c>
      <c r="R4" s="2">
        <f>O4*1</f>
        <v>100</v>
      </c>
      <c r="T4" s="4">
        <v>0.1</v>
      </c>
      <c r="U4" s="4">
        <v>0.1</v>
      </c>
      <c r="V4" s="4">
        <v>0.1</v>
      </c>
      <c r="W4" s="4">
        <v>0.1</v>
      </c>
      <c r="X4" s="4">
        <v>0.1</v>
      </c>
      <c r="Y4" s="4">
        <v>2.5000000000000001E-2</v>
      </c>
      <c r="Z4" s="4">
        <v>2.5000000000000001E-2</v>
      </c>
      <c r="AA4" s="4">
        <v>0.5</v>
      </c>
      <c r="AB4" s="4">
        <v>0.5</v>
      </c>
      <c r="AC4" s="4">
        <v>7.4999999999999997E-2</v>
      </c>
      <c r="AD4" s="4">
        <v>2.5000000000000001E-2</v>
      </c>
      <c r="AE4" s="4">
        <v>2.5000000000000001E-2</v>
      </c>
      <c r="AF4" s="4">
        <v>2.5000000000000001E-2</v>
      </c>
      <c r="AG4" s="4">
        <v>0.05</v>
      </c>
      <c r="AH4" s="4">
        <v>0.05</v>
      </c>
      <c r="AI4" s="4">
        <v>0.05</v>
      </c>
      <c r="AJ4" s="5">
        <v>0.25</v>
      </c>
      <c r="AK4" s="5">
        <v>0.2</v>
      </c>
      <c r="AL4" s="5">
        <v>0.15</v>
      </c>
      <c r="AM4" s="5">
        <v>0.15</v>
      </c>
      <c r="AN4" s="5">
        <v>7.4999999999999997E-2</v>
      </c>
      <c r="AT4" s="6">
        <v>500000</v>
      </c>
      <c r="AU4" s="6">
        <v>20</v>
      </c>
      <c r="AV4" s="6">
        <v>120</v>
      </c>
      <c r="AW4" s="6">
        <v>400</v>
      </c>
      <c r="AX4" s="6">
        <v>1000000</v>
      </c>
      <c r="AY4" s="6">
        <v>40</v>
      </c>
      <c r="AZ4" s="6">
        <v>240</v>
      </c>
      <c r="BA4" s="6">
        <v>800</v>
      </c>
      <c r="BB4" s="6">
        <v>1000000</v>
      </c>
      <c r="BC4" s="6">
        <v>40</v>
      </c>
      <c r="BD4" s="6">
        <v>240</v>
      </c>
      <c r="BE4" s="6">
        <v>800</v>
      </c>
      <c r="BF4" s="6">
        <v>1000000</v>
      </c>
      <c r="BG4" s="6">
        <v>40</v>
      </c>
      <c r="BH4" s="6">
        <v>240</v>
      </c>
      <c r="BI4" s="6">
        <v>800</v>
      </c>
      <c r="BJ4" s="6">
        <v>2000000</v>
      </c>
      <c r="BK4" s="6">
        <v>80</v>
      </c>
      <c r="BL4" s="6">
        <v>1600</v>
      </c>
      <c r="BM4" s="6">
        <v>1000</v>
      </c>
      <c r="BN4" s="8">
        <v>1</v>
      </c>
      <c r="BO4" s="6">
        <v>35</v>
      </c>
      <c r="BP4" s="9">
        <v>-0.03</v>
      </c>
      <c r="BQ4" s="7">
        <v>350000</v>
      </c>
      <c r="BR4" s="7">
        <v>350000</v>
      </c>
      <c r="BS4" s="7">
        <v>350000</v>
      </c>
      <c r="BT4" s="6">
        <v>200</v>
      </c>
      <c r="BU4" s="7">
        <v>350000</v>
      </c>
      <c r="BV4" s="6">
        <v>25</v>
      </c>
      <c r="BW4" s="6">
        <v>25</v>
      </c>
      <c r="BX4" s="6">
        <v>1</v>
      </c>
    </row>
    <row r="5" spans="1:76" ht="20.100000000000001" customHeight="1" x14ac:dyDescent="0.15">
      <c r="A5" s="1" t="s">
        <v>25</v>
      </c>
      <c r="B5" s="11" t="s">
        <v>203</v>
      </c>
      <c r="C5" s="2">
        <v>0</v>
      </c>
      <c r="D5" s="12" t="s">
        <v>121</v>
      </c>
      <c r="E5" s="2" t="s">
        <v>26</v>
      </c>
      <c r="F5" s="1" t="s">
        <v>25</v>
      </c>
      <c r="G5" s="2" t="s">
        <v>26</v>
      </c>
      <c r="H5" s="2">
        <v>0</v>
      </c>
      <c r="I5" s="11" t="s">
        <v>27</v>
      </c>
      <c r="J5" s="44" t="s">
        <v>28</v>
      </c>
      <c r="K5" s="2">
        <v>100</v>
      </c>
      <c r="M5" s="2" t="s">
        <v>204</v>
      </c>
      <c r="N5" s="14" t="s">
        <v>205</v>
      </c>
      <c r="O5" s="2">
        <f>O4*0.6</f>
        <v>60</v>
      </c>
      <c r="P5" s="2">
        <f t="shared" si="0"/>
        <v>150</v>
      </c>
      <c r="Q5" s="2">
        <f>O5*2</f>
        <v>120</v>
      </c>
      <c r="R5" s="2">
        <f>O5*3</f>
        <v>180</v>
      </c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</row>
    <row r="6" spans="1:76" ht="20.100000000000001" customHeight="1" x14ac:dyDescent="0.15">
      <c r="A6" s="1" t="s">
        <v>29</v>
      </c>
      <c r="B6" s="11" t="s">
        <v>206</v>
      </c>
      <c r="C6" s="2">
        <v>0</v>
      </c>
      <c r="D6" s="12" t="s">
        <v>121</v>
      </c>
      <c r="E6" s="2" t="s">
        <v>30</v>
      </c>
      <c r="F6" s="1" t="s">
        <v>29</v>
      </c>
      <c r="G6" s="2" t="s">
        <v>30</v>
      </c>
      <c r="H6" s="2">
        <v>0</v>
      </c>
      <c r="I6" s="11" t="s">
        <v>31</v>
      </c>
      <c r="J6" s="44" t="s">
        <v>32</v>
      </c>
      <c r="K6" s="2">
        <v>100</v>
      </c>
      <c r="M6" s="2" t="s">
        <v>207</v>
      </c>
      <c r="N6" s="14" t="s">
        <v>208</v>
      </c>
      <c r="O6" s="2">
        <f>O4*0.5</f>
        <v>50</v>
      </c>
      <c r="P6" s="2">
        <f t="shared" si="0"/>
        <v>225</v>
      </c>
      <c r="Q6" s="2">
        <f>O6*4</f>
        <v>200</v>
      </c>
      <c r="R6" s="2">
        <f>O6*5</f>
        <v>250</v>
      </c>
    </row>
    <row r="7" spans="1:76" ht="38.1" customHeight="1" x14ac:dyDescent="0.15">
      <c r="A7" s="1" t="s">
        <v>33</v>
      </c>
      <c r="B7" s="11" t="s">
        <v>209</v>
      </c>
      <c r="C7" s="2">
        <v>0</v>
      </c>
      <c r="D7" s="12" t="s">
        <v>121</v>
      </c>
      <c r="E7" s="2" t="s">
        <v>34</v>
      </c>
      <c r="F7" s="1" t="s">
        <v>33</v>
      </c>
      <c r="G7" s="2" t="s">
        <v>34</v>
      </c>
      <c r="H7" s="2">
        <v>0</v>
      </c>
      <c r="I7" s="11" t="s">
        <v>35</v>
      </c>
      <c r="J7" s="45" t="s">
        <v>36</v>
      </c>
      <c r="K7" s="2">
        <v>100</v>
      </c>
      <c r="M7" s="2" t="s">
        <v>210</v>
      </c>
      <c r="N7" s="14" t="s">
        <v>211</v>
      </c>
      <c r="O7" s="2">
        <f>O4*0.45</f>
        <v>45</v>
      </c>
      <c r="P7" s="2">
        <f t="shared" si="0"/>
        <v>315</v>
      </c>
      <c r="Q7" s="2">
        <f>O7*6</f>
        <v>270</v>
      </c>
      <c r="R7" s="2">
        <f>O7*8</f>
        <v>360</v>
      </c>
    </row>
    <row r="8" spans="1:76" ht="20.100000000000001" customHeight="1" x14ac:dyDescent="0.15">
      <c r="A8" s="1" t="s">
        <v>37</v>
      </c>
      <c r="B8" s="11" t="s">
        <v>212</v>
      </c>
      <c r="C8" s="2">
        <v>0</v>
      </c>
      <c r="D8" s="12" t="s">
        <v>121</v>
      </c>
      <c r="E8" s="2" t="s">
        <v>38</v>
      </c>
      <c r="F8" s="1" t="s">
        <v>37</v>
      </c>
      <c r="G8" s="2" t="s">
        <v>38</v>
      </c>
      <c r="H8" s="2">
        <v>0</v>
      </c>
      <c r="I8" s="11" t="s">
        <v>39</v>
      </c>
      <c r="J8" s="44" t="s">
        <v>40</v>
      </c>
      <c r="K8" s="2">
        <v>100</v>
      </c>
      <c r="M8" s="2" t="s">
        <v>213</v>
      </c>
      <c r="N8" s="2" t="s">
        <v>202</v>
      </c>
      <c r="O8" s="2">
        <v>140</v>
      </c>
      <c r="P8" s="2">
        <f t="shared" si="0"/>
        <v>70</v>
      </c>
      <c r="Q8" s="2">
        <f>O8*0</f>
        <v>0</v>
      </c>
      <c r="R8" s="2">
        <f>O8*1</f>
        <v>140</v>
      </c>
    </row>
    <row r="9" spans="1:76" ht="33.950000000000003" customHeight="1" x14ac:dyDescent="0.15">
      <c r="A9" s="1" t="s">
        <v>41</v>
      </c>
      <c r="B9" s="11" t="s">
        <v>214</v>
      </c>
      <c r="C9" s="2">
        <v>0</v>
      </c>
      <c r="D9" s="12" t="s">
        <v>121</v>
      </c>
      <c r="E9" s="2" t="s">
        <v>42</v>
      </c>
      <c r="F9" s="1" t="s">
        <v>41</v>
      </c>
      <c r="G9" s="2" t="s">
        <v>42</v>
      </c>
      <c r="H9" s="2">
        <v>0</v>
      </c>
      <c r="I9" s="11" t="s">
        <v>43</v>
      </c>
      <c r="J9" s="45" t="s">
        <v>44</v>
      </c>
      <c r="K9" s="2">
        <v>100</v>
      </c>
      <c r="M9" s="2" t="s">
        <v>215</v>
      </c>
      <c r="N9" s="14" t="s">
        <v>205</v>
      </c>
      <c r="O9" s="2">
        <f>O8*0.6</f>
        <v>84</v>
      </c>
      <c r="P9" s="2">
        <f t="shared" si="0"/>
        <v>210</v>
      </c>
      <c r="Q9" s="2">
        <f>O9*2</f>
        <v>168</v>
      </c>
      <c r="R9" s="2">
        <f>O9*3</f>
        <v>252</v>
      </c>
    </row>
    <row r="10" spans="1:76" ht="20.100000000000001" customHeight="1" x14ac:dyDescent="0.15">
      <c r="A10" s="1" t="s">
        <v>16</v>
      </c>
      <c r="B10" s="11" t="s">
        <v>216</v>
      </c>
      <c r="C10" s="2">
        <v>3</v>
      </c>
      <c r="D10" s="12" t="s">
        <v>123</v>
      </c>
      <c r="E10" s="2" t="s">
        <v>17</v>
      </c>
      <c r="F10" s="1" t="s">
        <v>45</v>
      </c>
      <c r="G10" s="2" t="s">
        <v>46</v>
      </c>
      <c r="H10" s="2">
        <v>6</v>
      </c>
      <c r="I10" s="11" t="s">
        <v>47</v>
      </c>
      <c r="J10" s="44" t="s">
        <v>48</v>
      </c>
      <c r="K10" s="2">
        <v>140</v>
      </c>
      <c r="M10" s="2" t="s">
        <v>217</v>
      </c>
      <c r="N10" s="14" t="s">
        <v>208</v>
      </c>
      <c r="O10" s="2">
        <f>O8*0.5</f>
        <v>70</v>
      </c>
      <c r="P10" s="2">
        <f t="shared" si="0"/>
        <v>315</v>
      </c>
      <c r="Q10" s="2">
        <f>O10*4</f>
        <v>280</v>
      </c>
      <c r="R10" s="2">
        <f>O10*5</f>
        <v>350</v>
      </c>
    </row>
    <row r="11" spans="1:76" ht="20.100000000000001" customHeight="1" x14ac:dyDescent="0.15">
      <c r="A11" s="1" t="s">
        <v>25</v>
      </c>
      <c r="B11" s="11" t="s">
        <v>218</v>
      </c>
      <c r="C11" s="2">
        <v>3</v>
      </c>
      <c r="D11" s="12" t="s">
        <v>123</v>
      </c>
      <c r="E11" s="2" t="s">
        <v>26</v>
      </c>
      <c r="F11" s="1" t="s">
        <v>49</v>
      </c>
      <c r="G11" s="2" t="s">
        <v>50</v>
      </c>
      <c r="H11" s="2">
        <v>6</v>
      </c>
      <c r="I11" s="11" t="s">
        <v>51</v>
      </c>
      <c r="J11" s="44" t="s">
        <v>52</v>
      </c>
      <c r="K11" s="2">
        <v>140</v>
      </c>
      <c r="M11" s="2" t="s">
        <v>219</v>
      </c>
      <c r="N11" s="14" t="s">
        <v>211</v>
      </c>
      <c r="O11" s="2">
        <f>O8*0.45</f>
        <v>63</v>
      </c>
      <c r="P11" s="2">
        <f t="shared" si="0"/>
        <v>441</v>
      </c>
      <c r="Q11" s="2">
        <f>O11*6</f>
        <v>378</v>
      </c>
      <c r="R11" s="2">
        <f>O11*8</f>
        <v>504</v>
      </c>
    </row>
    <row r="12" spans="1:76" ht="20.100000000000001" customHeight="1" x14ac:dyDescent="0.15">
      <c r="A12" s="1" t="s">
        <v>29</v>
      </c>
      <c r="B12" s="11" t="s">
        <v>220</v>
      </c>
      <c r="C12" s="2">
        <v>3</v>
      </c>
      <c r="D12" s="12" t="s">
        <v>123</v>
      </c>
      <c r="E12" s="2" t="s">
        <v>30</v>
      </c>
      <c r="F12" s="1" t="s">
        <v>53</v>
      </c>
      <c r="G12" s="2" t="s">
        <v>54</v>
      </c>
      <c r="H12" s="2">
        <v>6</v>
      </c>
      <c r="I12" s="11" t="s">
        <v>55</v>
      </c>
      <c r="J12" s="44" t="s">
        <v>56</v>
      </c>
      <c r="K12" s="2">
        <v>140</v>
      </c>
      <c r="M12" s="2" t="s">
        <v>221</v>
      </c>
      <c r="N12" s="2" t="s">
        <v>202</v>
      </c>
      <c r="O12" s="2">
        <v>180</v>
      </c>
      <c r="P12" s="2">
        <f t="shared" si="0"/>
        <v>90</v>
      </c>
      <c r="Q12" s="2">
        <f>O12*0</f>
        <v>0</v>
      </c>
      <c r="R12" s="2">
        <f>O12*1</f>
        <v>180</v>
      </c>
    </row>
    <row r="13" spans="1:76" ht="39" customHeight="1" x14ac:dyDescent="0.15">
      <c r="A13" s="1" t="s">
        <v>33</v>
      </c>
      <c r="B13" s="11" t="s">
        <v>222</v>
      </c>
      <c r="C13" s="2">
        <v>3</v>
      </c>
      <c r="D13" s="12" t="s">
        <v>123</v>
      </c>
      <c r="E13" s="2" t="s">
        <v>34</v>
      </c>
      <c r="F13" s="1" t="s">
        <v>57</v>
      </c>
      <c r="G13" s="2" t="s">
        <v>58</v>
      </c>
      <c r="H13" s="2">
        <v>6</v>
      </c>
      <c r="I13" s="11" t="s">
        <v>59</v>
      </c>
      <c r="J13" s="45" t="s">
        <v>60</v>
      </c>
      <c r="K13" s="2">
        <v>140</v>
      </c>
      <c r="M13" s="2" t="s">
        <v>223</v>
      </c>
      <c r="N13" s="14" t="s">
        <v>205</v>
      </c>
      <c r="O13" s="2">
        <f>O12*0.6</f>
        <v>108</v>
      </c>
      <c r="P13" s="2">
        <f t="shared" si="0"/>
        <v>270</v>
      </c>
      <c r="Q13" s="2">
        <f>O13*2</f>
        <v>216</v>
      </c>
      <c r="R13" s="2">
        <f>O13*3</f>
        <v>324</v>
      </c>
    </row>
    <row r="14" spans="1:76" ht="20.100000000000001" customHeight="1" x14ac:dyDescent="0.15">
      <c r="A14" s="1" t="s">
        <v>37</v>
      </c>
      <c r="B14" s="11" t="s">
        <v>224</v>
      </c>
      <c r="C14" s="2">
        <v>3</v>
      </c>
      <c r="D14" s="12" t="s">
        <v>123</v>
      </c>
      <c r="E14" s="2" t="s">
        <v>38</v>
      </c>
      <c r="F14" s="1" t="s">
        <v>61</v>
      </c>
      <c r="G14" s="2" t="s">
        <v>62</v>
      </c>
      <c r="H14" s="2">
        <v>6</v>
      </c>
      <c r="I14" s="11" t="s">
        <v>63</v>
      </c>
      <c r="J14" s="44" t="s">
        <v>64</v>
      </c>
      <c r="K14" s="2">
        <v>140</v>
      </c>
      <c r="M14" s="2" t="s">
        <v>225</v>
      </c>
      <c r="N14" s="14" t="s">
        <v>208</v>
      </c>
      <c r="O14" s="2">
        <f>O12*0.5</f>
        <v>90</v>
      </c>
      <c r="P14" s="2">
        <f t="shared" si="0"/>
        <v>405</v>
      </c>
      <c r="Q14" s="2">
        <f>O14*4</f>
        <v>360</v>
      </c>
      <c r="R14" s="2">
        <f>O14*5</f>
        <v>450</v>
      </c>
    </row>
    <row r="15" spans="1:76" ht="36.950000000000003" customHeight="1" x14ac:dyDescent="0.15">
      <c r="A15" s="1" t="s">
        <v>41</v>
      </c>
      <c r="B15" s="11" t="s">
        <v>226</v>
      </c>
      <c r="C15" s="2">
        <v>3</v>
      </c>
      <c r="D15" s="12" t="s">
        <v>123</v>
      </c>
      <c r="E15" s="2" t="s">
        <v>42</v>
      </c>
      <c r="F15" s="1" t="s">
        <v>65</v>
      </c>
      <c r="G15" s="2" t="s">
        <v>66</v>
      </c>
      <c r="H15" s="2">
        <v>6</v>
      </c>
      <c r="I15" s="11" t="s">
        <v>67</v>
      </c>
      <c r="J15" s="45" t="s">
        <v>68</v>
      </c>
      <c r="K15" s="2">
        <v>140</v>
      </c>
      <c r="M15" s="2" t="s">
        <v>227</v>
      </c>
      <c r="N15" s="14" t="s">
        <v>211</v>
      </c>
      <c r="O15" s="2">
        <f>O12*0.45</f>
        <v>81</v>
      </c>
      <c r="P15" s="2">
        <f t="shared" si="0"/>
        <v>567</v>
      </c>
      <c r="Q15" s="2">
        <f>O15*6</f>
        <v>486</v>
      </c>
      <c r="R15" s="2">
        <f>O15*8</f>
        <v>648</v>
      </c>
    </row>
    <row r="16" spans="1:76" ht="20.100000000000001" customHeight="1" x14ac:dyDescent="0.15">
      <c r="A16" s="1" t="s">
        <v>16</v>
      </c>
      <c r="B16" s="11" t="s">
        <v>228</v>
      </c>
      <c r="C16" s="2">
        <v>6</v>
      </c>
      <c r="D16" s="12" t="s">
        <v>125</v>
      </c>
      <c r="E16" s="2" t="s">
        <v>17</v>
      </c>
      <c r="F16" s="1" t="s">
        <v>69</v>
      </c>
      <c r="G16" s="2" t="s">
        <v>70</v>
      </c>
      <c r="H16" s="2">
        <v>12</v>
      </c>
      <c r="I16" s="11" t="s">
        <v>71</v>
      </c>
      <c r="J16" s="44" t="s">
        <v>72</v>
      </c>
      <c r="K16" s="2">
        <v>180</v>
      </c>
      <c r="M16" s="2" t="s">
        <v>229</v>
      </c>
      <c r="N16" s="2" t="s">
        <v>202</v>
      </c>
      <c r="O16" s="2">
        <v>220</v>
      </c>
      <c r="P16" s="2">
        <f t="shared" si="0"/>
        <v>110</v>
      </c>
      <c r="Q16" s="2">
        <f>O16*0</f>
        <v>0</v>
      </c>
      <c r="R16" s="2">
        <f>O16*1</f>
        <v>220</v>
      </c>
    </row>
    <row r="17" spans="1:18" ht="20.100000000000001" customHeight="1" x14ac:dyDescent="0.15">
      <c r="A17" s="1" t="s">
        <v>25</v>
      </c>
      <c r="B17" s="11" t="s">
        <v>230</v>
      </c>
      <c r="C17" s="2">
        <v>6</v>
      </c>
      <c r="D17" s="12" t="s">
        <v>125</v>
      </c>
      <c r="E17" s="2" t="s">
        <v>26</v>
      </c>
      <c r="F17" s="1" t="s">
        <v>73</v>
      </c>
      <c r="G17" s="2" t="s">
        <v>74</v>
      </c>
      <c r="H17" s="2">
        <v>12</v>
      </c>
      <c r="I17" s="11" t="s">
        <v>75</v>
      </c>
      <c r="J17" s="44" t="s">
        <v>76</v>
      </c>
      <c r="K17" s="2">
        <v>180</v>
      </c>
      <c r="M17" s="2" t="s">
        <v>231</v>
      </c>
      <c r="N17" s="14" t="s">
        <v>205</v>
      </c>
      <c r="O17" s="2">
        <f>O16*0.6</f>
        <v>132</v>
      </c>
      <c r="P17" s="2">
        <f t="shared" si="0"/>
        <v>330</v>
      </c>
      <c r="Q17" s="2">
        <f>O17*2</f>
        <v>264</v>
      </c>
      <c r="R17" s="2">
        <f>O17*3</f>
        <v>396</v>
      </c>
    </row>
    <row r="18" spans="1:18" ht="20.100000000000001" customHeight="1" x14ac:dyDescent="0.15">
      <c r="A18" s="1" t="s">
        <v>29</v>
      </c>
      <c r="B18" s="11" t="s">
        <v>232</v>
      </c>
      <c r="C18" s="2">
        <v>6</v>
      </c>
      <c r="D18" s="12" t="s">
        <v>125</v>
      </c>
      <c r="E18" s="2" t="s">
        <v>30</v>
      </c>
      <c r="F18" s="1" t="s">
        <v>77</v>
      </c>
      <c r="G18" s="2" t="s">
        <v>78</v>
      </c>
      <c r="H18" s="2">
        <v>12</v>
      </c>
      <c r="I18" s="11" t="s">
        <v>79</v>
      </c>
      <c r="J18" s="44" t="s">
        <v>80</v>
      </c>
      <c r="K18" s="2">
        <v>180</v>
      </c>
      <c r="M18" s="2" t="s">
        <v>233</v>
      </c>
      <c r="N18" s="14" t="s">
        <v>208</v>
      </c>
      <c r="O18" s="2">
        <f>O16*0.5</f>
        <v>110</v>
      </c>
      <c r="P18" s="2">
        <f t="shared" si="0"/>
        <v>495</v>
      </c>
      <c r="Q18" s="2">
        <f>O18*4</f>
        <v>440</v>
      </c>
      <c r="R18" s="2">
        <f>O18*5</f>
        <v>550</v>
      </c>
    </row>
    <row r="19" spans="1:18" ht="36" customHeight="1" x14ac:dyDescent="0.15">
      <c r="A19" s="1" t="s">
        <v>33</v>
      </c>
      <c r="B19" s="11" t="s">
        <v>234</v>
      </c>
      <c r="C19" s="2">
        <v>6</v>
      </c>
      <c r="D19" s="12" t="s">
        <v>125</v>
      </c>
      <c r="E19" s="2" t="s">
        <v>34</v>
      </c>
      <c r="F19" s="1" t="s">
        <v>81</v>
      </c>
      <c r="G19" s="2" t="s">
        <v>82</v>
      </c>
      <c r="H19" s="2">
        <v>12</v>
      </c>
      <c r="I19" s="11" t="s">
        <v>83</v>
      </c>
      <c r="J19" s="45" t="s">
        <v>84</v>
      </c>
      <c r="K19" s="2">
        <v>180</v>
      </c>
      <c r="M19" s="2" t="s">
        <v>235</v>
      </c>
      <c r="N19" s="14" t="s">
        <v>211</v>
      </c>
      <c r="O19" s="2">
        <f>O16*0.45</f>
        <v>99</v>
      </c>
      <c r="P19" s="2">
        <f t="shared" si="0"/>
        <v>693</v>
      </c>
      <c r="Q19" s="2">
        <f>O19*6</f>
        <v>594</v>
      </c>
      <c r="R19" s="2">
        <f>O19*8</f>
        <v>792</v>
      </c>
    </row>
    <row r="20" spans="1:18" ht="20.100000000000001" customHeight="1" x14ac:dyDescent="0.15">
      <c r="A20" s="1" t="s">
        <v>37</v>
      </c>
      <c r="B20" s="11" t="s">
        <v>236</v>
      </c>
      <c r="C20" s="2">
        <v>6</v>
      </c>
      <c r="D20" s="12" t="s">
        <v>125</v>
      </c>
      <c r="E20" s="2" t="s">
        <v>38</v>
      </c>
      <c r="F20" s="1" t="s">
        <v>85</v>
      </c>
      <c r="G20" s="2" t="s">
        <v>86</v>
      </c>
      <c r="H20" s="2">
        <v>12</v>
      </c>
      <c r="I20" s="11" t="s">
        <v>87</v>
      </c>
      <c r="J20" s="44" t="s">
        <v>88</v>
      </c>
      <c r="K20" s="2">
        <v>180</v>
      </c>
    </row>
    <row r="21" spans="1:18" ht="36.950000000000003" customHeight="1" x14ac:dyDescent="0.15">
      <c r="A21" s="1" t="s">
        <v>41</v>
      </c>
      <c r="B21" s="11" t="s">
        <v>237</v>
      </c>
      <c r="C21" s="2">
        <v>6</v>
      </c>
      <c r="D21" s="12" t="s">
        <v>125</v>
      </c>
      <c r="E21" s="2" t="s">
        <v>42</v>
      </c>
      <c r="F21" s="1" t="s">
        <v>89</v>
      </c>
      <c r="G21" s="2" t="s">
        <v>90</v>
      </c>
      <c r="H21" s="2">
        <v>12</v>
      </c>
      <c r="I21" s="11" t="s">
        <v>91</v>
      </c>
      <c r="J21" s="45" t="s">
        <v>92</v>
      </c>
      <c r="K21" s="2">
        <v>180</v>
      </c>
    </row>
    <row r="22" spans="1:18" ht="20.100000000000001" customHeight="1" x14ac:dyDescent="0.15">
      <c r="A22" s="1" t="s">
        <v>16</v>
      </c>
      <c r="B22" s="11" t="s">
        <v>238</v>
      </c>
      <c r="C22" s="2">
        <v>9</v>
      </c>
      <c r="D22" s="12" t="s">
        <v>127</v>
      </c>
      <c r="E22" s="2" t="s">
        <v>17</v>
      </c>
      <c r="F22" s="1" t="s">
        <v>93</v>
      </c>
      <c r="G22" s="2" t="s">
        <v>94</v>
      </c>
      <c r="H22" s="2">
        <v>18</v>
      </c>
      <c r="I22" s="11" t="s">
        <v>95</v>
      </c>
      <c r="J22" s="44" t="s">
        <v>96</v>
      </c>
      <c r="K22" s="2">
        <v>220</v>
      </c>
    </row>
    <row r="23" spans="1:18" ht="20.100000000000001" customHeight="1" x14ac:dyDescent="0.15">
      <c r="A23" s="1" t="s">
        <v>25</v>
      </c>
      <c r="B23" s="11" t="s">
        <v>239</v>
      </c>
      <c r="C23" s="2">
        <v>9</v>
      </c>
      <c r="D23" s="12" t="s">
        <v>127</v>
      </c>
      <c r="E23" s="2" t="s">
        <v>26</v>
      </c>
      <c r="F23" s="1" t="s">
        <v>97</v>
      </c>
      <c r="G23" s="2" t="s">
        <v>98</v>
      </c>
      <c r="H23" s="2">
        <v>18</v>
      </c>
      <c r="I23" s="11" t="s">
        <v>99</v>
      </c>
      <c r="J23" s="44" t="s">
        <v>100</v>
      </c>
      <c r="K23" s="2">
        <v>220</v>
      </c>
    </row>
    <row r="24" spans="1:18" ht="20.100000000000001" customHeight="1" x14ac:dyDescent="0.15">
      <c r="A24" s="1" t="s">
        <v>29</v>
      </c>
      <c r="B24" s="11" t="s">
        <v>240</v>
      </c>
      <c r="C24" s="2">
        <v>9</v>
      </c>
      <c r="D24" s="12" t="s">
        <v>127</v>
      </c>
      <c r="E24" s="2" t="s">
        <v>30</v>
      </c>
      <c r="F24" s="1" t="s">
        <v>101</v>
      </c>
      <c r="G24" s="2" t="s">
        <v>102</v>
      </c>
      <c r="H24" s="2">
        <v>18</v>
      </c>
      <c r="I24" s="11" t="s">
        <v>103</v>
      </c>
      <c r="J24" s="44" t="s">
        <v>104</v>
      </c>
      <c r="K24" s="2">
        <v>220</v>
      </c>
    </row>
    <row r="25" spans="1:18" ht="38.1" customHeight="1" x14ac:dyDescent="0.15">
      <c r="A25" s="1" t="s">
        <v>33</v>
      </c>
      <c r="B25" s="11" t="s">
        <v>241</v>
      </c>
      <c r="C25" s="2">
        <v>9</v>
      </c>
      <c r="D25" s="12" t="s">
        <v>127</v>
      </c>
      <c r="E25" s="2" t="s">
        <v>34</v>
      </c>
      <c r="F25" s="1" t="s">
        <v>105</v>
      </c>
      <c r="G25" s="2" t="s">
        <v>106</v>
      </c>
      <c r="H25" s="2">
        <v>18</v>
      </c>
      <c r="I25" s="11" t="s">
        <v>107</v>
      </c>
      <c r="J25" s="45" t="s">
        <v>108</v>
      </c>
      <c r="K25" s="2">
        <v>220</v>
      </c>
    </row>
    <row r="26" spans="1:18" ht="20.100000000000001" customHeight="1" x14ac:dyDescent="0.15">
      <c r="A26" s="1" t="s">
        <v>37</v>
      </c>
      <c r="B26" s="11" t="s">
        <v>242</v>
      </c>
      <c r="C26" s="2">
        <v>9</v>
      </c>
      <c r="D26" s="12" t="s">
        <v>127</v>
      </c>
      <c r="E26" s="2" t="s">
        <v>38</v>
      </c>
      <c r="F26" s="1" t="s">
        <v>109</v>
      </c>
      <c r="G26" s="2" t="s">
        <v>110</v>
      </c>
      <c r="H26" s="2">
        <v>18</v>
      </c>
      <c r="I26" s="11" t="s">
        <v>111</v>
      </c>
      <c r="J26" s="44" t="s">
        <v>112</v>
      </c>
      <c r="K26" s="2">
        <v>220</v>
      </c>
    </row>
    <row r="27" spans="1:18" ht="35.1" customHeight="1" x14ac:dyDescent="0.15">
      <c r="A27" s="1" t="s">
        <v>41</v>
      </c>
      <c r="B27" s="11" t="s">
        <v>243</v>
      </c>
      <c r="C27" s="2">
        <v>9</v>
      </c>
      <c r="D27" s="12" t="s">
        <v>127</v>
      </c>
      <c r="E27" s="2" t="s">
        <v>42</v>
      </c>
      <c r="F27" s="1" t="s">
        <v>113</v>
      </c>
      <c r="G27" s="2" t="s">
        <v>114</v>
      </c>
      <c r="H27" s="2">
        <v>18</v>
      </c>
      <c r="I27" s="11" t="s">
        <v>115</v>
      </c>
      <c r="J27" s="45" t="s">
        <v>116</v>
      </c>
      <c r="K27" s="2">
        <v>220</v>
      </c>
    </row>
    <row r="28" spans="1:18" ht="20.100000000000001" customHeight="1" x14ac:dyDescent="0.15">
      <c r="A28" s="1" t="s">
        <v>45</v>
      </c>
      <c r="B28" s="11" t="s">
        <v>244</v>
      </c>
      <c r="C28" s="2">
        <v>6</v>
      </c>
      <c r="D28" s="12" t="s">
        <v>121</v>
      </c>
      <c r="E28" s="2" t="s">
        <v>46</v>
      </c>
    </row>
    <row r="29" spans="1:18" ht="20.100000000000001" customHeight="1" x14ac:dyDescent="0.15">
      <c r="A29" s="1" t="s">
        <v>49</v>
      </c>
      <c r="B29" s="11" t="s">
        <v>245</v>
      </c>
      <c r="C29" s="2">
        <v>6</v>
      </c>
      <c r="D29" s="12" t="s">
        <v>121</v>
      </c>
      <c r="E29" s="2" t="s">
        <v>50</v>
      </c>
    </row>
    <row r="30" spans="1:18" ht="20.100000000000001" customHeight="1" x14ac:dyDescent="0.15">
      <c r="A30" s="1" t="s">
        <v>53</v>
      </c>
      <c r="B30" s="11" t="s">
        <v>246</v>
      </c>
      <c r="C30" s="2">
        <v>6</v>
      </c>
      <c r="D30" s="12" t="s">
        <v>121</v>
      </c>
      <c r="E30" s="2" t="s">
        <v>54</v>
      </c>
    </row>
    <row r="31" spans="1:18" ht="20.100000000000001" customHeight="1" x14ac:dyDescent="0.15">
      <c r="A31" s="1" t="s">
        <v>57</v>
      </c>
      <c r="B31" s="11" t="s">
        <v>247</v>
      </c>
      <c r="C31" s="2">
        <v>6</v>
      </c>
      <c r="D31" s="12" t="s">
        <v>121</v>
      </c>
      <c r="E31" s="2" t="s">
        <v>58</v>
      </c>
    </row>
    <row r="32" spans="1:18" ht="20.100000000000001" customHeight="1" x14ac:dyDescent="0.15">
      <c r="A32" s="1" t="s">
        <v>61</v>
      </c>
      <c r="B32" s="11" t="s">
        <v>248</v>
      </c>
      <c r="C32" s="2">
        <v>6</v>
      </c>
      <c r="D32" s="12" t="s">
        <v>121</v>
      </c>
      <c r="E32" s="2" t="s">
        <v>62</v>
      </c>
    </row>
    <row r="33" spans="1:10" ht="20.100000000000001" customHeight="1" x14ac:dyDescent="0.15">
      <c r="A33" s="1" t="s">
        <v>65</v>
      </c>
      <c r="B33" s="11" t="s">
        <v>249</v>
      </c>
      <c r="C33" s="2">
        <v>6</v>
      </c>
      <c r="D33" s="12" t="s">
        <v>121</v>
      </c>
      <c r="E33" s="2" t="s">
        <v>66</v>
      </c>
    </row>
    <row r="34" spans="1:10" ht="20.100000000000001" customHeight="1" x14ac:dyDescent="0.15">
      <c r="A34" s="1" t="s">
        <v>45</v>
      </c>
      <c r="B34" s="11" t="s">
        <v>250</v>
      </c>
      <c r="C34" s="2">
        <v>9</v>
      </c>
      <c r="D34" s="12" t="s">
        <v>123</v>
      </c>
      <c r="E34" s="2" t="s">
        <v>46</v>
      </c>
    </row>
    <row r="35" spans="1:10" ht="20.100000000000001" customHeight="1" x14ac:dyDescent="0.15">
      <c r="A35" s="1" t="s">
        <v>49</v>
      </c>
      <c r="B35" s="11" t="s">
        <v>251</v>
      </c>
      <c r="C35" s="2">
        <v>9</v>
      </c>
      <c r="D35" s="12" t="s">
        <v>123</v>
      </c>
      <c r="E35" s="2" t="s">
        <v>50</v>
      </c>
    </row>
    <row r="36" spans="1:10" ht="20.100000000000001" customHeight="1" x14ac:dyDescent="0.15">
      <c r="A36" s="1" t="s">
        <v>53</v>
      </c>
      <c r="B36" s="11" t="s">
        <v>252</v>
      </c>
      <c r="C36" s="2">
        <v>9</v>
      </c>
      <c r="D36" s="12" t="s">
        <v>123</v>
      </c>
      <c r="E36" s="2" t="s">
        <v>54</v>
      </c>
    </row>
    <row r="37" spans="1:10" ht="20.100000000000001" customHeight="1" x14ac:dyDescent="0.15">
      <c r="A37" s="1" t="s">
        <v>57</v>
      </c>
      <c r="B37" s="11" t="s">
        <v>253</v>
      </c>
      <c r="C37" s="2">
        <v>9</v>
      </c>
      <c r="D37" s="12" t="s">
        <v>123</v>
      </c>
      <c r="E37" s="2" t="s">
        <v>58</v>
      </c>
    </row>
    <row r="38" spans="1:10" ht="20.100000000000001" customHeight="1" x14ac:dyDescent="0.15">
      <c r="A38" s="1" t="s">
        <v>61</v>
      </c>
      <c r="B38" s="11" t="s">
        <v>254</v>
      </c>
      <c r="C38" s="2">
        <v>9</v>
      </c>
      <c r="D38" s="12" t="s">
        <v>123</v>
      </c>
      <c r="E38" s="2" t="s">
        <v>62</v>
      </c>
    </row>
    <row r="39" spans="1:10" ht="20.100000000000001" customHeight="1" x14ac:dyDescent="0.15">
      <c r="A39" s="1" t="s">
        <v>65</v>
      </c>
      <c r="B39" s="11" t="s">
        <v>255</v>
      </c>
      <c r="C39" s="2">
        <v>9</v>
      </c>
      <c r="D39" s="12" t="s">
        <v>123</v>
      </c>
      <c r="E39" s="2" t="s">
        <v>66</v>
      </c>
      <c r="J39" s="5"/>
    </row>
    <row r="40" spans="1:10" ht="20.100000000000001" customHeight="1" x14ac:dyDescent="0.15">
      <c r="A40" s="1" t="s">
        <v>45</v>
      </c>
      <c r="B40" s="11" t="s">
        <v>256</v>
      </c>
      <c r="C40" s="2">
        <v>12</v>
      </c>
      <c r="D40" s="12" t="s">
        <v>125</v>
      </c>
      <c r="E40" s="2" t="s">
        <v>46</v>
      </c>
      <c r="J40" s="5"/>
    </row>
    <row r="41" spans="1:10" ht="20.100000000000001" customHeight="1" x14ac:dyDescent="0.15">
      <c r="A41" s="1" t="s">
        <v>49</v>
      </c>
      <c r="B41" s="11" t="s">
        <v>257</v>
      </c>
      <c r="C41" s="2">
        <v>12</v>
      </c>
      <c r="D41" s="12" t="s">
        <v>125</v>
      </c>
      <c r="E41" s="2" t="s">
        <v>50</v>
      </c>
      <c r="J41" s="5"/>
    </row>
    <row r="42" spans="1:10" ht="20.100000000000001" customHeight="1" x14ac:dyDescent="0.15">
      <c r="A42" s="1" t="s">
        <v>53</v>
      </c>
      <c r="B42" s="11" t="s">
        <v>258</v>
      </c>
      <c r="C42" s="2">
        <v>12</v>
      </c>
      <c r="D42" s="12" t="s">
        <v>125</v>
      </c>
      <c r="E42" s="2" t="s">
        <v>54</v>
      </c>
      <c r="J42" s="5"/>
    </row>
    <row r="43" spans="1:10" ht="20.100000000000001" customHeight="1" x14ac:dyDescent="0.15">
      <c r="A43" s="1" t="s">
        <v>57</v>
      </c>
      <c r="B43" s="11" t="s">
        <v>259</v>
      </c>
      <c r="C43" s="2">
        <v>12</v>
      </c>
      <c r="D43" s="12" t="s">
        <v>125</v>
      </c>
      <c r="E43" s="2" t="s">
        <v>58</v>
      </c>
      <c r="J43" s="5"/>
    </row>
    <row r="44" spans="1:10" ht="20.100000000000001" customHeight="1" x14ac:dyDescent="0.15">
      <c r="A44" s="1" t="s">
        <v>61</v>
      </c>
      <c r="B44" s="11" t="s">
        <v>260</v>
      </c>
      <c r="C44" s="2">
        <v>12</v>
      </c>
      <c r="D44" s="12" t="s">
        <v>125</v>
      </c>
      <c r="E44" s="2" t="s">
        <v>62</v>
      </c>
      <c r="J44" s="5"/>
    </row>
    <row r="45" spans="1:10" ht="20.100000000000001" customHeight="1" x14ac:dyDescent="0.15">
      <c r="A45" s="1" t="s">
        <v>65</v>
      </c>
      <c r="B45" s="11" t="s">
        <v>261</v>
      </c>
      <c r="C45" s="2">
        <v>12</v>
      </c>
      <c r="D45" s="12" t="s">
        <v>125</v>
      </c>
      <c r="E45" s="2" t="s">
        <v>66</v>
      </c>
      <c r="J45" s="5"/>
    </row>
    <row r="46" spans="1:10" ht="20.100000000000001" customHeight="1" x14ac:dyDescent="0.15">
      <c r="A46" s="1" t="s">
        <v>45</v>
      </c>
      <c r="B46" s="11" t="s">
        <v>262</v>
      </c>
      <c r="C46" s="2">
        <v>15</v>
      </c>
      <c r="D46" s="12" t="s">
        <v>127</v>
      </c>
      <c r="E46" s="2" t="s">
        <v>46</v>
      </c>
      <c r="J46" s="5"/>
    </row>
    <row r="47" spans="1:10" ht="20.100000000000001" customHeight="1" x14ac:dyDescent="0.15">
      <c r="A47" s="1" t="s">
        <v>49</v>
      </c>
      <c r="B47" s="11" t="s">
        <v>263</v>
      </c>
      <c r="C47" s="2">
        <v>15</v>
      </c>
      <c r="D47" s="12" t="s">
        <v>127</v>
      </c>
      <c r="E47" s="2" t="s">
        <v>50</v>
      </c>
      <c r="J47" s="5"/>
    </row>
    <row r="48" spans="1:10" ht="20.100000000000001" customHeight="1" x14ac:dyDescent="0.15">
      <c r="A48" s="1" t="s">
        <v>53</v>
      </c>
      <c r="B48" s="11" t="s">
        <v>264</v>
      </c>
      <c r="C48" s="2">
        <v>15</v>
      </c>
      <c r="D48" s="12" t="s">
        <v>127</v>
      </c>
      <c r="E48" s="2" t="s">
        <v>54</v>
      </c>
      <c r="J48" s="5"/>
    </row>
    <row r="49" spans="1:10" ht="20.100000000000001" customHeight="1" x14ac:dyDescent="0.15">
      <c r="A49" s="1" t="s">
        <v>57</v>
      </c>
      <c r="B49" s="11" t="s">
        <v>265</v>
      </c>
      <c r="C49" s="2">
        <v>15</v>
      </c>
      <c r="D49" s="12" t="s">
        <v>127</v>
      </c>
      <c r="E49" s="2" t="s">
        <v>58</v>
      </c>
      <c r="J49" s="5"/>
    </row>
    <row r="50" spans="1:10" ht="20.100000000000001" customHeight="1" x14ac:dyDescent="0.15">
      <c r="A50" s="1" t="s">
        <v>61</v>
      </c>
      <c r="B50" s="11" t="s">
        <v>266</v>
      </c>
      <c r="C50" s="2">
        <v>15</v>
      </c>
      <c r="D50" s="12" t="s">
        <v>127</v>
      </c>
      <c r="E50" s="2" t="s">
        <v>62</v>
      </c>
    </row>
    <row r="51" spans="1:10" ht="20.100000000000001" customHeight="1" x14ac:dyDescent="0.15">
      <c r="A51" s="1" t="s">
        <v>65</v>
      </c>
      <c r="B51" s="11" t="s">
        <v>267</v>
      </c>
      <c r="C51" s="2">
        <v>15</v>
      </c>
      <c r="D51" s="12" t="s">
        <v>127</v>
      </c>
      <c r="E51" s="2" t="s">
        <v>66</v>
      </c>
    </row>
    <row r="52" spans="1:10" ht="20.100000000000001" customHeight="1" x14ac:dyDescent="0.15">
      <c r="A52" s="1" t="s">
        <v>69</v>
      </c>
      <c r="B52" s="11" t="s">
        <v>268</v>
      </c>
      <c r="C52" s="2">
        <v>12</v>
      </c>
      <c r="D52" s="12" t="s">
        <v>121</v>
      </c>
      <c r="E52" s="2" t="s">
        <v>70</v>
      </c>
    </row>
    <row r="53" spans="1:10" ht="20.100000000000001" customHeight="1" x14ac:dyDescent="0.15">
      <c r="A53" s="1" t="s">
        <v>73</v>
      </c>
      <c r="B53" s="11" t="s">
        <v>269</v>
      </c>
      <c r="C53" s="2">
        <v>12</v>
      </c>
      <c r="D53" s="12" t="s">
        <v>121</v>
      </c>
      <c r="E53" s="2" t="s">
        <v>74</v>
      </c>
      <c r="J53" s="5"/>
    </row>
    <row r="54" spans="1:10" ht="20.100000000000001" customHeight="1" x14ac:dyDescent="0.15">
      <c r="A54" s="1" t="s">
        <v>77</v>
      </c>
      <c r="B54" s="11" t="s">
        <v>270</v>
      </c>
      <c r="C54" s="2">
        <v>12</v>
      </c>
      <c r="D54" s="12" t="s">
        <v>121</v>
      </c>
      <c r="E54" s="2" t="s">
        <v>78</v>
      </c>
      <c r="J54" s="5"/>
    </row>
    <row r="55" spans="1:10" ht="20.100000000000001" customHeight="1" x14ac:dyDescent="0.15">
      <c r="A55" s="1" t="s">
        <v>81</v>
      </c>
      <c r="B55" s="11" t="s">
        <v>271</v>
      </c>
      <c r="C55" s="2">
        <v>12</v>
      </c>
      <c r="D55" s="12" t="s">
        <v>121</v>
      </c>
      <c r="E55" s="2" t="s">
        <v>82</v>
      </c>
      <c r="J55" s="5"/>
    </row>
    <row r="56" spans="1:10" ht="20.100000000000001" customHeight="1" x14ac:dyDescent="0.15">
      <c r="A56" s="1" t="s">
        <v>85</v>
      </c>
      <c r="B56" s="11" t="s">
        <v>272</v>
      </c>
      <c r="C56" s="2">
        <v>12</v>
      </c>
      <c r="D56" s="12" t="s">
        <v>121</v>
      </c>
      <c r="E56" s="2" t="s">
        <v>86</v>
      </c>
      <c r="J56" s="5"/>
    </row>
    <row r="57" spans="1:10" ht="20.100000000000001" customHeight="1" x14ac:dyDescent="0.15">
      <c r="A57" s="1" t="s">
        <v>89</v>
      </c>
      <c r="B57" s="11" t="s">
        <v>273</v>
      </c>
      <c r="C57" s="2">
        <v>12</v>
      </c>
      <c r="D57" s="12" t="s">
        <v>121</v>
      </c>
      <c r="E57" s="2" t="s">
        <v>90</v>
      </c>
    </row>
    <row r="58" spans="1:10" ht="20.100000000000001" customHeight="1" x14ac:dyDescent="0.15">
      <c r="A58" s="1" t="s">
        <v>69</v>
      </c>
      <c r="B58" s="11" t="s">
        <v>274</v>
      </c>
      <c r="C58" s="2">
        <v>15</v>
      </c>
      <c r="D58" s="12" t="s">
        <v>123</v>
      </c>
      <c r="E58" s="2" t="s">
        <v>70</v>
      </c>
    </row>
    <row r="59" spans="1:10" ht="20.100000000000001" customHeight="1" x14ac:dyDescent="0.15">
      <c r="A59" s="1" t="s">
        <v>73</v>
      </c>
      <c r="B59" s="11" t="s">
        <v>275</v>
      </c>
      <c r="C59" s="2">
        <v>15</v>
      </c>
      <c r="D59" s="12" t="s">
        <v>123</v>
      </c>
      <c r="E59" s="2" t="s">
        <v>74</v>
      </c>
    </row>
    <row r="60" spans="1:10" ht="20.100000000000001" customHeight="1" x14ac:dyDescent="0.15">
      <c r="A60" s="1" t="s">
        <v>77</v>
      </c>
      <c r="B60" s="11" t="s">
        <v>276</v>
      </c>
      <c r="C60" s="2">
        <v>15</v>
      </c>
      <c r="D60" s="12" t="s">
        <v>123</v>
      </c>
      <c r="E60" s="2" t="s">
        <v>78</v>
      </c>
    </row>
    <row r="61" spans="1:10" ht="20.100000000000001" customHeight="1" x14ac:dyDescent="0.15">
      <c r="A61" s="1" t="s">
        <v>81</v>
      </c>
      <c r="B61" s="11" t="s">
        <v>277</v>
      </c>
      <c r="C61" s="2">
        <v>15</v>
      </c>
      <c r="D61" s="12" t="s">
        <v>123</v>
      </c>
      <c r="E61" s="2" t="s">
        <v>82</v>
      </c>
    </row>
    <row r="62" spans="1:10" ht="20.100000000000001" customHeight="1" x14ac:dyDescent="0.15">
      <c r="A62" s="1" t="s">
        <v>85</v>
      </c>
      <c r="B62" s="11" t="s">
        <v>278</v>
      </c>
      <c r="C62" s="2">
        <v>15</v>
      </c>
      <c r="D62" s="12" t="s">
        <v>123</v>
      </c>
      <c r="E62" s="2" t="s">
        <v>86</v>
      </c>
    </row>
    <row r="63" spans="1:10" ht="20.100000000000001" customHeight="1" x14ac:dyDescent="0.15">
      <c r="A63" s="1" t="s">
        <v>89</v>
      </c>
      <c r="B63" s="11" t="s">
        <v>279</v>
      </c>
      <c r="C63" s="2">
        <v>15</v>
      </c>
      <c r="D63" s="12" t="s">
        <v>123</v>
      </c>
      <c r="E63" s="2" t="s">
        <v>90</v>
      </c>
    </row>
    <row r="64" spans="1:10" ht="20.100000000000001" customHeight="1" x14ac:dyDescent="0.15">
      <c r="A64" s="1" t="s">
        <v>69</v>
      </c>
      <c r="B64" s="11" t="s">
        <v>280</v>
      </c>
      <c r="C64" s="2">
        <v>18</v>
      </c>
      <c r="D64" s="12" t="s">
        <v>125</v>
      </c>
      <c r="E64" s="2" t="s">
        <v>70</v>
      </c>
    </row>
    <row r="65" spans="1:5" ht="20.100000000000001" customHeight="1" x14ac:dyDescent="0.15">
      <c r="A65" s="1" t="s">
        <v>73</v>
      </c>
      <c r="B65" s="11" t="s">
        <v>281</v>
      </c>
      <c r="C65" s="2">
        <v>18</v>
      </c>
      <c r="D65" s="12" t="s">
        <v>125</v>
      </c>
      <c r="E65" s="2" t="s">
        <v>74</v>
      </c>
    </row>
    <row r="66" spans="1:5" ht="20.100000000000001" customHeight="1" x14ac:dyDescent="0.15">
      <c r="A66" s="1" t="s">
        <v>77</v>
      </c>
      <c r="B66" s="11" t="s">
        <v>282</v>
      </c>
      <c r="C66" s="2">
        <v>18</v>
      </c>
      <c r="D66" s="12" t="s">
        <v>125</v>
      </c>
      <c r="E66" s="2" t="s">
        <v>78</v>
      </c>
    </row>
    <row r="67" spans="1:5" ht="20.100000000000001" customHeight="1" x14ac:dyDescent="0.15">
      <c r="A67" s="1" t="s">
        <v>81</v>
      </c>
      <c r="B67" s="11" t="s">
        <v>283</v>
      </c>
      <c r="C67" s="2">
        <v>18</v>
      </c>
      <c r="D67" s="12" t="s">
        <v>125</v>
      </c>
      <c r="E67" s="2" t="s">
        <v>82</v>
      </c>
    </row>
    <row r="68" spans="1:5" ht="20.100000000000001" customHeight="1" x14ac:dyDescent="0.15">
      <c r="A68" s="1" t="s">
        <v>85</v>
      </c>
      <c r="B68" s="11" t="s">
        <v>284</v>
      </c>
      <c r="C68" s="2">
        <v>18</v>
      </c>
      <c r="D68" s="12" t="s">
        <v>125</v>
      </c>
      <c r="E68" s="2" t="s">
        <v>86</v>
      </c>
    </row>
    <row r="69" spans="1:5" ht="20.100000000000001" customHeight="1" x14ac:dyDescent="0.15">
      <c r="A69" s="1" t="s">
        <v>89</v>
      </c>
      <c r="B69" s="11" t="s">
        <v>285</v>
      </c>
      <c r="C69" s="2">
        <v>18</v>
      </c>
      <c r="D69" s="12" t="s">
        <v>125</v>
      </c>
      <c r="E69" s="2" t="s">
        <v>90</v>
      </c>
    </row>
    <row r="70" spans="1:5" ht="20.100000000000001" customHeight="1" x14ac:dyDescent="0.15">
      <c r="A70" s="1" t="s">
        <v>69</v>
      </c>
      <c r="B70" s="11" t="s">
        <v>286</v>
      </c>
      <c r="C70" s="2">
        <v>21</v>
      </c>
      <c r="D70" s="12" t="s">
        <v>127</v>
      </c>
      <c r="E70" s="2" t="s">
        <v>70</v>
      </c>
    </row>
    <row r="71" spans="1:5" ht="20.100000000000001" customHeight="1" x14ac:dyDescent="0.15">
      <c r="A71" s="1" t="s">
        <v>73</v>
      </c>
      <c r="B71" s="11" t="s">
        <v>287</v>
      </c>
      <c r="C71" s="2">
        <v>21</v>
      </c>
      <c r="D71" s="12" t="s">
        <v>127</v>
      </c>
      <c r="E71" s="2" t="s">
        <v>74</v>
      </c>
    </row>
    <row r="72" spans="1:5" ht="20.100000000000001" customHeight="1" x14ac:dyDescent="0.15">
      <c r="A72" s="1" t="s">
        <v>77</v>
      </c>
      <c r="B72" s="11" t="s">
        <v>288</v>
      </c>
      <c r="C72" s="2">
        <v>21</v>
      </c>
      <c r="D72" s="12" t="s">
        <v>127</v>
      </c>
      <c r="E72" s="2" t="s">
        <v>78</v>
      </c>
    </row>
    <row r="73" spans="1:5" ht="20.100000000000001" customHeight="1" x14ac:dyDescent="0.15">
      <c r="A73" s="1" t="s">
        <v>81</v>
      </c>
      <c r="B73" s="11" t="s">
        <v>289</v>
      </c>
      <c r="C73" s="2">
        <v>21</v>
      </c>
      <c r="D73" s="12" t="s">
        <v>127</v>
      </c>
      <c r="E73" s="2" t="s">
        <v>82</v>
      </c>
    </row>
    <row r="74" spans="1:5" ht="20.100000000000001" customHeight="1" x14ac:dyDescent="0.15">
      <c r="A74" s="1" t="s">
        <v>85</v>
      </c>
      <c r="B74" s="11" t="s">
        <v>290</v>
      </c>
      <c r="C74" s="2">
        <v>21</v>
      </c>
      <c r="D74" s="12" t="s">
        <v>127</v>
      </c>
      <c r="E74" s="2" t="s">
        <v>86</v>
      </c>
    </row>
    <row r="75" spans="1:5" ht="20.100000000000001" customHeight="1" x14ac:dyDescent="0.15">
      <c r="A75" s="1" t="s">
        <v>89</v>
      </c>
      <c r="B75" s="11" t="s">
        <v>291</v>
      </c>
      <c r="C75" s="2">
        <v>21</v>
      </c>
      <c r="D75" s="12" t="s">
        <v>127</v>
      </c>
      <c r="E75" s="2" t="s">
        <v>90</v>
      </c>
    </row>
    <row r="76" spans="1:5" ht="20.100000000000001" customHeight="1" x14ac:dyDescent="0.15">
      <c r="A76" s="1" t="s">
        <v>93</v>
      </c>
      <c r="B76" s="11" t="s">
        <v>292</v>
      </c>
      <c r="C76" s="2">
        <v>18</v>
      </c>
      <c r="D76" s="12" t="s">
        <v>121</v>
      </c>
      <c r="E76" s="2" t="s">
        <v>94</v>
      </c>
    </row>
    <row r="77" spans="1:5" ht="20.100000000000001" customHeight="1" x14ac:dyDescent="0.15">
      <c r="A77" s="1" t="s">
        <v>97</v>
      </c>
      <c r="B77" s="11" t="s">
        <v>293</v>
      </c>
      <c r="C77" s="2">
        <v>18</v>
      </c>
      <c r="D77" s="12" t="s">
        <v>121</v>
      </c>
      <c r="E77" s="2" t="s">
        <v>98</v>
      </c>
    </row>
    <row r="78" spans="1:5" ht="20.100000000000001" customHeight="1" x14ac:dyDescent="0.15">
      <c r="A78" s="1" t="s">
        <v>101</v>
      </c>
      <c r="B78" s="11" t="s">
        <v>294</v>
      </c>
      <c r="C78" s="2">
        <v>18</v>
      </c>
      <c r="D78" s="12" t="s">
        <v>121</v>
      </c>
      <c r="E78" s="2" t="s">
        <v>102</v>
      </c>
    </row>
    <row r="79" spans="1:5" ht="20.100000000000001" customHeight="1" x14ac:dyDescent="0.15">
      <c r="A79" s="1" t="s">
        <v>105</v>
      </c>
      <c r="B79" s="11" t="s">
        <v>295</v>
      </c>
      <c r="C79" s="2">
        <v>18</v>
      </c>
      <c r="D79" s="12" t="s">
        <v>121</v>
      </c>
      <c r="E79" s="2" t="s">
        <v>106</v>
      </c>
    </row>
    <row r="80" spans="1:5" ht="20.100000000000001" customHeight="1" x14ac:dyDescent="0.15">
      <c r="A80" s="1" t="s">
        <v>109</v>
      </c>
      <c r="B80" s="11" t="s">
        <v>296</v>
      </c>
      <c r="C80" s="2">
        <v>18</v>
      </c>
      <c r="D80" s="12" t="s">
        <v>121</v>
      </c>
      <c r="E80" s="2" t="s">
        <v>110</v>
      </c>
    </row>
    <row r="81" spans="1:5" ht="20.100000000000001" customHeight="1" x14ac:dyDescent="0.15">
      <c r="A81" s="1" t="s">
        <v>113</v>
      </c>
      <c r="B81" s="11" t="s">
        <v>297</v>
      </c>
      <c r="C81" s="2">
        <v>18</v>
      </c>
      <c r="D81" s="12" t="s">
        <v>121</v>
      </c>
      <c r="E81" s="2" t="s">
        <v>114</v>
      </c>
    </row>
    <row r="82" spans="1:5" ht="20.100000000000001" customHeight="1" x14ac:dyDescent="0.15">
      <c r="A82" s="1" t="s">
        <v>93</v>
      </c>
      <c r="B82" s="11" t="s">
        <v>298</v>
      </c>
      <c r="C82" s="2">
        <v>21</v>
      </c>
      <c r="D82" s="12" t="s">
        <v>123</v>
      </c>
      <c r="E82" s="2" t="s">
        <v>94</v>
      </c>
    </row>
    <row r="83" spans="1:5" ht="20.100000000000001" customHeight="1" x14ac:dyDescent="0.15">
      <c r="A83" s="1" t="s">
        <v>97</v>
      </c>
      <c r="B83" s="11" t="s">
        <v>299</v>
      </c>
      <c r="C83" s="2">
        <v>21</v>
      </c>
      <c r="D83" s="12" t="s">
        <v>123</v>
      </c>
      <c r="E83" s="2" t="s">
        <v>98</v>
      </c>
    </row>
    <row r="84" spans="1:5" ht="20.100000000000001" customHeight="1" x14ac:dyDescent="0.15">
      <c r="A84" s="1" t="s">
        <v>101</v>
      </c>
      <c r="B84" s="11" t="s">
        <v>300</v>
      </c>
      <c r="C84" s="2">
        <v>21</v>
      </c>
      <c r="D84" s="12" t="s">
        <v>123</v>
      </c>
      <c r="E84" s="2" t="s">
        <v>102</v>
      </c>
    </row>
    <row r="85" spans="1:5" ht="20.100000000000001" customHeight="1" x14ac:dyDescent="0.15">
      <c r="A85" s="1" t="s">
        <v>105</v>
      </c>
      <c r="B85" s="11" t="s">
        <v>301</v>
      </c>
      <c r="C85" s="2">
        <v>21</v>
      </c>
      <c r="D85" s="12" t="s">
        <v>123</v>
      </c>
      <c r="E85" s="2" t="s">
        <v>106</v>
      </c>
    </row>
    <row r="86" spans="1:5" ht="20.100000000000001" customHeight="1" x14ac:dyDescent="0.15">
      <c r="A86" s="1" t="s">
        <v>109</v>
      </c>
      <c r="B86" s="11" t="s">
        <v>302</v>
      </c>
      <c r="C86" s="2">
        <v>21</v>
      </c>
      <c r="D86" s="12" t="s">
        <v>123</v>
      </c>
      <c r="E86" s="2" t="s">
        <v>110</v>
      </c>
    </row>
    <row r="87" spans="1:5" ht="20.100000000000001" customHeight="1" x14ac:dyDescent="0.15">
      <c r="A87" s="1" t="s">
        <v>113</v>
      </c>
      <c r="B87" s="11" t="s">
        <v>303</v>
      </c>
      <c r="C87" s="2">
        <v>21</v>
      </c>
      <c r="D87" s="12" t="s">
        <v>123</v>
      </c>
      <c r="E87" s="2" t="s">
        <v>114</v>
      </c>
    </row>
    <row r="88" spans="1:5" ht="20.100000000000001" customHeight="1" x14ac:dyDescent="0.15">
      <c r="A88" s="1" t="s">
        <v>93</v>
      </c>
      <c r="B88" s="11" t="s">
        <v>304</v>
      </c>
      <c r="C88" s="2">
        <v>24</v>
      </c>
      <c r="D88" s="12" t="s">
        <v>125</v>
      </c>
      <c r="E88" s="2" t="s">
        <v>94</v>
      </c>
    </row>
    <row r="89" spans="1:5" ht="20.100000000000001" customHeight="1" x14ac:dyDescent="0.15">
      <c r="A89" s="1" t="s">
        <v>97</v>
      </c>
      <c r="B89" s="11" t="s">
        <v>305</v>
      </c>
      <c r="C89" s="2">
        <v>24</v>
      </c>
      <c r="D89" s="12" t="s">
        <v>125</v>
      </c>
      <c r="E89" s="2" t="s">
        <v>98</v>
      </c>
    </row>
    <row r="90" spans="1:5" ht="20.100000000000001" customHeight="1" x14ac:dyDescent="0.15">
      <c r="A90" s="1" t="s">
        <v>101</v>
      </c>
      <c r="B90" s="11" t="s">
        <v>306</v>
      </c>
      <c r="C90" s="2">
        <v>24</v>
      </c>
      <c r="D90" s="12" t="s">
        <v>125</v>
      </c>
      <c r="E90" s="2" t="s">
        <v>102</v>
      </c>
    </row>
    <row r="91" spans="1:5" ht="20.100000000000001" customHeight="1" x14ac:dyDescent="0.15">
      <c r="A91" s="1" t="s">
        <v>105</v>
      </c>
      <c r="B91" s="11" t="s">
        <v>307</v>
      </c>
      <c r="C91" s="2">
        <v>24</v>
      </c>
      <c r="D91" s="12" t="s">
        <v>125</v>
      </c>
      <c r="E91" s="2" t="s">
        <v>106</v>
      </c>
    </row>
    <row r="92" spans="1:5" ht="20.100000000000001" customHeight="1" x14ac:dyDescent="0.15">
      <c r="A92" s="1" t="s">
        <v>109</v>
      </c>
      <c r="B92" s="11" t="s">
        <v>308</v>
      </c>
      <c r="C92" s="2">
        <v>24</v>
      </c>
      <c r="D92" s="12" t="s">
        <v>125</v>
      </c>
      <c r="E92" s="2" t="s">
        <v>110</v>
      </c>
    </row>
    <row r="93" spans="1:5" ht="20.100000000000001" customHeight="1" x14ac:dyDescent="0.15">
      <c r="A93" s="1" t="s">
        <v>113</v>
      </c>
      <c r="B93" s="11" t="s">
        <v>309</v>
      </c>
      <c r="C93" s="2">
        <v>24</v>
      </c>
      <c r="D93" s="12" t="s">
        <v>125</v>
      </c>
      <c r="E93" s="2" t="s">
        <v>114</v>
      </c>
    </row>
    <row r="94" spans="1:5" ht="20.100000000000001" customHeight="1" x14ac:dyDescent="0.15">
      <c r="A94" s="1" t="s">
        <v>93</v>
      </c>
      <c r="B94" s="11" t="s">
        <v>310</v>
      </c>
      <c r="C94" s="2">
        <v>27</v>
      </c>
      <c r="D94" s="12" t="s">
        <v>127</v>
      </c>
      <c r="E94" s="2" t="s">
        <v>94</v>
      </c>
    </row>
    <row r="95" spans="1:5" ht="20.100000000000001" customHeight="1" x14ac:dyDescent="0.15">
      <c r="A95" s="1" t="s">
        <v>97</v>
      </c>
      <c r="B95" s="11" t="s">
        <v>311</v>
      </c>
      <c r="C95" s="2">
        <v>27</v>
      </c>
      <c r="D95" s="12" t="s">
        <v>127</v>
      </c>
      <c r="E95" s="2" t="s">
        <v>98</v>
      </c>
    </row>
    <row r="96" spans="1:5" ht="20.100000000000001" customHeight="1" x14ac:dyDescent="0.15">
      <c r="A96" s="1" t="s">
        <v>101</v>
      </c>
      <c r="B96" s="11" t="s">
        <v>312</v>
      </c>
      <c r="C96" s="2">
        <v>27</v>
      </c>
      <c r="D96" s="12" t="s">
        <v>127</v>
      </c>
      <c r="E96" s="2" t="s">
        <v>102</v>
      </c>
    </row>
    <row r="97" spans="1:5" ht="20.100000000000001" customHeight="1" x14ac:dyDescent="0.15">
      <c r="A97" s="1" t="s">
        <v>105</v>
      </c>
      <c r="B97" s="11" t="s">
        <v>313</v>
      </c>
      <c r="C97" s="2">
        <v>27</v>
      </c>
      <c r="D97" s="12" t="s">
        <v>127</v>
      </c>
      <c r="E97" s="2" t="s">
        <v>106</v>
      </c>
    </row>
    <row r="98" spans="1:5" ht="20.100000000000001" customHeight="1" x14ac:dyDescent="0.15">
      <c r="A98" s="1" t="s">
        <v>109</v>
      </c>
      <c r="B98" s="11" t="s">
        <v>314</v>
      </c>
      <c r="C98" s="2">
        <v>27</v>
      </c>
      <c r="D98" s="12" t="s">
        <v>127</v>
      </c>
      <c r="E98" s="2" t="s">
        <v>110</v>
      </c>
    </row>
    <row r="99" spans="1:5" ht="20.100000000000001" customHeight="1" x14ac:dyDescent="0.15">
      <c r="A99" s="1" t="s">
        <v>113</v>
      </c>
      <c r="B99" s="11" t="s">
        <v>315</v>
      </c>
      <c r="C99" s="2">
        <v>27</v>
      </c>
      <c r="D99" s="12" t="s">
        <v>127</v>
      </c>
      <c r="E99" s="2" t="s">
        <v>114</v>
      </c>
    </row>
  </sheetData>
  <phoneticPr fontId="6" type="noConversion"/>
  <conditionalFormatting sqref="J3">
    <cfRule type="duplicateValues" dxfId="48" priority="23"/>
  </conditionalFormatting>
  <conditionalFormatting sqref="K3:L3">
    <cfRule type="duplicateValues" dxfId="47" priority="1"/>
  </conditionalFormatting>
  <conditionalFormatting sqref="M3:R3">
    <cfRule type="duplicateValues" dxfId="46" priority="117"/>
  </conditionalFormatting>
  <conditionalFormatting sqref="B10:B15">
    <cfRule type="duplicateValues" dxfId="45" priority="70"/>
  </conditionalFormatting>
  <conditionalFormatting sqref="B16:B21">
    <cfRule type="duplicateValues" dxfId="44" priority="67"/>
  </conditionalFormatting>
  <conditionalFormatting sqref="B22:B27">
    <cfRule type="duplicateValues" dxfId="43" priority="64"/>
  </conditionalFormatting>
  <conditionalFormatting sqref="B28:B33">
    <cfRule type="duplicateValues" dxfId="42" priority="52"/>
  </conditionalFormatting>
  <conditionalFormatting sqref="B34:B39">
    <cfRule type="duplicateValues" dxfId="41" priority="50"/>
  </conditionalFormatting>
  <conditionalFormatting sqref="B40:B45">
    <cfRule type="duplicateValues" dxfId="40" priority="47"/>
  </conditionalFormatting>
  <conditionalFormatting sqref="B46:B51">
    <cfRule type="duplicateValues" dxfId="39" priority="44"/>
  </conditionalFormatting>
  <conditionalFormatting sqref="B52:B57">
    <cfRule type="duplicateValues" dxfId="38" priority="42"/>
  </conditionalFormatting>
  <conditionalFormatting sqref="B58:B63">
    <cfRule type="duplicateValues" dxfId="37" priority="40"/>
  </conditionalFormatting>
  <conditionalFormatting sqref="B64:B69">
    <cfRule type="duplicateValues" dxfId="36" priority="37"/>
  </conditionalFormatting>
  <conditionalFormatting sqref="B70:B75">
    <cfRule type="duplicateValues" dxfId="35" priority="34"/>
  </conditionalFormatting>
  <conditionalFormatting sqref="B76:B81">
    <cfRule type="duplicateValues" dxfId="34" priority="32"/>
  </conditionalFormatting>
  <conditionalFormatting sqref="B82:B87">
    <cfRule type="duplicateValues" dxfId="33" priority="30"/>
  </conditionalFormatting>
  <conditionalFormatting sqref="B88:B93">
    <cfRule type="duplicateValues" dxfId="32" priority="27"/>
  </conditionalFormatting>
  <conditionalFormatting sqref="B94:B99">
    <cfRule type="duplicateValues" dxfId="31" priority="24"/>
  </conditionalFormatting>
  <conditionalFormatting sqref="C10:C15">
    <cfRule type="duplicateValues" dxfId="30" priority="71"/>
  </conditionalFormatting>
  <conditionalFormatting sqref="C16:C21">
    <cfRule type="duplicateValues" dxfId="29" priority="68"/>
  </conditionalFormatting>
  <conditionalFormatting sqref="C22:C27">
    <cfRule type="duplicateValues" dxfId="28" priority="65"/>
  </conditionalFormatting>
  <conditionalFormatting sqref="C28:C33">
    <cfRule type="duplicateValues" dxfId="27" priority="53"/>
  </conditionalFormatting>
  <conditionalFormatting sqref="C34:C39">
    <cfRule type="duplicateValues" dxfId="26" priority="51"/>
  </conditionalFormatting>
  <conditionalFormatting sqref="C40:C45">
    <cfRule type="duplicateValues" dxfId="25" priority="48"/>
  </conditionalFormatting>
  <conditionalFormatting sqref="C46:C51">
    <cfRule type="duplicateValues" dxfId="24" priority="45"/>
  </conditionalFormatting>
  <conditionalFormatting sqref="C58:C63">
    <cfRule type="duplicateValues" dxfId="23" priority="41"/>
  </conditionalFormatting>
  <conditionalFormatting sqref="C64:C69">
    <cfRule type="duplicateValues" dxfId="22" priority="38"/>
  </conditionalFormatting>
  <conditionalFormatting sqref="C70:C75">
    <cfRule type="duplicateValues" dxfId="21" priority="35"/>
  </conditionalFormatting>
  <conditionalFormatting sqref="C82:C87">
    <cfRule type="duplicateValues" dxfId="20" priority="31"/>
  </conditionalFormatting>
  <conditionalFormatting sqref="C88:C93">
    <cfRule type="duplicateValues" dxfId="19" priority="28"/>
  </conditionalFormatting>
  <conditionalFormatting sqref="C94:C99">
    <cfRule type="duplicateValues" dxfId="18" priority="25"/>
  </conditionalFormatting>
  <conditionalFormatting sqref="E16:E21">
    <cfRule type="duplicateValues" dxfId="17" priority="15"/>
  </conditionalFormatting>
  <conditionalFormatting sqref="E22:E27">
    <cfRule type="duplicateValues" dxfId="16" priority="14"/>
  </conditionalFormatting>
  <conditionalFormatting sqref="I4:I9">
    <cfRule type="duplicateValues" dxfId="15" priority="21"/>
  </conditionalFormatting>
  <conditionalFormatting sqref="I10:I15">
    <cfRule type="duplicateValues" dxfId="14" priority="18"/>
  </conditionalFormatting>
  <conditionalFormatting sqref="I16:I21">
    <cfRule type="duplicateValues" dxfId="13" priority="17"/>
  </conditionalFormatting>
  <conditionalFormatting sqref="I22:I27">
    <cfRule type="duplicateValues" dxfId="12" priority="16"/>
  </conditionalFormatting>
  <conditionalFormatting sqref="A1:A3 A100:A1048576 B4:B9">
    <cfRule type="duplicateValues" dxfId="11" priority="232"/>
  </conditionalFormatting>
  <conditionalFormatting sqref="C2:C9 C100:C1048576 E1:F3 E4:E15 E100:F1048576">
    <cfRule type="duplicateValues" dxfId="10" priority="242"/>
  </conditionalFormatting>
  <conditionalFormatting sqref="E28:F33">
    <cfRule type="duplicateValues" dxfId="9" priority="13"/>
  </conditionalFormatting>
  <conditionalFormatting sqref="E34:F39">
    <cfRule type="duplicateValues" dxfId="8" priority="12"/>
  </conditionalFormatting>
  <conditionalFormatting sqref="E40:F45">
    <cfRule type="duplicateValues" dxfId="7" priority="11"/>
  </conditionalFormatting>
  <conditionalFormatting sqref="E46:F51">
    <cfRule type="duplicateValues" dxfId="6" priority="10"/>
  </conditionalFormatting>
  <conditionalFormatting sqref="C52:C57 E52:F63">
    <cfRule type="duplicateValues" dxfId="5" priority="43"/>
  </conditionalFormatting>
  <conditionalFormatting sqref="E64:F69">
    <cfRule type="duplicateValues" dxfId="4" priority="9"/>
  </conditionalFormatting>
  <conditionalFormatting sqref="E70:F75">
    <cfRule type="duplicateValues" dxfId="3" priority="8"/>
  </conditionalFormatting>
  <conditionalFormatting sqref="C76:C81 E76:F87">
    <cfRule type="duplicateValues" dxfId="2" priority="33"/>
  </conditionalFormatting>
  <conditionalFormatting sqref="E88:F93">
    <cfRule type="duplicateValues" dxfId="1" priority="7"/>
  </conditionalFormatting>
  <conditionalFormatting sqref="E94:F99">
    <cfRule type="duplicateValues" dxfId="0" priority="6"/>
  </conditionalFormatting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掉落概率表格</vt:lpstr>
      <vt:lpstr>可存档物品</vt:lpstr>
      <vt:lpstr>品质</vt:lpstr>
      <vt:lpstr>特殊属性库</vt:lpstr>
      <vt:lpstr>思考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2020-01-06T09:09:52Z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2052-11.1.0.9305</vt:lpwstr>
  </property>
</Properties>
</file>