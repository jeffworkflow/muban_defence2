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63CFAE7-9B7E-455F-BA17-CAA9C644E66D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Sheet3!$A$3:$BP$332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<sst xmlns="http://schemas.openxmlformats.org/spreadsheetml/2006/main" count="1537" uniqueCount="769">
  <si>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</si>
  <si>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</si>
  <si>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</si>
  <si>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</si>
  <si>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</si>
  <si>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</si>
  <si>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</si>
  <si>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</si>
  <si>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</si>
  <si>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</si>
  <si>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</si>
  <si>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</si>
  <si>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</si>
  <si>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</si>
  <si>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</si>
  <si>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</si>
  <si>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</si>
  <si>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</si>
  <si>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</si>
  <si>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</si>
  <si>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</si>
  <si>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</si>
  <si>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</si>
  <si>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</si>
  <si>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</si>
  <si>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</si>
  <si>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</si>
  <si>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</si>
  <si>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</si>
  <si>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</si>
  <si>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</si>
  <si>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</si>
  <si>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</si>
  <si>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</si>
  <si>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</si>
  <si>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</si>
  <si>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</si>
  <si>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</si>
  <si>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</si>
  <si>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</si>
  <si>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</si>
  <si>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</si>
  <si>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</si>
  <si>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</si>
  <si>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</si>
  <si>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</si>
  <si>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</si>
  <si>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</si>
  <si>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</si>
  <si>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</si>
  <si>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消耗品</t>
  </si>
  <si>
    <t>蓝</t>
  </si>
  <si>
    <t>金</t>
  </si>
  <si>
    <t>镀金锤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</si>
  <si>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</si>
  <si>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</si>
  <si>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</si>
  <si>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</si>
  <si>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</si>
  <si>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</si>
  <si>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</si>
  <si>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</si>
  <si>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</si>
  <si>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</si>
  <si>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</si>
  <si>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</si>
  <si>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</si>
  <si>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</si>
  <si>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</si>
  <si>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</si>
  <si>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</si>
  <si>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</si>
  <si>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</si>
  <si>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</si>
  <si>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</si>
  <si>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</si>
  <si>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</si>
  <si>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</si>
  <si>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</si>
  <si>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</si>
  <si>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</si>
  <si>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</si>
  <si>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</si>
  <si>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</si>
  <si>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</si>
  <si>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</si>
  <si>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</si>
  <si>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</si>
  <si>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</si>
  <si>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</si>
  <si>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</si>
  <si>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</si>
  <si>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</si>
  <si>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</si>
  <si>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</si>
  <si>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</si>
  <si>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</si>
  <si>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</si>
  <si>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</si>
  <si>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</si>
  <si>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</si>
  <si>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</si>
  <si>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</si>
  <si>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</si>
  <si>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</si>
  <si>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</si>
  <si>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</si>
  <si>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</si>
  <si>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</si>
  <si>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</si>
  <si>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</si>
  <si>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</si>
  <si>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</si>
  <si>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</si>
  <si>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</si>
  <si>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</si>
  <si>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</si>
  <si>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</si>
  <si>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</si>
  <si>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</si>
  <si>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</si>
  <si>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</si>
  <si>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</si>
  <si>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</si>
  <si>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</si>
  <si>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</si>
  <si>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</si>
  <si>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</si>
  <si>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</si>
  <si>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</si>
  <si>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</si>
  <si>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</si>
  <si>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</si>
  <si>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</si>
  <si>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</si>
  <si>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</si>
  <si>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</si>
  <si>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</si>
  <si>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</si>
  <si>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</si>
  <si>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</si>
  <si>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</si>
  <si>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</si>
  <si>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</si>
  <si>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</si>
  <si>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</si>
  <si>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</si>
  <si>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</si>
  <si>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</si>
  <si>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</si>
  <si>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</si>
  <si>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</si>
  <si>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</si>
  <si>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</si>
  <si>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</si>
  <si>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</si>
  <si>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</si>
  <si>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</si>
  <si>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</si>
  <si>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</si>
  <si>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</si>
  <si>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</si>
  <si>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</si>
  <si>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</si>
  <si>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</si>
  <si>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</si>
  <si>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</si>
  <si>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</si>
  <si>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</si>
  <si>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</si>
  <si>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</si>
  <si>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</si>
  <si>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</si>
  <si>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</si>
  <si>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</si>
  <si>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</si>
  <si>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</si>
  <si>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</si>
  <si>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</si>
  <si>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</si>
  <si>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</si>
  <si>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</si>
  <si>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</si>
  <si>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</si>
  <si>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</si>
  <si>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</si>
  <si>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</si>
  <si>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</si>
  <si>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</si>
  <si>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</si>
  <si>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</si>
  <si>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</si>
  <si>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</si>
  <si>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</si>
  <si>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</si>
  <si>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</si>
  <si>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</si>
  <si>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</si>
  <si>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</si>
  <si>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</si>
  <si>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</si>
  <si>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</si>
  <si>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</si>
  <si>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</si>
  <si>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</si>
  <si>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</si>
  <si>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</si>
  <si>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</si>
  <si>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</si>
  <si>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</si>
  <si>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</si>
  <si>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</si>
  <si>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</si>
  <si>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</si>
  <si>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</si>
  <si>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</si>
  <si>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</si>
  <si>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</si>
  <si>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</si>
  <si>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</si>
  <si>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</si>
  <si>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</si>
  <si>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</si>
  <si>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</si>
  <si>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</si>
  <si>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</si>
  <si>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</si>
  <si>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</si>
  <si>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</si>
  <si>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</si>
  <si>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</si>
  <si>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</si>
  <si>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</si>
  <si>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</si>
  <si>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</si>
  <si>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</si>
  <si>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</si>
  <si>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</si>
  <si>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</si>
  <si>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</si>
  <si>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</si>
  <si>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</si>
  <si>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</si>
  <si>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</si>
  <si>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</si>
  <si>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</si>
  <si>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</si>
  <si>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</si>
  <si>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</si>
  <si>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</si>
  <si>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</si>
  <si>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</si>
  <si>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</si>
  <si>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</si>
  <si>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</si>
  <si>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</si>
  <si>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</si>
  <si>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</si>
  <si>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</si>
  <si>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</si>
  <si>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</si>
  <si>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</si>
  <si>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</si>
  <si>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</si>
  <si>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</si>
  <si>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</si>
  <si>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</si>
  <si>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</si>
  <si>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</si>
  <si>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</si>
  <si>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</si>
  <si>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</si>
  <si>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</si>
  <si>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</si>
  <si>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</si>
  <si>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</si>
  <si>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</si>
  <si>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</si>
  <si>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</si>
  <si>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</si>
  <si>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</si>
  <si>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</si>
  <si>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</si>
  <si>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</si>
  <si>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</si>
  <si>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</si>
  <si>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</si>
  <si>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</si>
  <si>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</si>
  <si>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</si>
  <si>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</si>
  <si>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</si>
  <si>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</si>
  <si>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</si>
  <si>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</si>
  <si>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</si>
  <si>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</si>
  <si>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</si>
  <si>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</si>
  <si>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</si>
  <si>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</si>
  <si>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</si>
  <si>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</si>
  <si>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</si>
  <si>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</si>
  <si>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</si>
  <si>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</si>
  <si>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</si>
  <si>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</si>
  <si>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</si>
  <si>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</si>
  <si>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</si>
  <si>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</si>
  <si>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</si>
  <si>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</si>
  <si>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</si>
  <si>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</si>
  <si>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</si>
  <si>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</si>
  <si>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</si>
  <si>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</si>
  <si>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</si>
  <si>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</si>
  <si>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</si>
  <si>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</si>
  <si>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</si>
  <si>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</si>
  <si>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</si>
  <si>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</si>
  <si>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</si>
  <si>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</si>
  <si>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</si>
  <si>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</si>
  <si>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</si>
  <si>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</si>
  <si>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</si>
  <si>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</si>
  <si>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</si>
  <si>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</si>
  <si>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</si>
  <si>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</si>
  <si>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</si>
  <si>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</si>
  <si>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</si>
  <si>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</si>
  <si>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</si>
  <si>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</si>
  <si>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</si>
  <si>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</si>
  <si>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</si>
  <si>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</si>
  <si>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</si>
  <si>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</si>
  <si>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</si>
  <si>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</si>
  <si>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</si>
  <si>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</si>
  <si>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</si>
  <si>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</si>
  <si>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</si>
  <si>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</si>
  <si>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</si>
  <si>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</si>
  <si>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</si>
  <si>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</si>
  <si>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</si>
  <si>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</si>
  <si>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</si>
  <si>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</si>
  <si>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</si>
  <si>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</si>
  <si>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</si>
  <si>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</si>
  <si>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</si>
  <si>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</si>
  <si>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</si>
  <si>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</si>
  <si>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</si>
  <si>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</si>
  <si>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</si>
  <si>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</si>
  <si>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</si>
  <si>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</si>
  <si>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</si>
  <si>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</si>
  <si>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</si>
  <si>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</si>
  <si>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</si>
  <si>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</si>
  <si>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</si>
  <si>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</si>
  <si>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</si>
  <si>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</si>
  <si>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</si>
  <si>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</si>
  <si>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</si>
  <si>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</si>
  <si>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</si>
  <si>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</si>
  <si>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</si>
  <si>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</si>
  <si>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</si>
  <si>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</si>
  <si>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</si>
  <si>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</si>
  <si>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</si>
  <si>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</si>
  <si>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</si>
  <si>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</si>
  <si>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</si>
  <si>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</si>
  <si>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</si>
  <si>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</si>
  <si>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</si>
  <si>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</si>
  <si>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</si>
  <si>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</si>
  <si>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</si>
  <si>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</si>
  <si>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</si>
  <si>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</si>
  <si>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</si>
  <si>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</si>
  <si>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</si>
  <si>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</si>
  <si>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</si>
  <si>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</si>
  <si>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</si>
  <si>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</si>
  <si>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</si>
  <si>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</si>
  <si>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</si>
  <si>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</si>
  <si>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</si>
  <si>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</si>
  <si>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</si>
  <si>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</si>
  <si>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</si>
  <si>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</si>
  <si>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</si>
  <si>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</si>
  <si>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</si>
  <si>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</si>
  <si>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</si>
  <si>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</si>
  <si>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</si>
  <si>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</si>
  <si>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</si>
  <si>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</si>
  <si>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</si>
  <si>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</si>
  <si>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</si>
  <si>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</si>
  <si>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</si>
  <si>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</si>
  <si>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</si>
  <si>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</si>
  <si>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</si>
  <si>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</si>
  <si>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</si>
  <si>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</si>
  <si>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</si>
  <si>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</si>
  <si>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</si>
  <si>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</si>
  <si>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</si>
  <si>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</si>
  <si>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</si>
  <si>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</si>
  <si>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</si>
  <si>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</si>
  <si>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</si>
  <si>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</si>
  <si>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</si>
  <si>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</si>
  <si>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</si>
  <si>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</si>
  <si>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</si>
  <si>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</si>
  <si>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</si>
  <si>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</si>
  <si>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</si>
  <si>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</si>
  <si>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</si>
  <si>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</si>
  <si>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</si>
  <si>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</si>
  <si>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</si>
  <si>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</si>
  <si>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</si>
  <si>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</si>
  <si>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</si>
  <si>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</si>
  <si>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</si>
  <si>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</si>
  <si>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</si>
  <si>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</si>
  <si>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</si>
  <si>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</si>
  <si>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</si>
  <si>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</si>
  <si>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</si>
  <si>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</si>
  <si>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</si>
  <si>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</si>
  <si>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</si>
  <si>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</si>
  <si>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</si>
  <si>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</si>
  <si>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</si>
  <si>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</si>
  <si>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</si>
  <si>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</si>
  <si>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</si>
  <si>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</si>
  <si>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</si>
  <si>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</si>
  <si>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</si>
  <si>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</si>
  <si>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</si>
  <si>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</si>
  <si>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</si>
  <si>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</si>
  <si>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</si>
  <si>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</si>
  <si>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</si>
  <si>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</si>
  <si>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</si>
  <si>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</si>
  <si>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</si>
  <si>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</si>
  <si>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</si>
  <si>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</si>
  <si>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</si>
  <si>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</si>
  <si>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</si>
  <si>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</si>
  <si>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</si>
  <si>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</si>
  <si>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</si>
  <si>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</si>
  <si>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</si>
  <si>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</si>
  <si>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</si>
  <si>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</si>
  <si>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</si>
  <si>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</si>
  <si>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</si>
  <si>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</si>
  <si>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</si>
  <si>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</si>
  <si>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</si>
  <si>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</si>
  <si>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</si>
  <si>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</si>
  <si>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</si>
  <si>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</si>
  <si>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</si>
  <si>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</si>
  <si>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</si>
  <si>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</si>
  <si>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</si>
  <si>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</si>
  <si>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</si>
  <si>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</si>
  <si>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</si>
  <si>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</si>
  <si>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</si>
  <si>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</si>
  <si>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</si>
  <si>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</si>
  <si>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</si>
  <si>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</si>
  <si>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</si>
  <si>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</si>
  <si>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</si>
  <si>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</si>
  <si>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</si>
  <si>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</si>
  <si>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</si>
  <si>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</si>
  <si>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</si>
  <si>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</si>
  <si>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</si>
  <si>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</si>
  <si>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</si>
  <si>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</si>
  <si>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</si>
  <si>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</si>
  <si>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</si>
  <si>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</si>
  <si>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</si>
  <si>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</si>
  <si>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</si>
  <si>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</si>
  <si>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</si>
  <si>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</si>
  <si>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</si>
  <si>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</si>
  <si>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</si>
  <si>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</si>
  <si>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</si>
  <si>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</si>
  <si>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</si>
  <si>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</si>
  <si>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</si>
  <si>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</si>
  <si>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</si>
  <si>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</si>
  <si>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</si>
  <si>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</si>
  <si>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</si>
  <si>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</si>
  <si>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</si>
  <si>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</si>
  <si>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</si>
  <si>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</si>
  <si>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</si>
  <si>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</si>
  <si>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</si>
  <si>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</si>
  <si>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</si>
  <si>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</si>
  <si>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</si>
  <si>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</si>
  <si>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</si>
  <si>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</si>
  <si>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</si>
  <si>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</si>
  <si>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</si>
  <si>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</si>
  <si>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</si>
  <si>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</si>
  <si>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</si>
  <si>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</si>
  <si>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</si>
  <si>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</si>
  <si>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</si>
  <si>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</si>
  <si>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</si>
  <si>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</si>
  <si>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</si>
  <si>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</si>
  <si>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</si>
  <si>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</si>
  <si>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</si>
  <si>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</si>
  <si>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</si>
  <si>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</si>
  <si>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</si>
  <si>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</si>
  <si>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</si>
  <si>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</si>
  <si>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</si>
  <si>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</si>
  <si>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</si>
  <si>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</si>
  <si>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</si>
  <si>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</si>
  <si>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</si>
  <si>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</si>
  <si>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</si>
  <si>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</si>
  <si>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</si>
  <si>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</si>
  <si>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</si>
  <si>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</si>
  <si>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</si>
  <si>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</si>
  <si>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</si>
  <si>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</si>
  <si>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</si>
  <si>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</si>
  <si>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</si>
  <si>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</si>
  <si>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</si>
  <si>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</si>
  <si>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</si>
  <si>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</si>
  <si>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</si>
  <si>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</si>
  <si>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</si>
  <si>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</si>
  <si>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</si>
  <si>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</si>
  <si>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</si>
  <si>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</si>
  <si>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</si>
  <si>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</si>
  <si>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</si>
  <si>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</si>
  <si>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</si>
  <si>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</si>
  <si>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</si>
  <si>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</si>
  <si>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</si>
  <si>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</si>
  <si>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</si>
  <si>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</si>
  <si>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</si>
  <si>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</si>
  <si>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</si>
  <si>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</si>
  <si>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</si>
  <si>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</si>
  <si>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</si>
  <si>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</si>
  <si>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</si>
  <si>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</si>
  <si>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</si>
  <si>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</si>
  <si>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</si>
  <si>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</si>
  <si>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</si>
  <si>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</si>
  <si>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</si>
  <si>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</si>
  <si>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</si>
  <si>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</si>
  <si>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</si>
  <si>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</si>
  <si>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</si>
  <si>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</si>
  <si>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</si>
  <si>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</si>
  <si>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</si>
  <si>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</si>
  <si>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</si>
  <si>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</si>
  <si>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</si>
  <si>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</si>
  <si>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</si>
  <si>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</si>
  <si>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</si>
  <si>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</si>
  <si>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</si>
  <si>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</si>
  <si>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</si>
  <si>
    <t>item\yaodai501.blp</t>
    <phoneticPr fontId="12" type="noConversion"/>
  </si>
  <si>
    <t>item\yaodai502.blp</t>
  </si>
  <si>
    <t>item\yaodai503.blp</t>
  </si>
  <si>
    <t>item\yaodai504.blp</t>
  </si>
  <si>
    <t>技能伤害加深</t>
    <phoneticPr fontId="12" type="noConversion"/>
  </si>
  <si>
    <t>【大天使】大宝剑</t>
    <phoneticPr fontId="12" type="noConversion"/>
  </si>
  <si>
    <t>敏捷</t>
    <phoneticPr fontId="12" type="noConversion"/>
  </si>
  <si>
    <t>智力</t>
    <phoneticPr fontId="12" type="noConversion"/>
  </si>
  <si>
    <t>ReplaceableTextures\CommandButtons\BTNGlove.blp</t>
    <phoneticPr fontId="12" type="noConversion"/>
  </si>
  <si>
    <t>ReplaceableTextures\CommandButtons\BTNRobeOfTheMagi.blp</t>
    <phoneticPr fontId="12" type="noConversion"/>
  </si>
  <si>
    <t>tip</t>
    <phoneticPr fontId="12" type="noConversion"/>
  </si>
  <si>
    <t>说明</t>
    <phoneticPr fontId="12" type="noConversion"/>
  </si>
  <si>
    <t>string</t>
    <phoneticPr fontId="12" type="noConversion"/>
  </si>
  <si>
    <t>【吉安娜】法师长袍</t>
    <phoneticPr fontId="12" type="noConversion"/>
  </si>
  <si>
    <t>【迅猛龙】加速手套</t>
    <phoneticPr fontId="12" type="noConversion"/>
  </si>
  <si>
    <t>无尽战刃</t>
    <phoneticPr fontId="12" type="noConversion"/>
  </si>
  <si>
    <t>铁匠之心</t>
    <phoneticPr fontId="12" type="noConversion"/>
  </si>
  <si>
    <t>黑</t>
    <phoneticPr fontId="12" type="noConversion"/>
  </si>
  <si>
    <t>消耗品</t>
    <phoneticPr fontId="12" type="noConversion"/>
  </si>
  <si>
    <t>wjzr.blp</t>
    <phoneticPr fontId="12" type="noConversion"/>
  </si>
  <si>
    <t>dlw.blp</t>
    <phoneticPr fontId="12" type="noConversion"/>
  </si>
  <si>
    <t>tiejiangzhixin.blp</t>
    <phoneticPr fontId="12" type="noConversion"/>
  </si>
  <si>
    <t>会心伤害</t>
    <phoneticPr fontId="12" type="noConversion"/>
  </si>
  <si>
    <t>会心几率</t>
    <phoneticPr fontId="12" type="noConversion"/>
  </si>
  <si>
    <t>生命上限</t>
    <phoneticPr fontId="12" type="noConversion"/>
  </si>
  <si>
    <t>强化成功概率</t>
    <phoneticPr fontId="12" type="noConversion"/>
  </si>
  <si>
    <t>|cffffff00+2%|r 强化成功概率|n</t>
    <phoneticPr fontId="12" type="noConversion"/>
  </si>
  <si>
    <t>|cffcccccc固本培元、养益气血
|cff00ff00点击可食用，最大生命值+50%|n</t>
    <phoneticPr fontId="12" type="noConversion"/>
  </si>
  <si>
    <t>大力丸</t>
    <phoneticPr fontId="12" type="noConversion"/>
  </si>
  <si>
    <t>尔萨斯之拳</t>
    <phoneticPr fontId="12" type="noConversion"/>
  </si>
  <si>
    <t>|cffcccccc暗月洒下第一滩污血，时空之神的瞳孔即将打开。
|cffffff00+%全属性%|r 全属性
|cffffff00+%暴击伤害%% %|r 暴击伤害
|cffffff00+%技暴伤害%% %|r 技暴伤害
|cffffff00+%会心伤害%% %|r 会心伤害|n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</si>
</sst>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CE917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8" fontId="13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179" fontId="3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179" fontId="6" fillId="2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0</xdr:row>
          <xdr:rowOff>0</xdr:rowOff>
        </xdr:from>
        <xdr:to>
          <xdr:col>1</xdr:col>
          <xdr:colOff>685800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P332"/>
  <sheetViews>
    <sheetView tabSelected="1" zoomScale="85" zoomScaleNormal="85" workbookViewId="0">
      <pane xSplit="4" ySplit="3" topLeftCell="E105" activePane="bottomRight" state="frozen"/>
      <selection pane="topRight" activeCell="E1" sqref="E1"/>
      <selection pane="bottomLeft" activeCell="A4" sqref="A4"/>
      <selection pane="bottomRight" activeCell="H141" sqref="H141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34" style="4" customWidth="1"/>
    <col min="6" max="6" width="18" style="4" customWidth="1"/>
    <col min="7" max="7" width="50.375" style="4" customWidth="1"/>
    <col min="8" max="8" width="11.375" style="33" customWidth="1"/>
    <col min="9" max="10" width="11.625" style="33" customWidth="1"/>
    <col min="11" max="11" width="12.5" style="33" customWidth="1"/>
    <col min="12" max="12" width="9" style="33"/>
    <col min="13" max="13" width="12.125" style="33" customWidth="1"/>
    <col min="14" max="14" width="15.375" style="33" customWidth="1"/>
    <col min="15" max="15" width="15.125" style="33" customWidth="1"/>
    <col min="16" max="16" width="16.125" style="33" customWidth="1"/>
    <col min="17" max="19" width="15.125" style="33" customWidth="1"/>
    <col min="20" max="23" width="10.25" style="33" customWidth="1"/>
    <col min="24" max="24" width="18.125" style="33" customWidth="1"/>
    <col min="25" max="25" width="10.25" style="33" customWidth="1"/>
    <col min="26" max="26" width="10.375" style="31"/>
    <col min="27" max="27" width="9" style="31"/>
    <col min="28" max="29" width="11.75" style="31" customWidth="1"/>
    <col min="30" max="32" width="17" style="31" customWidth="1"/>
    <col min="33" max="33" width="6" style="31" customWidth="1"/>
    <col min="34" max="36" width="5.875" style="31" customWidth="1"/>
    <col min="37" max="37" width="6.5" style="3" customWidth="1"/>
    <col min="38" max="38" width="13.75" style="6"/>
    <col min="39" max="45" width="13.625" style="6" customWidth="1"/>
    <col min="46" max="57" width="13.625" style="7" customWidth="1"/>
    <col min="58" max="58" width="13.625" style="8" customWidth="1"/>
    <col min="59" max="59" width="21.75" style="6" customWidth="1"/>
    <col min="60" max="60" width="13.625" style="9" customWidth="1"/>
    <col min="61" max="61" width="12.5" style="7" customWidth="1"/>
    <col min="62" max="63" width="11.5" style="6"/>
    <col min="64" max="64" width="14.125" style="6" customWidth="1"/>
    <col min="65" max="65" width="12.625" style="6"/>
    <col min="66" max="68" width="9" style="6"/>
    <col min="69" max="16384" width="9" style="3"/>
  </cols>
  <sheetData>
    <row r="1" spans="1:68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83</v>
      </c>
      <c r="G1" s="4" t="s">
        <v>750</v>
      </c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2"/>
      <c r="Y1" s="30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18"/>
      <c r="BH1" s="10"/>
      <c r="BI1" s="6"/>
    </row>
    <row r="2" spans="1:68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4" t="s">
        <v>749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2"/>
      <c r="Y2" s="32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18"/>
      <c r="BH2" s="10"/>
      <c r="BI2" s="26"/>
      <c r="BJ2" s="21"/>
      <c r="BP2" s="26" t="s">
        <v>94</v>
      </c>
    </row>
    <row r="3" spans="1:68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4" t="s">
        <v>748</v>
      </c>
      <c r="H3" s="30" t="s">
        <v>13</v>
      </c>
      <c r="I3" s="30" t="s">
        <v>14</v>
      </c>
      <c r="J3" s="33" t="s">
        <v>165</v>
      </c>
      <c r="K3" s="33" t="s">
        <v>15</v>
      </c>
      <c r="L3" s="34" t="s">
        <v>16</v>
      </c>
      <c r="M3" s="30" t="s">
        <v>17</v>
      </c>
      <c r="N3" s="30" t="s">
        <v>18</v>
      </c>
      <c r="O3" s="30" t="s">
        <v>761</v>
      </c>
      <c r="P3" s="30" t="s">
        <v>95</v>
      </c>
      <c r="Q3" s="30" t="s">
        <v>96</v>
      </c>
      <c r="R3" s="30" t="s">
        <v>760</v>
      </c>
      <c r="S3" s="30" t="s">
        <v>19</v>
      </c>
      <c r="T3" s="33" t="s">
        <v>97</v>
      </c>
      <c r="U3" s="33" t="s">
        <v>72</v>
      </c>
      <c r="V3" s="33" t="s">
        <v>22</v>
      </c>
      <c r="W3" s="35" t="s">
        <v>74</v>
      </c>
      <c r="X3" s="35" t="s">
        <v>85</v>
      </c>
      <c r="Y3" s="35" t="s">
        <v>75</v>
      </c>
      <c r="Z3" s="31" t="s">
        <v>76</v>
      </c>
      <c r="AA3" s="31" t="s">
        <v>86</v>
      </c>
      <c r="AB3" s="31" t="s">
        <v>90</v>
      </c>
      <c r="AC3" s="31" t="s">
        <v>742</v>
      </c>
      <c r="AD3" s="31" t="s">
        <v>89</v>
      </c>
      <c r="AE3" s="31" t="s">
        <v>762</v>
      </c>
      <c r="AF3" s="31" t="s">
        <v>763</v>
      </c>
      <c r="AL3" s="6" t="s">
        <v>25</v>
      </c>
      <c r="AM3" s="26" t="s">
        <v>77</v>
      </c>
      <c r="AN3" s="26" t="s">
        <v>78</v>
      </c>
      <c r="AO3" s="16" t="s">
        <v>26</v>
      </c>
      <c r="AP3" s="6" t="s">
        <v>27</v>
      </c>
      <c r="AQ3" s="16" t="s">
        <v>28</v>
      </c>
      <c r="AR3" s="16" t="s">
        <v>29</v>
      </c>
      <c r="AS3" s="16" t="s">
        <v>30</v>
      </c>
      <c r="AT3" s="6" t="s">
        <v>31</v>
      </c>
      <c r="AU3" s="16" t="s">
        <v>32</v>
      </c>
      <c r="AV3" s="16" t="s">
        <v>33</v>
      </c>
      <c r="AW3" s="16" t="s">
        <v>34</v>
      </c>
      <c r="AX3" s="6" t="s">
        <v>35</v>
      </c>
      <c r="AY3" s="16" t="s">
        <v>36</v>
      </c>
      <c r="AZ3" s="16" t="s">
        <v>37</v>
      </c>
      <c r="BA3" s="16" t="s">
        <v>38</v>
      </c>
      <c r="BB3" s="6" t="s">
        <v>39</v>
      </c>
      <c r="BC3" s="16" t="s">
        <v>40</v>
      </c>
      <c r="BD3" s="16" t="s">
        <v>41</v>
      </c>
      <c r="BE3" s="6" t="s">
        <v>42</v>
      </c>
      <c r="BF3" s="18" t="s">
        <v>43</v>
      </c>
      <c r="BG3" s="26" t="s">
        <v>79</v>
      </c>
      <c r="BH3" s="27" t="s">
        <v>80</v>
      </c>
      <c r="BI3" s="26" t="s">
        <v>84</v>
      </c>
      <c r="BJ3" s="28" t="s">
        <v>81</v>
      </c>
      <c r="BK3" s="26" t="s">
        <v>82</v>
      </c>
      <c r="BL3" s="6" t="s">
        <v>45</v>
      </c>
      <c r="BM3" s="26" t="s">
        <v>73</v>
      </c>
      <c r="BN3" s="26" t="s">
        <v>87</v>
      </c>
      <c r="BO3" s="26" t="s">
        <v>88</v>
      </c>
      <c r="BP3" s="26" t="s">
        <v>93</v>
      </c>
    </row>
    <row r="4" spans="1:68" x14ac:dyDescent="0.15">
      <c r="A4" s="29" t="s">
        <v>99</v>
      </c>
      <c r="B4" s="5" t="s">
        <v>46</v>
      </c>
      <c r="C4" s="5"/>
      <c r="D4" s="5" t="s">
        <v>47</v>
      </c>
      <c r="E4" s="36" t="s">
        <v>98</v>
      </c>
      <c r="H4" s="30"/>
      <c r="I4" s="30"/>
      <c r="J4" s="30"/>
      <c r="O4" s="30"/>
      <c r="P4" s="30"/>
      <c r="Q4" s="30"/>
      <c r="R4" s="30"/>
      <c r="S4" s="30"/>
      <c r="W4" s="35"/>
      <c r="X4" s="35"/>
      <c r="Y4" s="35"/>
      <c r="Z4" s="31">
        <v>0.2</v>
      </c>
      <c r="AT4" s="6"/>
      <c r="AU4" s="6"/>
      <c r="AV4" s="6"/>
      <c r="AW4" s="6"/>
      <c r="AX4" s="6"/>
      <c r="AY4" s="6"/>
      <c r="AZ4" s="6"/>
      <c r="BA4" s="6"/>
      <c r="BB4" s="6"/>
      <c r="BC4" s="7">
        <v>200</v>
      </c>
      <c r="BD4" s="7">
        <v>200</v>
      </c>
      <c r="BE4" s="6"/>
      <c r="BF4" s="18"/>
      <c r="BH4" s="10"/>
      <c r="BI4" s="6"/>
      <c r="BJ4" s="21"/>
    </row>
    <row r="5" spans="1:68" x14ac:dyDescent="0.15">
      <c r="A5" s="29" t="s">
        <v>222</v>
      </c>
      <c r="B5" s="5" t="s">
        <v>46</v>
      </c>
      <c r="C5" s="5"/>
      <c r="D5" s="5" t="s">
        <v>51</v>
      </c>
      <c r="E5" s="36" t="s">
        <v>217</v>
      </c>
      <c r="H5" s="30"/>
      <c r="I5" s="30"/>
      <c r="J5" s="30"/>
      <c r="O5" s="30"/>
      <c r="P5" s="30"/>
      <c r="Q5" s="30"/>
      <c r="R5" s="30"/>
      <c r="S5" s="30"/>
      <c r="AK5" s="31"/>
      <c r="AP5" s="7">
        <v>6000000</v>
      </c>
      <c r="AQ5" s="7"/>
      <c r="AR5" s="7"/>
      <c r="AS5" s="7"/>
      <c r="BC5" s="7">
        <v>1000</v>
      </c>
      <c r="BD5" s="7">
        <v>1000</v>
      </c>
    </row>
    <row r="6" spans="1:68" x14ac:dyDescent="0.15">
      <c r="A6" s="14" t="s">
        <v>225</v>
      </c>
      <c r="B6" s="15" t="s">
        <v>46</v>
      </c>
      <c r="C6" s="5" t="s">
        <v>31</v>
      </c>
      <c r="D6" s="5" t="s">
        <v>51</v>
      </c>
      <c r="E6" s="36" t="s">
        <v>218</v>
      </c>
      <c r="H6" s="30"/>
      <c r="I6" s="30"/>
      <c r="J6" s="30"/>
      <c r="O6" s="30"/>
      <c r="P6" s="30"/>
      <c r="Q6" s="30"/>
      <c r="R6" s="30"/>
      <c r="S6" s="30"/>
      <c r="AK6" s="31"/>
      <c r="AP6" s="17"/>
      <c r="AQ6" s="17"/>
      <c r="AR6" s="17"/>
      <c r="AS6" s="17"/>
      <c r="AU6" s="7">
        <v>350</v>
      </c>
      <c r="AV6" s="7">
        <v>350</v>
      </c>
      <c r="AW6" s="7">
        <v>350</v>
      </c>
      <c r="AX6" s="17"/>
      <c r="AY6" s="17"/>
      <c r="AZ6" s="17"/>
      <c r="BA6" s="17"/>
      <c r="BB6" s="17"/>
      <c r="BC6" s="17"/>
      <c r="BD6" s="17"/>
      <c r="BE6" s="17"/>
      <c r="BF6" s="19"/>
      <c r="BH6" s="20">
        <v>-0.1</v>
      </c>
      <c r="BI6" s="17"/>
    </row>
    <row r="7" spans="1:68" x14ac:dyDescent="0.15">
      <c r="A7" s="29" t="s">
        <v>226</v>
      </c>
      <c r="B7" s="5" t="s">
        <v>46</v>
      </c>
      <c r="C7" s="5"/>
      <c r="D7" s="5" t="s">
        <v>51</v>
      </c>
      <c r="E7" s="36" t="s">
        <v>219</v>
      </c>
      <c r="H7" s="30"/>
      <c r="I7" s="30"/>
      <c r="J7" s="30"/>
      <c r="O7" s="30"/>
      <c r="P7" s="30"/>
      <c r="Q7" s="30"/>
      <c r="R7" s="30"/>
      <c r="S7" s="30"/>
      <c r="AK7" s="31"/>
      <c r="AP7" s="7"/>
      <c r="AQ7" s="7">
        <v>350</v>
      </c>
      <c r="AR7" s="7">
        <v>350</v>
      </c>
      <c r="AS7" s="7">
        <v>350</v>
      </c>
      <c r="BB7" s="7">
        <v>11880000</v>
      </c>
    </row>
    <row r="8" spans="1:68" x14ac:dyDescent="0.15">
      <c r="A8" s="13" t="s">
        <v>227</v>
      </c>
      <c r="B8" s="5" t="s">
        <v>46</v>
      </c>
      <c r="C8" s="5"/>
      <c r="D8" s="5" t="s">
        <v>51</v>
      </c>
      <c r="E8" s="36" t="s">
        <v>220</v>
      </c>
      <c r="H8" s="30"/>
      <c r="I8" s="30"/>
      <c r="J8" s="30"/>
      <c r="K8" s="30">
        <v>-0.75</v>
      </c>
      <c r="O8" s="30"/>
      <c r="P8" s="30"/>
      <c r="Q8" s="30"/>
      <c r="R8" s="30"/>
      <c r="S8" s="30"/>
      <c r="AK8" s="31"/>
      <c r="AP8" s="7"/>
      <c r="AQ8" s="7">
        <v>720</v>
      </c>
      <c r="AR8" s="7">
        <v>720</v>
      </c>
      <c r="AS8" s="7">
        <v>720</v>
      </c>
      <c r="BB8" s="7">
        <v>38000000</v>
      </c>
    </row>
    <row r="9" spans="1:68" x14ac:dyDescent="0.15">
      <c r="A9" s="29" t="s">
        <v>228</v>
      </c>
      <c r="B9" s="5" t="s">
        <v>46</v>
      </c>
      <c r="C9" s="5"/>
      <c r="D9" s="5" t="s">
        <v>51</v>
      </c>
      <c r="E9" s="36" t="s">
        <v>221</v>
      </c>
      <c r="H9" s="30"/>
      <c r="I9" s="30"/>
      <c r="J9" s="30"/>
      <c r="O9" s="30"/>
      <c r="P9" s="30"/>
      <c r="Q9" s="30"/>
      <c r="R9" s="30"/>
      <c r="S9" s="30"/>
      <c r="AK9" s="31"/>
      <c r="AP9" s="7">
        <v>6200000</v>
      </c>
      <c r="AQ9" s="7"/>
      <c r="AR9" s="7"/>
      <c r="AS9" s="7"/>
      <c r="BC9" s="7">
        <v>700</v>
      </c>
      <c r="BD9" s="7">
        <v>700</v>
      </c>
    </row>
    <row r="10" spans="1:68" x14ac:dyDescent="0.15">
      <c r="A10" s="3" t="s">
        <v>53</v>
      </c>
      <c r="B10" s="5" t="s">
        <v>46</v>
      </c>
      <c r="C10" s="5"/>
      <c r="D10" s="5" t="s">
        <v>52</v>
      </c>
      <c r="E10" s="36" t="s">
        <v>223</v>
      </c>
      <c r="H10" s="30"/>
      <c r="I10" s="30">
        <v>0.30000000000000004</v>
      </c>
      <c r="J10" s="30"/>
      <c r="O10" s="30"/>
      <c r="P10" s="30"/>
      <c r="Q10" s="30"/>
      <c r="R10" s="30"/>
      <c r="S10" s="30">
        <v>7.5000000000000011E-2</v>
      </c>
      <c r="AK10" s="31"/>
      <c r="AM10" s="6">
        <v>600</v>
      </c>
      <c r="AN10" s="6">
        <v>600</v>
      </c>
      <c r="AO10" s="6">
        <v>600</v>
      </c>
      <c r="AP10" s="7"/>
      <c r="AQ10" s="7"/>
      <c r="AR10" s="7"/>
      <c r="AS10" s="7"/>
    </row>
    <row r="11" spans="1:68" x14ac:dyDescent="0.15">
      <c r="A11" s="29" t="s">
        <v>229</v>
      </c>
      <c r="B11" s="5" t="s">
        <v>46</v>
      </c>
      <c r="C11" s="5"/>
      <c r="D11" s="5" t="s">
        <v>52</v>
      </c>
      <c r="E11" s="36" t="s">
        <v>224</v>
      </c>
      <c r="H11" s="30"/>
      <c r="I11" s="30"/>
      <c r="J11" s="30"/>
      <c r="M11" s="33">
        <v>0.06</v>
      </c>
      <c r="O11" s="30"/>
      <c r="P11" s="30">
        <v>1</v>
      </c>
      <c r="Q11" s="30"/>
      <c r="R11" s="30"/>
      <c r="S11" s="30"/>
      <c r="Z11" s="31">
        <v>-1.5</v>
      </c>
      <c r="AK11" s="31"/>
      <c r="AP11" s="7"/>
      <c r="AQ11" s="7"/>
      <c r="AR11" s="7"/>
      <c r="AS11" s="7"/>
      <c r="BB11" s="7">
        <v>100000000</v>
      </c>
    </row>
    <row r="12" spans="1:68" x14ac:dyDescent="0.15">
      <c r="A12" s="29" t="s">
        <v>230</v>
      </c>
      <c r="B12" s="5" t="s">
        <v>46</v>
      </c>
      <c r="C12" s="5" t="s">
        <v>49</v>
      </c>
      <c r="D12" s="5" t="s">
        <v>51</v>
      </c>
      <c r="E12" s="36" t="s">
        <v>231</v>
      </c>
      <c r="H12" s="30">
        <v>3.7500000000000006E-2</v>
      </c>
      <c r="I12" s="30"/>
      <c r="J12" s="30">
        <v>0.22499999999999998</v>
      </c>
      <c r="O12" s="30"/>
      <c r="P12" s="30"/>
      <c r="Q12" s="30"/>
      <c r="R12" s="30"/>
      <c r="S12" s="30"/>
      <c r="AK12" s="31"/>
      <c r="AP12" s="7"/>
      <c r="AQ12" s="7"/>
      <c r="AR12" s="7"/>
      <c r="AS12" s="7"/>
      <c r="BE12" s="7">
        <v>2200</v>
      </c>
    </row>
    <row r="13" spans="1:68" x14ac:dyDescent="0.15">
      <c r="A13" s="29" t="s">
        <v>232</v>
      </c>
      <c r="B13" s="5" t="s">
        <v>46</v>
      </c>
      <c r="C13" s="5" t="s">
        <v>42</v>
      </c>
      <c r="D13" s="5" t="s">
        <v>51</v>
      </c>
      <c r="E13" s="36" t="s">
        <v>233</v>
      </c>
      <c r="H13" s="30"/>
      <c r="I13" s="30"/>
      <c r="J13" s="30"/>
      <c r="O13" s="30"/>
      <c r="P13" s="30"/>
      <c r="Q13" s="30"/>
      <c r="R13" s="30"/>
      <c r="S13" s="30"/>
      <c r="U13" s="33">
        <v>0.02</v>
      </c>
      <c r="AK13" s="31"/>
      <c r="AP13" s="7"/>
      <c r="AQ13" s="7"/>
      <c r="AR13" s="7"/>
      <c r="AS13" s="7"/>
      <c r="BE13" s="7">
        <v>4400</v>
      </c>
    </row>
    <row r="14" spans="1:68" x14ac:dyDescent="0.15">
      <c r="A14" s="29" t="s">
        <v>240</v>
      </c>
      <c r="B14" s="5" t="s">
        <v>46</v>
      </c>
      <c r="C14" s="5" t="s">
        <v>35</v>
      </c>
      <c r="D14" s="5" t="s">
        <v>51</v>
      </c>
      <c r="E14" s="36" t="s">
        <v>234</v>
      </c>
      <c r="H14" s="30"/>
      <c r="I14" s="30"/>
      <c r="J14" s="30"/>
      <c r="O14" s="30"/>
      <c r="P14" s="30"/>
      <c r="Q14" s="30"/>
      <c r="R14" s="30"/>
      <c r="S14" s="30"/>
      <c r="T14" s="33">
        <v>0.02</v>
      </c>
      <c r="AK14" s="31"/>
      <c r="AP14" s="7"/>
      <c r="AQ14" s="7"/>
      <c r="AR14" s="7"/>
      <c r="AS14" s="7"/>
      <c r="BE14" s="7">
        <v>4200</v>
      </c>
    </row>
    <row r="15" spans="1:68" x14ac:dyDescent="0.15">
      <c r="A15" s="22" t="s">
        <v>236</v>
      </c>
      <c r="B15" s="15" t="s">
        <v>46</v>
      </c>
      <c r="C15" s="5" t="s">
        <v>31</v>
      </c>
      <c r="D15" s="15" t="s">
        <v>52</v>
      </c>
      <c r="E15" s="36" t="s">
        <v>235</v>
      </c>
      <c r="H15" s="30"/>
      <c r="I15" s="30"/>
      <c r="J15" s="30"/>
      <c r="L15" s="33">
        <v>0.22499999999999998</v>
      </c>
      <c r="O15" s="30"/>
      <c r="P15" s="30"/>
      <c r="Q15" s="30"/>
      <c r="R15" s="30"/>
      <c r="S15" s="30"/>
      <c r="Z15" s="31">
        <v>0.44999999999999996</v>
      </c>
      <c r="AA15" s="31">
        <v>0.44999999999999996</v>
      </c>
      <c r="AK15" s="31"/>
      <c r="AP15" s="17"/>
      <c r="AQ15" s="17"/>
      <c r="AR15" s="17"/>
      <c r="AS15" s="17"/>
      <c r="AT15" s="7">
        <v>18760000</v>
      </c>
      <c r="AX15" s="17"/>
      <c r="AY15" s="17"/>
      <c r="AZ15" s="17"/>
      <c r="BA15" s="17"/>
      <c r="BB15" s="17"/>
      <c r="BC15" s="17"/>
      <c r="BD15" s="17"/>
      <c r="BE15" s="17"/>
      <c r="BF15" s="19"/>
      <c r="BH15" s="20"/>
      <c r="BI15" s="17"/>
      <c r="BN15" s="6">
        <v>50</v>
      </c>
    </row>
    <row r="16" spans="1:68" x14ac:dyDescent="0.15">
      <c r="A16" s="22" t="s">
        <v>111</v>
      </c>
      <c r="B16" s="15" t="s">
        <v>46</v>
      </c>
      <c r="C16" s="15" t="s">
        <v>42</v>
      </c>
      <c r="D16" s="15" t="s">
        <v>55</v>
      </c>
      <c r="E16" s="36" t="s">
        <v>57</v>
      </c>
      <c r="H16" s="30"/>
      <c r="I16" s="30"/>
      <c r="J16" s="30"/>
      <c r="L16" s="33">
        <v>0.375</v>
      </c>
      <c r="O16" s="30"/>
      <c r="P16" s="30"/>
      <c r="Q16" s="30"/>
      <c r="R16" s="30"/>
      <c r="S16" s="30"/>
      <c r="AK16" s="31"/>
      <c r="AL16" s="6">
        <v>32000000</v>
      </c>
      <c r="AQ16" s="7"/>
      <c r="AR16" s="7"/>
      <c r="AS16" s="7"/>
      <c r="BB16" s="17"/>
      <c r="BC16" s="17"/>
      <c r="BD16" s="17"/>
      <c r="BE16" s="7">
        <v>31200</v>
      </c>
      <c r="BF16" s="19"/>
      <c r="BH16" s="20"/>
      <c r="BI16" s="17"/>
    </row>
    <row r="17" spans="1:63" x14ac:dyDescent="0.15">
      <c r="A17" s="39" t="s">
        <v>239</v>
      </c>
      <c r="B17" s="5" t="s">
        <v>46</v>
      </c>
      <c r="C17" s="5"/>
      <c r="D17" s="5" t="s">
        <v>55</v>
      </c>
      <c r="E17" s="36" t="s">
        <v>56</v>
      </c>
      <c r="H17" s="30"/>
      <c r="I17" s="30"/>
      <c r="J17" s="30"/>
      <c r="O17" s="30"/>
      <c r="P17" s="30"/>
      <c r="Q17" s="30"/>
      <c r="R17" s="30"/>
      <c r="S17" s="30"/>
      <c r="T17" s="33">
        <v>7.0000000000000007E-2</v>
      </c>
      <c r="AK17" s="31"/>
      <c r="AP17" s="7"/>
      <c r="AQ17" s="7"/>
      <c r="AR17" s="7"/>
      <c r="AS17" s="7"/>
      <c r="BE17" s="7">
        <v>32200</v>
      </c>
    </row>
    <row r="18" spans="1:63" x14ac:dyDescent="0.15">
      <c r="A18" s="22" t="s">
        <v>238</v>
      </c>
      <c r="B18" s="15" t="s">
        <v>46</v>
      </c>
      <c r="C18" s="5" t="s">
        <v>31</v>
      </c>
      <c r="D18" s="15" t="s">
        <v>55</v>
      </c>
      <c r="E18" s="36" t="s">
        <v>237</v>
      </c>
      <c r="H18" s="30"/>
      <c r="I18" s="30"/>
      <c r="J18" s="30"/>
      <c r="O18" s="30"/>
      <c r="P18" s="30"/>
      <c r="Q18" s="30"/>
      <c r="R18" s="30"/>
      <c r="S18" s="30"/>
      <c r="AD18" s="31">
        <v>0.09</v>
      </c>
      <c r="AK18" s="31"/>
      <c r="AP18" s="17"/>
      <c r="AQ18" s="17"/>
      <c r="AR18" s="17"/>
      <c r="AS18" s="17"/>
      <c r="AT18" s="17"/>
      <c r="AU18" s="6">
        <v>3000</v>
      </c>
      <c r="AV18" s="6">
        <v>3000</v>
      </c>
      <c r="AW18" s="6">
        <v>3000</v>
      </c>
      <c r="AX18" s="17"/>
      <c r="AY18" s="17"/>
      <c r="AZ18" s="17"/>
      <c r="BA18" s="17"/>
      <c r="BB18" s="17"/>
      <c r="BC18" s="17"/>
      <c r="BD18" s="17"/>
      <c r="BE18" s="17"/>
      <c r="BF18" s="19"/>
      <c r="BH18" s="20">
        <v>-0.05</v>
      </c>
      <c r="BI18" s="17"/>
    </row>
    <row r="19" spans="1:63" x14ac:dyDescent="0.15">
      <c r="A19" s="29" t="s">
        <v>242</v>
      </c>
      <c r="B19" s="5" t="s">
        <v>46</v>
      </c>
      <c r="C19" s="5" t="s">
        <v>27</v>
      </c>
      <c r="D19" s="5" t="s">
        <v>47</v>
      </c>
      <c r="E19" s="36" t="s">
        <v>241</v>
      </c>
      <c r="H19" s="30"/>
      <c r="I19" s="30"/>
      <c r="J19" s="30"/>
      <c r="O19" s="30"/>
      <c r="P19" s="30"/>
      <c r="Q19" s="30"/>
      <c r="R19" s="30"/>
      <c r="S19" s="30"/>
      <c r="AK19" s="31"/>
      <c r="AP19" s="7"/>
      <c r="AQ19" s="7">
        <v>120</v>
      </c>
      <c r="AR19" s="7">
        <v>120</v>
      </c>
      <c r="AS19" s="7">
        <v>120</v>
      </c>
      <c r="BK19" s="6">
        <v>150000</v>
      </c>
    </row>
    <row r="20" spans="1:63" x14ac:dyDescent="0.15">
      <c r="A20" s="14" t="s">
        <v>244</v>
      </c>
      <c r="B20" s="5" t="s">
        <v>46</v>
      </c>
      <c r="C20" s="5"/>
      <c r="D20" s="5" t="s">
        <v>47</v>
      </c>
      <c r="E20" s="36" t="s">
        <v>243</v>
      </c>
      <c r="H20" s="30"/>
      <c r="I20" s="30"/>
      <c r="J20" s="30"/>
      <c r="O20" s="30"/>
      <c r="Q20" s="30"/>
      <c r="R20" s="30"/>
      <c r="S20" s="30"/>
      <c r="AA20" s="31">
        <v>0.75</v>
      </c>
      <c r="AK20" s="31"/>
      <c r="AP20" s="7"/>
      <c r="AQ20" s="7"/>
      <c r="AR20" s="7"/>
      <c r="AS20" s="7"/>
      <c r="BC20" s="7">
        <v>250</v>
      </c>
      <c r="BD20" s="7">
        <v>250</v>
      </c>
      <c r="BE20" s="7">
        <v>-3500</v>
      </c>
    </row>
    <row r="21" spans="1:63" x14ac:dyDescent="0.15">
      <c r="A21" s="14" t="s">
        <v>254</v>
      </c>
      <c r="B21" s="15" t="s">
        <v>46</v>
      </c>
      <c r="C21" s="15"/>
      <c r="D21" s="15" t="s">
        <v>47</v>
      </c>
      <c r="E21" s="36" t="s">
        <v>245</v>
      </c>
      <c r="H21" s="30"/>
      <c r="I21" s="30"/>
      <c r="J21" s="30"/>
      <c r="O21" s="30"/>
      <c r="P21" s="30"/>
      <c r="Q21" s="30"/>
      <c r="R21" s="30"/>
      <c r="S21" s="30"/>
      <c r="W21" s="33">
        <v>0.03</v>
      </c>
      <c r="AA21" s="31">
        <v>0.375</v>
      </c>
      <c r="AK21" s="31"/>
      <c r="AP21" s="17"/>
      <c r="AQ21" s="7">
        <v>120</v>
      </c>
      <c r="AR21" s="7">
        <v>120</v>
      </c>
      <c r="AS21" s="7">
        <v>120</v>
      </c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9"/>
      <c r="BH21" s="20"/>
      <c r="BI21" s="17"/>
    </row>
    <row r="22" spans="1:63" x14ac:dyDescent="0.15">
      <c r="A22" s="29" t="s">
        <v>248</v>
      </c>
      <c r="B22" s="5" t="s">
        <v>46</v>
      </c>
      <c r="C22" s="5"/>
      <c r="D22" s="5" t="s">
        <v>47</v>
      </c>
      <c r="E22" s="36" t="s">
        <v>247</v>
      </c>
      <c r="H22" s="30"/>
      <c r="I22" s="30"/>
      <c r="J22" s="30"/>
      <c r="O22" s="30"/>
      <c r="P22" s="30"/>
      <c r="Q22" s="30"/>
      <c r="R22" s="30"/>
      <c r="S22" s="30"/>
      <c r="AA22" s="31">
        <v>0.30000000000000004</v>
      </c>
      <c r="AK22" s="31"/>
      <c r="AP22" s="7"/>
      <c r="AQ22" s="7"/>
      <c r="AR22" s="7"/>
      <c r="AS22" s="7"/>
      <c r="BB22" s="6">
        <v>4200000</v>
      </c>
    </row>
    <row r="23" spans="1:63" x14ac:dyDescent="0.15">
      <c r="A23" s="29" t="s">
        <v>252</v>
      </c>
      <c r="B23" s="5" t="s">
        <v>46</v>
      </c>
      <c r="C23" s="5"/>
      <c r="D23" s="5" t="s">
        <v>47</v>
      </c>
      <c r="E23" s="36" t="s">
        <v>249</v>
      </c>
      <c r="H23" s="30"/>
      <c r="I23" s="30"/>
      <c r="J23" s="30"/>
      <c r="M23" s="33">
        <v>0.04</v>
      </c>
      <c r="O23" s="30"/>
      <c r="P23" s="30">
        <v>0.60000000000000009</v>
      </c>
      <c r="Q23" s="30"/>
      <c r="R23" s="30"/>
      <c r="S23" s="30"/>
      <c r="AK23" s="31"/>
      <c r="AP23" s="7"/>
      <c r="AQ23" s="7">
        <v>140</v>
      </c>
      <c r="AR23" s="7">
        <v>140</v>
      </c>
      <c r="AS23" s="7">
        <v>140</v>
      </c>
    </row>
    <row r="24" spans="1:63" x14ac:dyDescent="0.15">
      <c r="A24" s="29" t="s">
        <v>253</v>
      </c>
      <c r="B24" s="5" t="s">
        <v>46</v>
      </c>
      <c r="C24" s="5"/>
      <c r="D24" s="5" t="s">
        <v>47</v>
      </c>
      <c r="E24" s="36" t="s">
        <v>250</v>
      </c>
      <c r="H24" s="30"/>
      <c r="I24" s="30"/>
      <c r="J24" s="30"/>
      <c r="O24" s="30"/>
      <c r="P24" s="30"/>
      <c r="Q24" s="30"/>
      <c r="R24" s="30"/>
      <c r="S24" s="30">
        <v>7.5000000000000011E-2</v>
      </c>
      <c r="AK24" s="31"/>
      <c r="AP24" s="7">
        <v>1800000</v>
      </c>
      <c r="AQ24" s="7"/>
      <c r="AR24" s="7"/>
      <c r="AS24" s="7"/>
    </row>
    <row r="25" spans="1:63" x14ac:dyDescent="0.15">
      <c r="A25" s="29" t="s">
        <v>246</v>
      </c>
      <c r="B25" s="5" t="s">
        <v>46</v>
      </c>
      <c r="C25" s="5"/>
      <c r="D25" s="5" t="s">
        <v>47</v>
      </c>
      <c r="E25" s="36" t="s">
        <v>251</v>
      </c>
      <c r="H25" s="30"/>
      <c r="I25" s="30"/>
      <c r="J25" s="30"/>
      <c r="O25" s="30"/>
      <c r="P25" s="30"/>
      <c r="Q25" s="30"/>
      <c r="R25" s="30"/>
      <c r="S25" s="30"/>
      <c r="AK25" s="31"/>
      <c r="AP25" s="7">
        <v>2000000</v>
      </c>
      <c r="AQ25" s="7"/>
      <c r="AR25" s="7"/>
      <c r="AS25" s="7"/>
      <c r="BB25" s="6"/>
      <c r="BC25" s="7">
        <v>250</v>
      </c>
      <c r="BD25" s="7">
        <v>250</v>
      </c>
      <c r="BG25" s="6">
        <v>30</v>
      </c>
    </row>
    <row r="26" spans="1:63" x14ac:dyDescent="0.15">
      <c r="A26" s="29" t="s">
        <v>259</v>
      </c>
      <c r="B26" s="5" t="s">
        <v>46</v>
      </c>
      <c r="C26" s="5" t="s">
        <v>27</v>
      </c>
      <c r="D26" s="5" t="s">
        <v>51</v>
      </c>
      <c r="E26" s="36" t="s">
        <v>255</v>
      </c>
      <c r="H26" s="30"/>
      <c r="I26" s="30"/>
      <c r="J26" s="30"/>
      <c r="O26" s="30"/>
      <c r="P26" s="30"/>
      <c r="Q26" s="30"/>
      <c r="R26" s="30"/>
      <c r="S26" s="30"/>
      <c r="Z26" s="31">
        <v>0.375</v>
      </c>
      <c r="AK26" s="31"/>
      <c r="AP26" s="7">
        <v>6400000</v>
      </c>
      <c r="AQ26" s="7"/>
      <c r="AR26" s="7"/>
      <c r="AS26" s="7"/>
    </row>
    <row r="27" spans="1:63" x14ac:dyDescent="0.15">
      <c r="A27" s="13" t="s">
        <v>261</v>
      </c>
      <c r="B27" s="5" t="s">
        <v>46</v>
      </c>
      <c r="C27" s="5"/>
      <c r="D27" s="5" t="s">
        <v>51</v>
      </c>
      <c r="E27" s="36" t="s">
        <v>256</v>
      </c>
      <c r="H27" s="30"/>
      <c r="I27" s="30">
        <v>0.30000000000000004</v>
      </c>
      <c r="J27" s="30"/>
      <c r="O27" s="30"/>
      <c r="P27" s="30"/>
      <c r="Q27" s="30"/>
      <c r="R27" s="30"/>
      <c r="S27" s="30"/>
      <c r="AK27" s="31"/>
      <c r="AP27" s="7"/>
      <c r="AQ27" s="7">
        <v>350</v>
      </c>
      <c r="AR27" s="7">
        <v>350</v>
      </c>
      <c r="AS27" s="7">
        <v>350</v>
      </c>
    </row>
    <row r="28" spans="1:63" x14ac:dyDescent="0.15">
      <c r="A28" s="29" t="s">
        <v>260</v>
      </c>
      <c r="B28" s="5" t="s">
        <v>46</v>
      </c>
      <c r="C28" s="5"/>
      <c r="D28" s="5" t="s">
        <v>51</v>
      </c>
      <c r="E28" s="36" t="s">
        <v>257</v>
      </c>
      <c r="H28" s="30">
        <v>0.30000000000000004</v>
      </c>
      <c r="I28" s="30"/>
      <c r="J28" s="30"/>
      <c r="O28" s="30"/>
      <c r="P28" s="30"/>
      <c r="Q28" s="30"/>
      <c r="R28" s="30"/>
      <c r="S28" s="30"/>
      <c r="AK28" s="31"/>
      <c r="AP28" s="7">
        <v>6600000</v>
      </c>
      <c r="AQ28" s="7"/>
      <c r="AR28" s="7"/>
      <c r="AS28" s="7"/>
      <c r="BC28" s="7">
        <v>650</v>
      </c>
      <c r="BD28" s="7">
        <v>650</v>
      </c>
    </row>
    <row r="29" spans="1:63" x14ac:dyDescent="0.15">
      <c r="A29" s="13" t="s">
        <v>262</v>
      </c>
      <c r="B29" s="5" t="s">
        <v>46</v>
      </c>
      <c r="C29" s="5"/>
      <c r="D29" s="5" t="s">
        <v>51</v>
      </c>
      <c r="E29" s="36" t="s">
        <v>258</v>
      </c>
      <c r="H29" s="30"/>
      <c r="I29" s="30"/>
      <c r="J29" s="30"/>
      <c r="O29" s="30"/>
      <c r="P29" s="30"/>
      <c r="Q29" s="30"/>
      <c r="R29" s="30"/>
      <c r="S29" s="30"/>
      <c r="AK29" s="31"/>
      <c r="AP29" s="7"/>
      <c r="AQ29" s="7"/>
      <c r="AR29" s="7"/>
      <c r="AS29" s="7"/>
      <c r="BB29" s="7">
        <v>38000000</v>
      </c>
      <c r="BH29" s="9">
        <v>0.1</v>
      </c>
    </row>
    <row r="30" spans="1:63" x14ac:dyDescent="0.15">
      <c r="A30" s="29" t="s">
        <v>264</v>
      </c>
      <c r="B30" s="5" t="s">
        <v>46</v>
      </c>
      <c r="C30" s="5"/>
      <c r="D30" s="5" t="s">
        <v>52</v>
      </c>
      <c r="E30" s="36" t="s">
        <v>263</v>
      </c>
      <c r="H30" s="30"/>
      <c r="I30" s="30"/>
      <c r="J30" s="30"/>
      <c r="O30" s="30"/>
      <c r="P30" s="30"/>
      <c r="Q30" s="30"/>
      <c r="R30" s="30"/>
      <c r="S30" s="30"/>
      <c r="AA30" s="31">
        <v>0.75</v>
      </c>
      <c r="AK30" s="31"/>
      <c r="AP30" s="7"/>
      <c r="AQ30" s="7">
        <v>1100</v>
      </c>
      <c r="AR30" s="7">
        <v>1100</v>
      </c>
      <c r="AS30" s="7">
        <v>1100</v>
      </c>
    </row>
    <row r="31" spans="1:63" x14ac:dyDescent="0.15">
      <c r="A31" s="22" t="s">
        <v>266</v>
      </c>
      <c r="B31" s="15" t="s">
        <v>46</v>
      </c>
      <c r="C31" s="15"/>
      <c r="D31" s="15" t="s">
        <v>55</v>
      </c>
      <c r="E31" s="36" t="s">
        <v>265</v>
      </c>
      <c r="H31" s="30"/>
      <c r="I31" s="30"/>
      <c r="J31" s="30"/>
      <c r="O31" s="30"/>
      <c r="P31" s="30">
        <v>1.5</v>
      </c>
      <c r="Q31" s="30">
        <v>1.5</v>
      </c>
      <c r="R31" s="30"/>
      <c r="S31" s="30">
        <v>0.2</v>
      </c>
      <c r="AB31" s="31">
        <v>0.5</v>
      </c>
      <c r="AK31" s="31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9"/>
      <c r="BH31" s="20"/>
      <c r="BI31" s="17"/>
    </row>
    <row r="32" spans="1:63" x14ac:dyDescent="0.15">
      <c r="A32" s="14" t="s">
        <v>273</v>
      </c>
      <c r="B32" s="15" t="s">
        <v>46</v>
      </c>
      <c r="C32" s="15"/>
      <c r="D32" s="15" t="s">
        <v>47</v>
      </c>
      <c r="E32" s="36" t="s">
        <v>267</v>
      </c>
      <c r="H32" s="30"/>
      <c r="I32" s="30"/>
      <c r="J32" s="30"/>
      <c r="O32" s="30"/>
      <c r="P32" s="30"/>
      <c r="Q32" s="30"/>
      <c r="R32" s="30"/>
      <c r="S32" s="30"/>
      <c r="Y32" s="33">
        <v>5.000000000000001E-2</v>
      </c>
      <c r="AK32" s="31"/>
      <c r="AP32" s="17"/>
      <c r="AQ32" s="17"/>
      <c r="AR32" s="17"/>
      <c r="AS32" s="17"/>
      <c r="AU32" s="7">
        <v>120</v>
      </c>
      <c r="AV32" s="7">
        <v>120</v>
      </c>
      <c r="AW32" s="7">
        <v>120</v>
      </c>
      <c r="AX32" s="17"/>
      <c r="AY32" s="17"/>
      <c r="AZ32" s="17"/>
      <c r="BA32" s="17"/>
      <c r="BB32" s="6"/>
      <c r="BC32" s="7">
        <v>250</v>
      </c>
      <c r="BD32" s="7">
        <v>250</v>
      </c>
      <c r="BE32" s="17"/>
      <c r="BF32" s="19"/>
      <c r="BH32" s="20"/>
      <c r="BI32" s="17"/>
    </row>
    <row r="33" spans="1:68" x14ac:dyDescent="0.15">
      <c r="A33" s="14" t="s">
        <v>274</v>
      </c>
      <c r="B33" s="15" t="s">
        <v>46</v>
      </c>
      <c r="C33" s="15"/>
      <c r="D33" s="15" t="s">
        <v>47</v>
      </c>
      <c r="E33" s="36" t="s">
        <v>268</v>
      </c>
      <c r="H33" s="30"/>
      <c r="I33" s="30"/>
      <c r="J33" s="30"/>
      <c r="O33" s="30"/>
      <c r="P33" s="30"/>
      <c r="Q33" s="30"/>
      <c r="R33" s="30"/>
      <c r="S33" s="30"/>
      <c r="AK33" s="31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6">
        <v>3250000</v>
      </c>
      <c r="BE33" s="17"/>
      <c r="BF33" s="19"/>
      <c r="BH33" s="20">
        <v>-0.05</v>
      </c>
      <c r="BJ33" s="17"/>
      <c r="BN33" s="6">
        <v>50</v>
      </c>
    </row>
    <row r="34" spans="1:68" s="52" customFormat="1" x14ac:dyDescent="0.15">
      <c r="A34" s="41" t="s">
        <v>275</v>
      </c>
      <c r="B34" s="42" t="s">
        <v>46</v>
      </c>
      <c r="C34" s="42"/>
      <c r="D34" s="42" t="s">
        <v>47</v>
      </c>
      <c r="E34" s="43" t="s">
        <v>269</v>
      </c>
      <c r="F34" s="44"/>
      <c r="G34" s="44"/>
      <c r="H34" s="45"/>
      <c r="I34" s="45"/>
      <c r="J34" s="45"/>
      <c r="K34" s="46"/>
      <c r="L34" s="46">
        <v>7.5000000000000011E-2</v>
      </c>
      <c r="M34" s="46"/>
      <c r="N34" s="46"/>
      <c r="O34" s="45"/>
      <c r="P34" s="45"/>
      <c r="Q34" s="45"/>
      <c r="R34" s="45"/>
      <c r="S34" s="45"/>
      <c r="T34" s="46"/>
      <c r="U34" s="46"/>
      <c r="V34" s="46"/>
      <c r="W34" s="46"/>
      <c r="X34" s="46"/>
      <c r="Y34" s="46"/>
      <c r="Z34" s="47"/>
      <c r="AA34" s="47">
        <v>0.08</v>
      </c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8"/>
      <c r="AM34" s="48"/>
      <c r="AN34" s="48"/>
      <c r="AO34" s="48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50"/>
      <c r="BG34" s="48"/>
      <c r="BH34" s="51"/>
      <c r="BI34" s="49"/>
      <c r="BJ34" s="49">
        <v>150000</v>
      </c>
      <c r="BK34" s="49">
        <v>150000</v>
      </c>
      <c r="BL34" s="48"/>
      <c r="BM34" s="48"/>
      <c r="BN34" s="48"/>
      <c r="BO34" s="48"/>
      <c r="BP34" s="48"/>
    </row>
    <row r="35" spans="1:68" x14ac:dyDescent="0.15">
      <c r="A35" s="29" t="s">
        <v>276</v>
      </c>
      <c r="B35" s="5" t="s">
        <v>46</v>
      </c>
      <c r="C35" s="5"/>
      <c r="D35" s="5" t="s">
        <v>47</v>
      </c>
      <c r="E35" s="36" t="s">
        <v>270</v>
      </c>
      <c r="H35" s="30"/>
      <c r="I35" s="30"/>
      <c r="J35" s="30"/>
      <c r="M35" s="33">
        <v>0.02</v>
      </c>
      <c r="O35" s="30"/>
      <c r="P35" s="30">
        <v>0.30000000000000004</v>
      </c>
      <c r="Q35" s="30"/>
      <c r="R35" s="30"/>
      <c r="S35" s="30"/>
      <c r="AK35" s="31"/>
      <c r="AP35" s="7"/>
      <c r="AQ35" s="7"/>
      <c r="AR35" s="7"/>
      <c r="AS35" s="7"/>
      <c r="AU35" s="7">
        <v>120</v>
      </c>
      <c r="AV35" s="7">
        <v>120</v>
      </c>
      <c r="AW35" s="7">
        <v>120</v>
      </c>
      <c r="BH35" s="9">
        <v>-0.05</v>
      </c>
    </row>
    <row r="36" spans="1:68" x14ac:dyDescent="0.15">
      <c r="A36" s="29" t="s">
        <v>277</v>
      </c>
      <c r="B36" s="5" t="s">
        <v>46</v>
      </c>
      <c r="C36" s="5" t="s">
        <v>31</v>
      </c>
      <c r="D36" s="5" t="s">
        <v>47</v>
      </c>
      <c r="E36" s="36" t="s">
        <v>271</v>
      </c>
      <c r="H36" s="30"/>
      <c r="I36" s="30"/>
      <c r="J36" s="30"/>
      <c r="O36" s="30"/>
      <c r="P36" s="30"/>
      <c r="Q36" s="30"/>
      <c r="R36" s="30"/>
      <c r="S36" s="30"/>
      <c r="Z36" s="38">
        <v>0.375</v>
      </c>
      <c r="AA36" s="38"/>
      <c r="AB36" s="38"/>
      <c r="AC36" s="38"/>
      <c r="AD36" s="38"/>
      <c r="AE36" s="38"/>
      <c r="AF36" s="38"/>
      <c r="AK36" s="31"/>
      <c r="AP36" s="7"/>
      <c r="AQ36" s="7"/>
      <c r="AR36" s="7"/>
      <c r="AS36" s="7"/>
      <c r="BB36" s="6"/>
      <c r="BC36" s="7">
        <v>200</v>
      </c>
      <c r="BD36" s="7">
        <v>200</v>
      </c>
      <c r="BH36" s="20"/>
      <c r="BI36" s="17"/>
    </row>
    <row r="37" spans="1:68" x14ac:dyDescent="0.15">
      <c r="A37" s="14" t="s">
        <v>278</v>
      </c>
      <c r="B37" s="15" t="s">
        <v>46</v>
      </c>
      <c r="C37" s="15"/>
      <c r="D37" s="15" t="s">
        <v>47</v>
      </c>
      <c r="E37" s="36" t="s">
        <v>272</v>
      </c>
      <c r="H37" s="30"/>
      <c r="I37" s="30"/>
      <c r="J37" s="30"/>
      <c r="L37" s="33">
        <v>7.5000000000000011E-2</v>
      </c>
      <c r="O37" s="30"/>
      <c r="P37" s="30"/>
      <c r="Q37" s="30"/>
      <c r="R37" s="30"/>
      <c r="S37" s="30"/>
      <c r="AK37" s="31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9"/>
      <c r="BH37" s="20">
        <v>-0.1</v>
      </c>
      <c r="BI37" s="17"/>
    </row>
    <row r="38" spans="1:68" x14ac:dyDescent="0.15">
      <c r="A38" s="29" t="s">
        <v>291</v>
      </c>
      <c r="B38" s="5" t="s">
        <v>46</v>
      </c>
      <c r="C38" s="5"/>
      <c r="D38" s="5" t="s">
        <v>51</v>
      </c>
      <c r="E38" s="36" t="s">
        <v>284</v>
      </c>
      <c r="H38" s="30"/>
      <c r="I38" s="30"/>
      <c r="J38" s="30"/>
      <c r="O38" s="30"/>
      <c r="P38" s="30"/>
      <c r="Q38" s="30"/>
      <c r="R38" s="30"/>
      <c r="S38" s="30">
        <v>7.5000000000000011E-2</v>
      </c>
      <c r="Z38" s="31">
        <v>-0.75</v>
      </c>
      <c r="AK38" s="31"/>
      <c r="AP38" s="7"/>
      <c r="AQ38" s="7"/>
      <c r="AR38" s="7"/>
      <c r="AS38" s="7"/>
      <c r="BB38" s="7">
        <v>38000000</v>
      </c>
    </row>
    <row r="39" spans="1:68" x14ac:dyDescent="0.15">
      <c r="A39" s="14" t="s">
        <v>292</v>
      </c>
      <c r="B39" s="15" t="s">
        <v>46</v>
      </c>
      <c r="C39" s="15"/>
      <c r="D39" s="5" t="s">
        <v>51</v>
      </c>
      <c r="E39" s="36" t="s">
        <v>285</v>
      </c>
      <c r="H39" s="30"/>
      <c r="I39" s="30"/>
      <c r="J39" s="30"/>
      <c r="O39" s="30"/>
      <c r="P39" s="30"/>
      <c r="Q39" s="30"/>
      <c r="R39" s="30"/>
      <c r="S39" s="30"/>
      <c r="Z39" s="31">
        <v>0.75</v>
      </c>
      <c r="AK39" s="31"/>
      <c r="AP39" s="17"/>
      <c r="AQ39" s="17"/>
      <c r="AR39" s="17"/>
      <c r="AS39" s="17"/>
      <c r="AT39" s="7">
        <v>6440000</v>
      </c>
      <c r="AX39" s="17"/>
      <c r="AY39" s="17"/>
      <c r="AZ39" s="17"/>
      <c r="BA39" s="17"/>
      <c r="BB39" s="17"/>
      <c r="BC39" s="17"/>
      <c r="BD39" s="17"/>
      <c r="BE39" s="17"/>
      <c r="BF39" s="19"/>
      <c r="BH39" s="20"/>
      <c r="BI39" s="17"/>
    </row>
    <row r="40" spans="1:68" x14ac:dyDescent="0.15">
      <c r="A40" s="14" t="s">
        <v>293</v>
      </c>
      <c r="B40" s="15" t="s">
        <v>46</v>
      </c>
      <c r="C40" s="15"/>
      <c r="D40" s="5" t="s">
        <v>51</v>
      </c>
      <c r="E40" s="36" t="s">
        <v>286</v>
      </c>
      <c r="H40" s="30"/>
      <c r="I40" s="30"/>
      <c r="J40" s="30"/>
      <c r="O40" s="30"/>
      <c r="P40" s="30"/>
      <c r="Q40" s="30"/>
      <c r="R40" s="30"/>
      <c r="S40" s="30"/>
      <c r="AK40" s="31"/>
      <c r="AP40" s="17"/>
      <c r="AQ40" s="17"/>
      <c r="AR40" s="17"/>
      <c r="AS40" s="17"/>
      <c r="AT40" s="17"/>
      <c r="AU40" s="7">
        <v>350</v>
      </c>
      <c r="AV40" s="7">
        <v>350</v>
      </c>
      <c r="AW40" s="7">
        <v>350</v>
      </c>
      <c r="AX40" s="17"/>
      <c r="AY40" s="17"/>
      <c r="AZ40" s="17"/>
      <c r="BA40" s="17"/>
      <c r="BE40" s="17"/>
      <c r="BF40" s="19"/>
      <c r="BG40" s="6">
        <v>50</v>
      </c>
      <c r="BH40" s="20"/>
      <c r="BI40" s="17"/>
    </row>
    <row r="41" spans="1:68" x14ac:dyDescent="0.15">
      <c r="A41" s="13" t="s">
        <v>294</v>
      </c>
      <c r="B41" s="5" t="s">
        <v>46</v>
      </c>
      <c r="C41" s="5"/>
      <c r="D41" s="5" t="s">
        <v>51</v>
      </c>
      <c r="E41" s="36" t="s">
        <v>287</v>
      </c>
      <c r="H41" s="30"/>
      <c r="I41" s="30"/>
      <c r="J41" s="30"/>
      <c r="L41" s="33">
        <v>0.15000000000000002</v>
      </c>
      <c r="O41" s="30"/>
      <c r="P41" s="30"/>
      <c r="Q41" s="30"/>
      <c r="R41" s="30"/>
      <c r="S41" s="30"/>
      <c r="Z41" s="31">
        <v>0.52499999999999991</v>
      </c>
      <c r="AK41" s="31"/>
      <c r="AP41" s="7"/>
      <c r="AQ41" s="7"/>
      <c r="AR41" s="7"/>
      <c r="AS41" s="7"/>
      <c r="AU41" s="7">
        <v>375</v>
      </c>
      <c r="AV41" s="7">
        <v>375</v>
      </c>
      <c r="AW41" s="7">
        <v>375</v>
      </c>
    </row>
    <row r="42" spans="1:68" x14ac:dyDescent="0.15">
      <c r="A42" s="29" t="s">
        <v>295</v>
      </c>
      <c r="B42" s="5" t="s">
        <v>46</v>
      </c>
      <c r="C42" s="5" t="s">
        <v>31</v>
      </c>
      <c r="D42" s="5" t="s">
        <v>51</v>
      </c>
      <c r="E42" s="36" t="s">
        <v>288</v>
      </c>
      <c r="H42" s="30"/>
      <c r="I42" s="30"/>
      <c r="J42" s="30"/>
      <c r="O42" s="30"/>
      <c r="P42" s="30"/>
      <c r="Q42" s="30"/>
      <c r="R42" s="30"/>
      <c r="S42" s="30"/>
      <c r="AK42" s="31"/>
      <c r="AP42" s="7"/>
      <c r="AQ42" s="7"/>
      <c r="AR42" s="7"/>
      <c r="AS42" s="7"/>
      <c r="BC42" s="7">
        <v>600</v>
      </c>
      <c r="BD42" s="7">
        <v>600</v>
      </c>
      <c r="BH42" s="20"/>
      <c r="BI42" s="17"/>
      <c r="BN42" s="6">
        <v>50</v>
      </c>
    </row>
    <row r="43" spans="1:68" x14ac:dyDescent="0.15">
      <c r="A43" s="13" t="s">
        <v>296</v>
      </c>
      <c r="B43" s="5" t="s">
        <v>46</v>
      </c>
      <c r="C43" s="5"/>
      <c r="D43" s="5" t="s">
        <v>51</v>
      </c>
      <c r="E43" s="36" t="s">
        <v>289</v>
      </c>
      <c r="H43" s="30"/>
      <c r="I43" s="30"/>
      <c r="J43" s="30"/>
      <c r="O43" s="30"/>
      <c r="P43" s="30"/>
      <c r="Q43" s="30"/>
      <c r="R43" s="30"/>
      <c r="S43" s="30"/>
      <c r="AK43" s="31"/>
      <c r="AP43" s="7"/>
      <c r="AQ43" s="7"/>
      <c r="AR43" s="7"/>
      <c r="AS43" s="7"/>
      <c r="AU43" s="7">
        <v>720</v>
      </c>
      <c r="AV43" s="7">
        <v>720</v>
      </c>
      <c r="AW43" s="7">
        <v>720</v>
      </c>
      <c r="BH43" s="9">
        <v>-0.1</v>
      </c>
      <c r="BN43" s="6">
        <v>50</v>
      </c>
    </row>
    <row r="44" spans="1:68" x14ac:dyDescent="0.15">
      <c r="A44" s="29" t="s">
        <v>297</v>
      </c>
      <c r="B44" s="5" t="s">
        <v>46</v>
      </c>
      <c r="C44" s="5"/>
      <c r="D44" s="5" t="s">
        <v>51</v>
      </c>
      <c r="E44" s="36" t="s">
        <v>290</v>
      </c>
      <c r="H44" s="30"/>
      <c r="I44" s="30"/>
      <c r="J44" s="30"/>
      <c r="O44" s="30"/>
      <c r="P44" s="30"/>
      <c r="Q44" s="30"/>
      <c r="R44" s="30"/>
      <c r="S44" s="30"/>
      <c r="AK44" s="31"/>
      <c r="AP44" s="7"/>
      <c r="AQ44" s="7"/>
      <c r="AR44" s="7"/>
      <c r="AS44" s="7"/>
      <c r="AT44" s="7">
        <v>5700000</v>
      </c>
      <c r="BG44" s="6">
        <v>45</v>
      </c>
      <c r="BH44" s="9">
        <v>-0.05</v>
      </c>
    </row>
    <row r="45" spans="1:68" x14ac:dyDescent="0.15">
      <c r="A45" s="29" t="s">
        <v>298</v>
      </c>
      <c r="B45" s="5" t="s">
        <v>46</v>
      </c>
      <c r="C45" s="5"/>
      <c r="D45" s="5" t="s">
        <v>52</v>
      </c>
      <c r="E45" s="36" t="s">
        <v>281</v>
      </c>
      <c r="H45" s="30"/>
      <c r="I45" s="30"/>
      <c r="J45" s="30"/>
      <c r="M45" s="33">
        <v>0.06</v>
      </c>
      <c r="O45" s="30"/>
      <c r="P45" s="30">
        <v>1.5</v>
      </c>
      <c r="Q45" s="30"/>
      <c r="R45" s="30"/>
      <c r="S45" s="30"/>
      <c r="Z45" s="31">
        <v>0.52499999999999991</v>
      </c>
      <c r="AK45" s="31"/>
      <c r="AP45" s="7"/>
      <c r="AQ45" s="7"/>
      <c r="AR45" s="7"/>
      <c r="AS45" s="7"/>
      <c r="AT45" s="7">
        <v>17760000</v>
      </c>
      <c r="BH45" s="20">
        <v>-0.1</v>
      </c>
      <c r="BI45" s="17"/>
    </row>
    <row r="46" spans="1:68" x14ac:dyDescent="0.15">
      <c r="A46" s="13" t="s">
        <v>299</v>
      </c>
      <c r="B46" s="5" t="s">
        <v>46</v>
      </c>
      <c r="C46" s="5"/>
      <c r="D46" s="5" t="s">
        <v>52</v>
      </c>
      <c r="E46" s="36" t="s">
        <v>282</v>
      </c>
      <c r="H46" s="30"/>
      <c r="I46" s="30"/>
      <c r="J46" s="30"/>
      <c r="O46" s="30"/>
      <c r="P46" s="30"/>
      <c r="Q46" s="30"/>
      <c r="R46" s="30"/>
      <c r="S46" s="30"/>
      <c r="X46" s="33">
        <v>0.09</v>
      </c>
      <c r="AK46" s="31"/>
      <c r="AP46" s="7"/>
      <c r="AQ46" s="7"/>
      <c r="AR46" s="7"/>
      <c r="AS46" s="7"/>
      <c r="AU46" s="7">
        <v>1000</v>
      </c>
      <c r="AV46" s="7">
        <v>1000</v>
      </c>
      <c r="AW46" s="7">
        <v>1000</v>
      </c>
      <c r="BH46" s="20">
        <v>-0.05</v>
      </c>
      <c r="BI46" s="17"/>
    </row>
    <row r="47" spans="1:68" x14ac:dyDescent="0.15">
      <c r="A47" s="22" t="s">
        <v>300</v>
      </c>
      <c r="B47" s="15" t="s">
        <v>46</v>
      </c>
      <c r="C47" s="15"/>
      <c r="D47" s="15" t="s">
        <v>52</v>
      </c>
      <c r="E47" s="36" t="s">
        <v>283</v>
      </c>
      <c r="H47" s="30"/>
      <c r="I47" s="30"/>
      <c r="J47" s="30"/>
      <c r="O47" s="30"/>
      <c r="P47" s="30"/>
      <c r="Q47" s="30"/>
      <c r="R47" s="30"/>
      <c r="S47" s="30"/>
      <c r="AB47" s="31">
        <v>0.25</v>
      </c>
      <c r="AK47" s="31"/>
      <c r="AP47" s="17"/>
      <c r="AQ47" s="17"/>
      <c r="AR47" s="17"/>
      <c r="AS47" s="17"/>
      <c r="AV47" s="7">
        <v>7200</v>
      </c>
      <c r="AX47" s="17"/>
      <c r="AY47" s="17"/>
      <c r="AZ47" s="17"/>
      <c r="BA47" s="17"/>
      <c r="BB47" s="17"/>
      <c r="BC47" s="17"/>
      <c r="BD47" s="17"/>
      <c r="BE47" s="17"/>
      <c r="BF47" s="19"/>
      <c r="BH47" s="20"/>
      <c r="BI47" s="17"/>
    </row>
    <row r="48" spans="1:68" x14ac:dyDescent="0.15">
      <c r="A48" s="13" t="s">
        <v>301</v>
      </c>
      <c r="B48" s="5" t="s">
        <v>46</v>
      </c>
      <c r="C48" s="5"/>
      <c r="D48" s="5" t="s">
        <v>55</v>
      </c>
      <c r="E48" s="36" t="s">
        <v>279</v>
      </c>
      <c r="H48" s="30"/>
      <c r="I48" s="30"/>
      <c r="J48" s="30"/>
      <c r="O48" s="30"/>
      <c r="P48" s="30"/>
      <c r="Q48" s="30"/>
      <c r="R48" s="30"/>
      <c r="S48" s="30"/>
      <c r="Z48" s="31">
        <v>2.25</v>
      </c>
      <c r="AK48" s="31"/>
      <c r="AP48" s="7"/>
      <c r="AQ48" s="7"/>
      <c r="AR48" s="7"/>
      <c r="AS48" s="7"/>
      <c r="AT48" s="7">
        <v>58000000</v>
      </c>
      <c r="BH48" s="20">
        <v>-0.1</v>
      </c>
      <c r="BI48" s="17"/>
    </row>
    <row r="49" spans="1:65" x14ac:dyDescent="0.15">
      <c r="A49" s="14" t="s">
        <v>302</v>
      </c>
      <c r="B49" s="15" t="s">
        <v>46</v>
      </c>
      <c r="C49" s="15"/>
      <c r="D49" s="15" t="s">
        <v>55</v>
      </c>
      <c r="E49" s="36" t="s">
        <v>280</v>
      </c>
      <c r="H49" s="30"/>
      <c r="I49" s="30"/>
      <c r="J49" s="30"/>
      <c r="N49" s="33">
        <v>7.0000000000000007E-2</v>
      </c>
      <c r="O49" s="30"/>
      <c r="P49" s="30"/>
      <c r="Q49" s="30">
        <v>2.5</v>
      </c>
      <c r="R49" s="30"/>
      <c r="S49" s="30"/>
      <c r="AK49" s="31"/>
      <c r="AP49" s="7">
        <v>56000000</v>
      </c>
      <c r="AQ49" s="7">
        <v>3000</v>
      </c>
      <c r="AR49" s="7">
        <v>3000</v>
      </c>
      <c r="AS49" s="7">
        <v>3000</v>
      </c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9"/>
      <c r="BH49" s="20"/>
      <c r="BI49" s="17"/>
    </row>
    <row r="50" spans="1:65" x14ac:dyDescent="0.15">
      <c r="A50" s="29" t="s">
        <v>304</v>
      </c>
      <c r="B50" s="5" t="s">
        <v>46</v>
      </c>
      <c r="C50" s="5"/>
      <c r="D50" s="5" t="s">
        <v>51</v>
      </c>
      <c r="E50" s="36" t="s">
        <v>303</v>
      </c>
      <c r="H50" s="30"/>
      <c r="I50" s="30"/>
      <c r="J50" s="30"/>
      <c r="M50" s="33">
        <v>5.000000000000001E-2</v>
      </c>
      <c r="N50" s="33">
        <v>5.000000000000001E-2</v>
      </c>
      <c r="O50" s="30"/>
      <c r="P50" s="30"/>
      <c r="Q50" s="30"/>
      <c r="R50" s="30"/>
      <c r="S50" s="30"/>
      <c r="AK50" s="31"/>
      <c r="AP50" s="7"/>
      <c r="AQ50" s="7">
        <v>325</v>
      </c>
      <c r="AR50" s="7">
        <v>325</v>
      </c>
      <c r="AS50" s="7">
        <v>325</v>
      </c>
    </row>
    <row r="51" spans="1:65" x14ac:dyDescent="0.15">
      <c r="A51" s="29" t="s">
        <v>311</v>
      </c>
      <c r="B51" s="5" t="s">
        <v>46</v>
      </c>
      <c r="C51" s="5" t="s">
        <v>49</v>
      </c>
      <c r="D51" s="5" t="s">
        <v>47</v>
      </c>
      <c r="E51" s="36" t="s">
        <v>305</v>
      </c>
      <c r="H51" s="30"/>
      <c r="I51" s="30"/>
      <c r="J51" s="30"/>
      <c r="K51" s="33">
        <v>0.15000000000000002</v>
      </c>
      <c r="O51" s="30"/>
      <c r="P51" s="30"/>
      <c r="Q51" s="30"/>
      <c r="R51" s="30"/>
      <c r="S51" s="30"/>
      <c r="AK51" s="31"/>
      <c r="AP51" s="7"/>
      <c r="AQ51" s="7"/>
      <c r="AR51" s="7"/>
      <c r="AS51" s="7"/>
    </row>
    <row r="52" spans="1:65" x14ac:dyDescent="0.15">
      <c r="A52" s="29" t="s">
        <v>312</v>
      </c>
      <c r="B52" s="5" t="s">
        <v>46</v>
      </c>
      <c r="C52" s="5" t="s">
        <v>42</v>
      </c>
      <c r="D52" s="5" t="s">
        <v>47</v>
      </c>
      <c r="E52" s="36" t="s">
        <v>307</v>
      </c>
      <c r="H52" s="30"/>
      <c r="I52" s="30"/>
      <c r="J52" s="30"/>
      <c r="O52" s="30"/>
      <c r="P52" s="30"/>
      <c r="Q52" s="30"/>
      <c r="R52" s="30"/>
      <c r="S52" s="30"/>
      <c r="AK52" s="31"/>
      <c r="AP52" s="7"/>
      <c r="AQ52" s="7"/>
      <c r="AR52" s="7"/>
      <c r="AS52" s="7"/>
      <c r="BF52" s="8">
        <v>5</v>
      </c>
    </row>
    <row r="53" spans="1:65" x14ac:dyDescent="0.15">
      <c r="A53" s="29" t="s">
        <v>313</v>
      </c>
      <c r="B53" s="5" t="s">
        <v>46</v>
      </c>
      <c r="C53" s="5" t="s">
        <v>49</v>
      </c>
      <c r="D53" s="5" t="s">
        <v>51</v>
      </c>
      <c r="E53" s="36" t="s">
        <v>306</v>
      </c>
      <c r="H53" s="30"/>
      <c r="I53" s="30"/>
      <c r="J53" s="30">
        <v>0.30000000000000004</v>
      </c>
      <c r="O53" s="30"/>
      <c r="P53" s="30"/>
      <c r="Q53" s="30"/>
      <c r="R53" s="30"/>
      <c r="S53" s="30"/>
      <c r="AK53" s="31"/>
      <c r="AP53" s="7"/>
      <c r="AQ53" s="7"/>
      <c r="AR53" s="7"/>
      <c r="AS53" s="7"/>
    </row>
    <row r="54" spans="1:65" x14ac:dyDescent="0.15">
      <c r="A54" s="13" t="s">
        <v>314</v>
      </c>
      <c r="B54" s="5" t="s">
        <v>46</v>
      </c>
      <c r="C54" s="5" t="s">
        <v>42</v>
      </c>
      <c r="D54" s="5" t="s">
        <v>51</v>
      </c>
      <c r="E54" s="36" t="s">
        <v>308</v>
      </c>
      <c r="H54" s="30"/>
      <c r="I54" s="30"/>
      <c r="J54" s="30"/>
      <c r="O54" s="30"/>
      <c r="P54" s="30"/>
      <c r="Q54" s="30"/>
      <c r="R54" s="30"/>
      <c r="S54" s="30"/>
      <c r="AK54" s="31"/>
      <c r="AP54" s="7"/>
      <c r="AQ54" s="7"/>
      <c r="AR54" s="7"/>
      <c r="AS54" s="7"/>
      <c r="BE54" s="7">
        <v>3400</v>
      </c>
      <c r="BM54" s="6">
        <v>300000</v>
      </c>
    </row>
    <row r="55" spans="1:65" x14ac:dyDescent="0.15">
      <c r="A55" s="13" t="s">
        <v>315</v>
      </c>
      <c r="B55" s="5" t="s">
        <v>46</v>
      </c>
      <c r="C55" s="5" t="s">
        <v>35</v>
      </c>
      <c r="D55" s="5" t="s">
        <v>52</v>
      </c>
      <c r="E55" s="36" t="s">
        <v>309</v>
      </c>
      <c r="H55" s="30"/>
      <c r="I55" s="30"/>
      <c r="J55" s="30"/>
      <c r="O55" s="30"/>
      <c r="P55" s="30"/>
      <c r="Q55" s="30"/>
      <c r="R55" s="30"/>
      <c r="S55" s="30"/>
      <c r="X55" s="33">
        <v>0.06</v>
      </c>
      <c r="Y55" s="33">
        <v>5.5E-2</v>
      </c>
      <c r="AK55" s="31"/>
      <c r="AP55" s="7"/>
      <c r="AQ55" s="7"/>
      <c r="AR55" s="7"/>
      <c r="AS55" s="7"/>
      <c r="AX55" s="17"/>
      <c r="AY55" s="7">
        <v>1000</v>
      </c>
      <c r="AZ55" s="7">
        <v>1000</v>
      </c>
      <c r="BA55" s="7">
        <v>1000</v>
      </c>
    </row>
    <row r="56" spans="1:65" x14ac:dyDescent="0.15">
      <c r="A56" s="13" t="s">
        <v>316</v>
      </c>
      <c r="B56" s="5" t="s">
        <v>46</v>
      </c>
      <c r="C56" s="5" t="s">
        <v>49</v>
      </c>
      <c r="D56" s="5" t="s">
        <v>55</v>
      </c>
      <c r="E56" s="36" t="s">
        <v>310</v>
      </c>
      <c r="H56" s="30"/>
      <c r="I56" s="30">
        <v>0.89999999999999991</v>
      </c>
      <c r="O56" s="30"/>
      <c r="P56" s="30"/>
      <c r="Q56" s="30"/>
      <c r="R56" s="30"/>
      <c r="S56" s="30"/>
      <c r="AK56" s="31"/>
      <c r="AP56" s="7"/>
      <c r="AQ56" s="7"/>
      <c r="AR56" s="7"/>
      <c r="AS56" s="7"/>
    </row>
    <row r="57" spans="1:65" x14ac:dyDescent="0.15">
      <c r="A57" s="29" t="s">
        <v>330</v>
      </c>
      <c r="B57" s="5" t="s">
        <v>46</v>
      </c>
      <c r="C57" s="5" t="s">
        <v>35</v>
      </c>
      <c r="D57" s="5" t="s">
        <v>47</v>
      </c>
      <c r="E57" s="36" t="s">
        <v>317</v>
      </c>
      <c r="H57" s="30"/>
      <c r="I57" s="30"/>
      <c r="J57" s="30"/>
      <c r="O57" s="30"/>
      <c r="P57" s="30"/>
      <c r="Q57" s="30"/>
      <c r="R57" s="30"/>
      <c r="S57" s="30"/>
      <c r="AK57" s="31"/>
      <c r="AP57" s="7"/>
      <c r="AQ57" s="7"/>
      <c r="AR57" s="7"/>
      <c r="AS57" s="7"/>
      <c r="AX57" s="7">
        <v>1500000</v>
      </c>
      <c r="BF57" s="8">
        <v>4</v>
      </c>
    </row>
    <row r="58" spans="1:65" x14ac:dyDescent="0.15">
      <c r="A58" s="29" t="s">
        <v>331</v>
      </c>
      <c r="B58" s="5" t="s">
        <v>46</v>
      </c>
      <c r="C58" s="5" t="s">
        <v>42</v>
      </c>
      <c r="D58" s="5" t="s">
        <v>47</v>
      </c>
      <c r="E58" s="36" t="s">
        <v>318</v>
      </c>
      <c r="H58" s="30"/>
      <c r="I58" s="30"/>
      <c r="J58" s="30"/>
      <c r="O58" s="30"/>
      <c r="P58" s="30"/>
      <c r="Q58" s="30"/>
      <c r="R58" s="30"/>
      <c r="S58" s="30"/>
      <c r="AK58" s="31"/>
      <c r="AP58" s="7"/>
      <c r="AQ58" s="7">
        <v>140</v>
      </c>
      <c r="AR58" s="7">
        <v>140</v>
      </c>
      <c r="AS58" s="7">
        <v>140</v>
      </c>
      <c r="BE58" s="7">
        <v>1400</v>
      </c>
    </row>
    <row r="59" spans="1:65" x14ac:dyDescent="0.15">
      <c r="A59" s="29" t="s">
        <v>332</v>
      </c>
      <c r="B59" s="5" t="s">
        <v>46</v>
      </c>
      <c r="C59" s="5" t="s">
        <v>49</v>
      </c>
      <c r="D59" s="5" t="s">
        <v>47</v>
      </c>
      <c r="E59" s="36" t="s">
        <v>321</v>
      </c>
      <c r="H59" s="30"/>
      <c r="I59" s="30">
        <v>0.12</v>
      </c>
      <c r="J59" s="30"/>
      <c r="K59" s="33">
        <v>0.03</v>
      </c>
      <c r="O59" s="30"/>
      <c r="P59" s="30"/>
      <c r="Q59" s="30"/>
      <c r="R59" s="30"/>
      <c r="S59" s="30"/>
      <c r="AK59" s="31"/>
      <c r="AP59" s="7"/>
      <c r="AQ59" s="7"/>
      <c r="AR59" s="7"/>
      <c r="AS59" s="7"/>
      <c r="BF59" s="8">
        <v>4</v>
      </c>
    </row>
    <row r="60" spans="1:65" x14ac:dyDescent="0.15">
      <c r="A60" s="22" t="s">
        <v>333</v>
      </c>
      <c r="B60" s="15" t="s">
        <v>46</v>
      </c>
      <c r="C60" s="5" t="s">
        <v>42</v>
      </c>
      <c r="D60" s="15" t="s">
        <v>47</v>
      </c>
      <c r="E60" s="36" t="s">
        <v>320</v>
      </c>
      <c r="H60" s="30"/>
      <c r="I60" s="30"/>
      <c r="J60" s="30"/>
      <c r="O60" s="30"/>
      <c r="P60" s="30"/>
      <c r="Q60" s="30"/>
      <c r="R60" s="30"/>
      <c r="S60" s="30"/>
      <c r="AK60" s="31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F60" s="8">
        <v>5</v>
      </c>
      <c r="BH60" s="20"/>
      <c r="BI60" s="17"/>
    </row>
    <row r="61" spans="1:65" x14ac:dyDescent="0.15">
      <c r="A61" s="22" t="s">
        <v>334</v>
      </c>
      <c r="B61" s="15" t="s">
        <v>46</v>
      </c>
      <c r="C61" s="5" t="s">
        <v>42</v>
      </c>
      <c r="D61" s="15" t="s">
        <v>51</v>
      </c>
      <c r="E61" s="36" t="s">
        <v>319</v>
      </c>
      <c r="H61" s="30"/>
      <c r="I61" s="30"/>
      <c r="J61" s="30"/>
      <c r="O61" s="30"/>
      <c r="P61" s="30"/>
      <c r="Q61" s="30"/>
      <c r="R61" s="30"/>
      <c r="S61" s="30"/>
      <c r="AK61" s="31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F61" s="8">
        <v>8</v>
      </c>
    </row>
    <row r="62" spans="1:65" x14ac:dyDescent="0.15">
      <c r="A62" s="29" t="s">
        <v>335</v>
      </c>
      <c r="B62" s="5" t="s">
        <v>46</v>
      </c>
      <c r="C62" s="5"/>
      <c r="D62" s="5" t="s">
        <v>51</v>
      </c>
      <c r="E62" s="36" t="s">
        <v>322</v>
      </c>
      <c r="H62" s="30"/>
      <c r="I62" s="30"/>
      <c r="J62" s="30"/>
      <c r="O62" s="30"/>
      <c r="P62" s="30"/>
      <c r="Q62" s="30"/>
      <c r="R62" s="30"/>
      <c r="S62" s="30"/>
      <c r="T62" s="33">
        <v>0.04</v>
      </c>
      <c r="U62" s="33">
        <v>0.04</v>
      </c>
      <c r="AK62" s="31"/>
      <c r="AP62" s="7"/>
      <c r="AQ62" s="7"/>
      <c r="AR62" s="7"/>
      <c r="AS62" s="7"/>
      <c r="BE62" s="7">
        <v>4600</v>
      </c>
    </row>
    <row r="63" spans="1:65" x14ac:dyDescent="0.15">
      <c r="A63" s="29" t="s">
        <v>336</v>
      </c>
      <c r="B63" s="5" t="s">
        <v>46</v>
      </c>
      <c r="C63" s="5" t="s">
        <v>49</v>
      </c>
      <c r="D63" s="5" t="s">
        <v>51</v>
      </c>
      <c r="E63" s="36" t="s">
        <v>323</v>
      </c>
      <c r="H63" s="30">
        <v>3.7500000000000006E-2</v>
      </c>
      <c r="I63" s="30">
        <v>0.22499999999999998</v>
      </c>
      <c r="J63" s="30"/>
      <c r="O63" s="30"/>
      <c r="P63" s="30"/>
      <c r="Q63" s="30"/>
      <c r="R63" s="30"/>
      <c r="S63" s="30"/>
      <c r="AK63" s="31"/>
      <c r="AP63" s="7"/>
      <c r="AQ63" s="7"/>
      <c r="AR63" s="7"/>
      <c r="AS63" s="7"/>
      <c r="BI63" s="17">
        <v>300000</v>
      </c>
    </row>
    <row r="64" spans="1:65" x14ac:dyDescent="0.15">
      <c r="A64" s="13" t="s">
        <v>337</v>
      </c>
      <c r="B64" s="5" t="s">
        <v>46</v>
      </c>
      <c r="C64" s="5"/>
      <c r="D64" s="5" t="s">
        <v>51</v>
      </c>
      <c r="E64" s="36" t="s">
        <v>324</v>
      </c>
      <c r="H64" s="30"/>
      <c r="I64" s="30"/>
      <c r="J64" s="30"/>
      <c r="O64" s="30"/>
      <c r="P64" s="30"/>
      <c r="Q64" s="30"/>
      <c r="R64" s="30"/>
      <c r="S64" s="30"/>
      <c r="Z64" s="31">
        <v>0.30000000000000004</v>
      </c>
      <c r="AK64" s="31"/>
      <c r="AP64" s="7"/>
      <c r="AQ64" s="7"/>
      <c r="AR64" s="7"/>
      <c r="AS64" s="7"/>
      <c r="BC64" s="7">
        <v>700</v>
      </c>
      <c r="BD64" s="7">
        <v>700</v>
      </c>
      <c r="BE64" s="7">
        <v>3800</v>
      </c>
    </row>
    <row r="65" spans="1:66" x14ac:dyDescent="0.15">
      <c r="A65" s="22" t="s">
        <v>338</v>
      </c>
      <c r="B65" s="15" t="s">
        <v>46</v>
      </c>
      <c r="C65" s="5" t="s">
        <v>49</v>
      </c>
      <c r="D65" s="15" t="s">
        <v>52</v>
      </c>
      <c r="E65" s="36" t="s">
        <v>325</v>
      </c>
      <c r="H65" s="30">
        <v>7.5000000000000011E-2</v>
      </c>
      <c r="I65" s="30">
        <v>7.5000000000000011E-2</v>
      </c>
      <c r="J65" s="30">
        <v>7.5000000000000011E-2</v>
      </c>
      <c r="K65" s="33">
        <v>0.44999999999999996</v>
      </c>
      <c r="O65" s="30"/>
      <c r="P65" s="30"/>
      <c r="Q65" s="30"/>
      <c r="R65" s="30"/>
      <c r="S65" s="30"/>
      <c r="AK65" s="31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H65" s="20"/>
      <c r="BI65" s="17"/>
    </row>
    <row r="66" spans="1:66" x14ac:dyDescent="0.15">
      <c r="A66" s="22" t="s">
        <v>339</v>
      </c>
      <c r="B66" s="15" t="s">
        <v>46</v>
      </c>
      <c r="C66" s="5" t="s">
        <v>42</v>
      </c>
      <c r="D66" s="15" t="s">
        <v>52</v>
      </c>
      <c r="E66" s="36" t="s">
        <v>329</v>
      </c>
      <c r="H66" s="30"/>
      <c r="I66" s="30"/>
      <c r="J66" s="30"/>
      <c r="O66" s="30"/>
      <c r="P66" s="30"/>
      <c r="Q66" s="30"/>
      <c r="R66" s="30"/>
      <c r="S66" s="30"/>
      <c r="T66" s="33">
        <v>5.000000000000001E-2</v>
      </c>
      <c r="W66" s="33">
        <v>7.4999999999999997E-2</v>
      </c>
      <c r="AK66" s="31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7">
        <v>15500</v>
      </c>
      <c r="BF66" s="19"/>
      <c r="BH66" s="20"/>
      <c r="BI66" s="17"/>
    </row>
    <row r="67" spans="1:66" x14ac:dyDescent="0.15">
      <c r="A67" s="22" t="s">
        <v>340</v>
      </c>
      <c r="B67" s="15" t="s">
        <v>46</v>
      </c>
      <c r="C67" s="15"/>
      <c r="D67" s="15" t="s">
        <v>52</v>
      </c>
      <c r="E67" s="36" t="s">
        <v>326</v>
      </c>
      <c r="H67" s="30"/>
      <c r="I67" s="30"/>
      <c r="J67" s="30"/>
      <c r="O67" s="30"/>
      <c r="P67" s="30"/>
      <c r="Q67" s="30"/>
      <c r="R67" s="30"/>
      <c r="S67" s="30"/>
      <c r="AK67" s="31"/>
      <c r="AP67" s="7"/>
      <c r="AQ67" s="7">
        <v>1000</v>
      </c>
      <c r="AR67" s="7">
        <v>1000</v>
      </c>
      <c r="AS67" s="7">
        <v>1000</v>
      </c>
      <c r="AT67" s="17"/>
      <c r="AU67" s="17"/>
      <c r="AV67" s="17"/>
      <c r="AW67" s="17"/>
      <c r="BB67" s="17"/>
      <c r="BC67" s="17"/>
      <c r="BD67" s="17"/>
      <c r="BF67" s="8">
        <v>9</v>
      </c>
      <c r="BH67" s="20"/>
      <c r="BI67" s="17"/>
    </row>
    <row r="68" spans="1:66" x14ac:dyDescent="0.15">
      <c r="A68" s="14" t="s">
        <v>343</v>
      </c>
      <c r="B68" s="15" t="s">
        <v>46</v>
      </c>
      <c r="C68" s="15" t="s">
        <v>342</v>
      </c>
      <c r="D68" s="15" t="s">
        <v>55</v>
      </c>
      <c r="E68" s="36" t="s">
        <v>328</v>
      </c>
      <c r="H68" s="30"/>
      <c r="I68" s="30"/>
      <c r="J68" s="30"/>
      <c r="O68" s="30"/>
      <c r="P68" s="30"/>
      <c r="Q68" s="30"/>
      <c r="R68" s="30"/>
      <c r="S68" s="30"/>
      <c r="V68" s="33">
        <v>5.000000000000001E-2</v>
      </c>
      <c r="AK68" s="31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>
        <v>50000</v>
      </c>
      <c r="BF68" s="19"/>
      <c r="BH68" s="20"/>
      <c r="BI68" s="17"/>
      <c r="BL68" s="6">
        <v>1500</v>
      </c>
    </row>
    <row r="69" spans="1:66" x14ac:dyDescent="0.15">
      <c r="A69" s="13" t="s">
        <v>341</v>
      </c>
      <c r="B69" s="5" t="s">
        <v>46</v>
      </c>
      <c r="C69" s="5"/>
      <c r="D69" s="5" t="s">
        <v>55</v>
      </c>
      <c r="E69" s="36" t="s">
        <v>327</v>
      </c>
      <c r="H69" s="30">
        <v>0.44999999999999996</v>
      </c>
      <c r="I69" s="30"/>
      <c r="J69" s="30"/>
      <c r="O69" s="30"/>
      <c r="P69" s="30"/>
      <c r="Q69" s="30"/>
      <c r="R69" s="30"/>
      <c r="S69" s="30"/>
      <c r="X69" s="33">
        <v>0.125</v>
      </c>
      <c r="AK69" s="31"/>
      <c r="AP69" s="7"/>
      <c r="AQ69" s="7"/>
      <c r="AR69" s="7"/>
      <c r="AS69" s="7"/>
      <c r="BE69" s="7">
        <v>29200</v>
      </c>
      <c r="BF69" s="8">
        <v>12</v>
      </c>
    </row>
    <row r="70" spans="1:66" ht="12.75" customHeight="1" x14ac:dyDescent="0.15">
      <c r="A70" s="14" t="s">
        <v>371</v>
      </c>
      <c r="B70" s="15" t="s">
        <v>46</v>
      </c>
      <c r="C70" s="15"/>
      <c r="D70" s="15" t="s">
        <v>47</v>
      </c>
      <c r="E70" s="36" t="s">
        <v>344</v>
      </c>
      <c r="H70" s="30"/>
      <c r="I70" s="30"/>
      <c r="J70" s="30"/>
      <c r="O70" s="30"/>
      <c r="P70" s="30"/>
      <c r="Q70" s="30"/>
      <c r="R70" s="30"/>
      <c r="S70" s="30"/>
      <c r="Z70" s="31">
        <v>0.52499999999999991</v>
      </c>
      <c r="AK70" s="31"/>
      <c r="AP70" s="17"/>
      <c r="AQ70" s="17"/>
      <c r="AR70" s="17"/>
      <c r="AS70" s="17"/>
      <c r="AT70" s="7">
        <v>1800000</v>
      </c>
      <c r="AU70" s="17"/>
      <c r="AV70" s="17"/>
      <c r="AW70" s="17"/>
      <c r="AX70" s="17"/>
      <c r="AY70" s="17"/>
      <c r="AZ70" s="17"/>
      <c r="BA70" s="17"/>
      <c r="BB70" s="6"/>
      <c r="BE70" s="17"/>
      <c r="BF70" s="19"/>
      <c r="BH70" s="20"/>
      <c r="BI70" s="17"/>
    </row>
    <row r="71" spans="1:66" x14ac:dyDescent="0.15">
      <c r="A71" s="29" t="s">
        <v>372</v>
      </c>
      <c r="B71" s="5" t="s">
        <v>46</v>
      </c>
      <c r="C71" s="5"/>
      <c r="D71" s="5" t="s">
        <v>47</v>
      </c>
      <c r="E71" s="36" t="s">
        <v>345</v>
      </c>
      <c r="H71" s="30"/>
      <c r="I71" s="30"/>
      <c r="J71" s="30"/>
      <c r="O71" s="30"/>
      <c r="P71" s="30">
        <v>0.75</v>
      </c>
      <c r="Q71" s="30"/>
      <c r="R71" s="30"/>
      <c r="S71" s="30"/>
      <c r="AK71" s="31"/>
      <c r="AP71" s="7"/>
      <c r="AQ71" s="7"/>
      <c r="AR71" s="7"/>
      <c r="AS71" s="7"/>
      <c r="AT71" s="7">
        <v>2200000</v>
      </c>
    </row>
    <row r="72" spans="1:66" x14ac:dyDescent="0.15">
      <c r="A72" s="14" t="s">
        <v>373</v>
      </c>
      <c r="B72" s="15" t="s">
        <v>46</v>
      </c>
      <c r="C72" s="15"/>
      <c r="D72" s="15" t="s">
        <v>47</v>
      </c>
      <c r="E72" s="36" t="s">
        <v>346</v>
      </c>
      <c r="H72" s="30"/>
      <c r="I72" s="30"/>
      <c r="J72" s="30"/>
      <c r="O72" s="30"/>
      <c r="P72" s="30"/>
      <c r="Q72" s="30"/>
      <c r="R72" s="30"/>
      <c r="S72" s="30"/>
      <c r="Z72" s="31">
        <v>0.30000000000000004</v>
      </c>
      <c r="AK72" s="31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6">
        <v>3500000</v>
      </c>
      <c r="BE72" s="17"/>
      <c r="BF72" s="19"/>
      <c r="BH72" s="20"/>
      <c r="BI72" s="17"/>
      <c r="BN72" s="6">
        <v>50</v>
      </c>
    </row>
    <row r="73" spans="1:66" x14ac:dyDescent="0.15">
      <c r="A73" s="11" t="s">
        <v>110</v>
      </c>
      <c r="B73" s="5" t="s">
        <v>46</v>
      </c>
      <c r="C73" s="5" t="s">
        <v>31</v>
      </c>
      <c r="D73" s="5" t="s">
        <v>47</v>
      </c>
      <c r="E73" s="36" t="s">
        <v>347</v>
      </c>
      <c r="H73" s="30"/>
      <c r="I73" s="30"/>
      <c r="J73" s="30"/>
      <c r="O73" s="30"/>
      <c r="P73" s="30"/>
      <c r="Q73" s="30"/>
      <c r="R73" s="30"/>
      <c r="S73" s="30"/>
      <c r="AK73" s="31"/>
      <c r="AP73" s="7"/>
      <c r="AQ73" s="7"/>
      <c r="AR73" s="7"/>
      <c r="AS73" s="7"/>
      <c r="AU73" s="7">
        <v>130</v>
      </c>
      <c r="AV73" s="7">
        <v>130</v>
      </c>
      <c r="AW73" s="7">
        <v>130</v>
      </c>
    </row>
    <row r="74" spans="1:66" x14ac:dyDescent="0.15">
      <c r="A74" s="29" t="s">
        <v>374</v>
      </c>
      <c r="B74" s="5" t="s">
        <v>46</v>
      </c>
      <c r="C74" s="5" t="s">
        <v>27</v>
      </c>
      <c r="D74" s="5" t="s">
        <v>47</v>
      </c>
      <c r="E74" s="36" t="s">
        <v>348</v>
      </c>
      <c r="H74" s="30"/>
      <c r="I74" s="30"/>
      <c r="J74" s="30"/>
      <c r="O74" s="30"/>
      <c r="P74" s="30"/>
      <c r="Q74" s="30"/>
      <c r="R74" s="30"/>
      <c r="S74" s="30"/>
      <c r="AA74" s="31">
        <v>0.375</v>
      </c>
      <c r="AK74" s="31"/>
      <c r="AP74" s="7"/>
      <c r="AQ74" s="7"/>
      <c r="AR74" s="7"/>
      <c r="AS74" s="7"/>
      <c r="BL74" s="6">
        <v>150</v>
      </c>
    </row>
    <row r="75" spans="1:66" x14ac:dyDescent="0.15">
      <c r="A75" s="29" t="s">
        <v>375</v>
      </c>
      <c r="B75" s="5" t="s">
        <v>46</v>
      </c>
      <c r="C75" s="5" t="s">
        <v>27</v>
      </c>
      <c r="D75" s="5" t="s">
        <v>47</v>
      </c>
      <c r="E75" s="36" t="s">
        <v>349</v>
      </c>
      <c r="H75" s="30"/>
      <c r="I75" s="30"/>
      <c r="J75" s="30"/>
      <c r="O75" s="30"/>
      <c r="P75" s="30"/>
      <c r="Q75" s="30"/>
      <c r="R75" s="30"/>
      <c r="S75" s="30"/>
      <c r="AK75" s="31"/>
      <c r="AP75" s="7"/>
      <c r="AQ75" s="7">
        <v>130</v>
      </c>
      <c r="AR75" s="7">
        <v>130</v>
      </c>
      <c r="AS75" s="7">
        <v>130</v>
      </c>
      <c r="BJ75" s="6">
        <v>300000</v>
      </c>
    </row>
    <row r="76" spans="1:66" x14ac:dyDescent="0.15">
      <c r="A76" s="13" t="s">
        <v>376</v>
      </c>
      <c r="B76" s="5" t="s">
        <v>46</v>
      </c>
      <c r="C76" s="5" t="s">
        <v>49</v>
      </c>
      <c r="D76" s="5" t="s">
        <v>47</v>
      </c>
      <c r="E76" s="36" t="s">
        <v>350</v>
      </c>
      <c r="H76" s="30"/>
      <c r="I76" s="30"/>
      <c r="J76" s="30"/>
      <c r="K76" s="33">
        <v>0.12</v>
      </c>
      <c r="O76" s="30"/>
      <c r="P76" s="30"/>
      <c r="Q76" s="30"/>
      <c r="R76" s="30"/>
      <c r="S76" s="30"/>
      <c r="AK76" s="31"/>
      <c r="AP76" s="7">
        <v>2200000</v>
      </c>
      <c r="AQ76" s="7"/>
      <c r="AR76" s="7"/>
      <c r="AS76" s="7"/>
    </row>
    <row r="77" spans="1:66" x14ac:dyDescent="0.15">
      <c r="A77" s="14" t="s">
        <v>377</v>
      </c>
      <c r="B77" s="15" t="s">
        <v>46</v>
      </c>
      <c r="C77" s="15"/>
      <c r="D77" s="5" t="s">
        <v>51</v>
      </c>
      <c r="E77" s="36" t="s">
        <v>351</v>
      </c>
      <c r="H77" s="30"/>
      <c r="I77" s="30"/>
      <c r="J77" s="30"/>
      <c r="M77" s="33">
        <v>5.000000000000001E-2</v>
      </c>
      <c r="O77" s="30"/>
      <c r="P77" s="30">
        <v>0.75</v>
      </c>
      <c r="Q77" s="30"/>
      <c r="R77" s="30"/>
      <c r="S77" s="30"/>
      <c r="AK77" s="31"/>
      <c r="AP77" s="17"/>
      <c r="AQ77" s="17"/>
      <c r="AR77" s="17"/>
      <c r="AS77" s="17"/>
      <c r="AU77" s="7">
        <v>375</v>
      </c>
      <c r="AV77" s="7">
        <v>375</v>
      </c>
      <c r="AW77" s="7">
        <v>375</v>
      </c>
      <c r="AX77" s="17"/>
      <c r="AY77" s="17"/>
      <c r="AZ77" s="17"/>
      <c r="BA77" s="17"/>
      <c r="BB77" s="7">
        <v>10500000</v>
      </c>
      <c r="BC77" s="17"/>
      <c r="BD77" s="17"/>
      <c r="BE77" s="17"/>
      <c r="BF77" s="19"/>
      <c r="BH77" s="20"/>
      <c r="BI77" s="17"/>
    </row>
    <row r="78" spans="1:66" x14ac:dyDescent="0.15">
      <c r="A78" s="14" t="s">
        <v>378</v>
      </c>
      <c r="B78" s="15" t="s">
        <v>46</v>
      </c>
      <c r="C78" s="5" t="s">
        <v>27</v>
      </c>
      <c r="D78" s="5" t="s">
        <v>51</v>
      </c>
      <c r="E78" s="36" t="s">
        <v>352</v>
      </c>
      <c r="H78" s="30"/>
      <c r="I78" s="30"/>
      <c r="J78" s="30"/>
      <c r="O78" s="30"/>
      <c r="P78" s="30"/>
      <c r="Q78" s="30"/>
      <c r="R78" s="30"/>
      <c r="S78" s="30"/>
      <c r="AK78" s="31"/>
      <c r="AP78" s="7"/>
      <c r="AQ78" s="7">
        <v>325</v>
      </c>
      <c r="AR78" s="7">
        <v>325</v>
      </c>
      <c r="AS78" s="7">
        <v>325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9"/>
      <c r="BG78" s="6">
        <v>55</v>
      </c>
      <c r="BH78" s="20"/>
      <c r="BI78" s="17"/>
    </row>
    <row r="79" spans="1:66" x14ac:dyDescent="0.15">
      <c r="A79" s="13" t="s">
        <v>379</v>
      </c>
      <c r="B79" s="5" t="s">
        <v>46</v>
      </c>
      <c r="C79" s="5"/>
      <c r="D79" s="5" t="s">
        <v>51</v>
      </c>
      <c r="E79" s="36" t="s">
        <v>353</v>
      </c>
      <c r="H79" s="30"/>
      <c r="I79" s="30"/>
      <c r="J79" s="30"/>
      <c r="O79" s="30"/>
      <c r="P79" s="30"/>
      <c r="Q79" s="30"/>
      <c r="R79" s="30"/>
      <c r="S79" s="30"/>
      <c r="AK79" s="31"/>
      <c r="AP79" s="7"/>
      <c r="AQ79" s="7"/>
      <c r="AR79" s="7"/>
      <c r="AS79" s="7"/>
      <c r="BC79" s="7">
        <v>1200</v>
      </c>
      <c r="BD79" s="7">
        <v>1200</v>
      </c>
    </row>
    <row r="80" spans="1:66" ht="12.75" customHeight="1" x14ac:dyDescent="0.15">
      <c r="A80" s="29" t="s">
        <v>382</v>
      </c>
      <c r="B80" s="5" t="s">
        <v>46</v>
      </c>
      <c r="C80" s="5" t="s">
        <v>27</v>
      </c>
      <c r="D80" s="5" t="s">
        <v>51</v>
      </c>
      <c r="E80" s="36" t="s">
        <v>354</v>
      </c>
      <c r="H80" s="30"/>
      <c r="I80" s="30"/>
      <c r="J80" s="30"/>
      <c r="O80" s="30"/>
      <c r="P80" s="30"/>
      <c r="Q80" s="30"/>
      <c r="R80" s="30"/>
      <c r="S80" s="30"/>
      <c r="AK80" s="31"/>
      <c r="AP80" s="7"/>
      <c r="AQ80" s="7">
        <v>375</v>
      </c>
      <c r="AR80" s="7">
        <v>375</v>
      </c>
      <c r="AS80" s="7">
        <v>375</v>
      </c>
      <c r="BI80" s="17"/>
    </row>
    <row r="81" spans="1:66" x14ac:dyDescent="0.15">
      <c r="A81" s="14" t="s">
        <v>383</v>
      </c>
      <c r="B81" s="15" t="s">
        <v>46</v>
      </c>
      <c r="C81" s="5" t="s">
        <v>42</v>
      </c>
      <c r="D81" s="5" t="s">
        <v>51</v>
      </c>
      <c r="E81" s="36" t="s">
        <v>355</v>
      </c>
      <c r="H81" s="30"/>
      <c r="I81" s="30"/>
      <c r="J81" s="30"/>
      <c r="O81" s="30"/>
      <c r="P81" s="30"/>
      <c r="Q81" s="30"/>
      <c r="R81" s="30"/>
      <c r="S81" s="30"/>
      <c r="AK81" s="31"/>
      <c r="AP81" s="17"/>
      <c r="AQ81" s="17"/>
      <c r="AR81" s="17"/>
      <c r="AS81" s="17"/>
      <c r="AT81" s="17"/>
      <c r="AU81" s="17"/>
      <c r="AV81" s="17"/>
      <c r="AW81" s="17"/>
      <c r="AX81" s="17"/>
      <c r="AY81" s="7">
        <v>350</v>
      </c>
      <c r="AZ81" s="7">
        <v>350</v>
      </c>
      <c r="BA81" s="7">
        <v>350</v>
      </c>
      <c r="BB81" s="17"/>
      <c r="BC81" s="17"/>
      <c r="BD81" s="17"/>
      <c r="BE81" s="7">
        <v>4400</v>
      </c>
      <c r="BH81" s="20"/>
      <c r="BI81" s="17"/>
    </row>
    <row r="82" spans="1:66" x14ac:dyDescent="0.15">
      <c r="A82" s="14" t="s">
        <v>737</v>
      </c>
      <c r="B82" s="15" t="s">
        <v>46</v>
      </c>
      <c r="C82" s="15"/>
      <c r="D82" s="5" t="s">
        <v>51</v>
      </c>
      <c r="E82" s="36" t="s">
        <v>356</v>
      </c>
      <c r="H82" s="30"/>
      <c r="I82" s="30"/>
      <c r="J82" s="30"/>
      <c r="O82" s="30"/>
      <c r="P82" s="30"/>
      <c r="Q82" s="30"/>
      <c r="R82" s="30"/>
      <c r="S82" s="30"/>
      <c r="Z82" s="31">
        <v>0.30000000000000004</v>
      </c>
      <c r="AA82" s="31">
        <v>0.30000000000000004</v>
      </c>
      <c r="AK82" s="31"/>
      <c r="AM82" s="6">
        <v>180</v>
      </c>
      <c r="AN82" s="6">
        <v>180</v>
      </c>
      <c r="AO82" s="6">
        <v>180</v>
      </c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9"/>
      <c r="BH82" s="20"/>
      <c r="BI82" s="17"/>
    </row>
    <row r="83" spans="1:66" x14ac:dyDescent="0.15">
      <c r="A83" s="29" t="s">
        <v>384</v>
      </c>
      <c r="B83" s="5" t="s">
        <v>46</v>
      </c>
      <c r="C83" s="5" t="s">
        <v>31</v>
      </c>
      <c r="D83" s="5" t="s">
        <v>52</v>
      </c>
      <c r="E83" s="36" t="s">
        <v>357</v>
      </c>
      <c r="H83" s="30"/>
      <c r="I83" s="30"/>
      <c r="J83" s="30"/>
      <c r="O83" s="30"/>
      <c r="P83" s="30"/>
      <c r="Q83" s="30"/>
      <c r="R83" s="30"/>
      <c r="S83" s="30"/>
      <c r="AK83" s="31"/>
      <c r="AP83" s="7"/>
      <c r="AQ83" s="7"/>
      <c r="AR83" s="7"/>
      <c r="AS83" s="7"/>
      <c r="AU83" s="7">
        <v>1800</v>
      </c>
      <c r="BG83" s="6">
        <v>80</v>
      </c>
    </row>
    <row r="84" spans="1:66" x14ac:dyDescent="0.15">
      <c r="A84" s="29" t="s">
        <v>385</v>
      </c>
      <c r="B84" s="5" t="s">
        <v>46</v>
      </c>
      <c r="C84" s="5" t="s">
        <v>27</v>
      </c>
      <c r="D84" s="5" t="s">
        <v>52</v>
      </c>
      <c r="E84" s="36" t="s">
        <v>358</v>
      </c>
      <c r="H84" s="30"/>
      <c r="I84" s="30"/>
      <c r="J84" s="30"/>
      <c r="O84" s="30"/>
      <c r="P84" s="30"/>
      <c r="Q84" s="30"/>
      <c r="R84" s="30"/>
      <c r="S84" s="30"/>
      <c r="T84" s="33">
        <v>5.000000000000001E-2</v>
      </c>
      <c r="AA84" s="31">
        <v>0.375</v>
      </c>
      <c r="AK84" s="31"/>
      <c r="AP84" s="7">
        <v>18760000</v>
      </c>
      <c r="AQ84" s="7"/>
      <c r="AR84" s="7"/>
      <c r="AS84" s="7"/>
    </row>
    <row r="85" spans="1:66" x14ac:dyDescent="0.15">
      <c r="A85" s="29" t="s">
        <v>386</v>
      </c>
      <c r="B85" s="5" t="s">
        <v>46</v>
      </c>
      <c r="C85" s="5"/>
      <c r="D85" s="5" t="s">
        <v>52</v>
      </c>
      <c r="E85" s="36" t="s">
        <v>359</v>
      </c>
      <c r="H85" s="30"/>
      <c r="I85" s="30"/>
      <c r="J85" s="30"/>
      <c r="K85" s="33">
        <v>0.30000000000000004</v>
      </c>
      <c r="O85" s="30"/>
      <c r="P85" s="30"/>
      <c r="Q85" s="30"/>
      <c r="R85" s="30"/>
      <c r="S85" s="30"/>
      <c r="AK85" s="31"/>
      <c r="AN85" s="6">
        <v>2500</v>
      </c>
      <c r="AP85" s="7"/>
      <c r="AQ85" s="7"/>
      <c r="AR85" s="7"/>
      <c r="AS85" s="7"/>
      <c r="BN85" s="6">
        <v>50</v>
      </c>
    </row>
    <row r="86" spans="1:66" x14ac:dyDescent="0.15">
      <c r="A86" s="22" t="s">
        <v>380</v>
      </c>
      <c r="B86" s="15" t="s">
        <v>46</v>
      </c>
      <c r="C86" s="5" t="s">
        <v>27</v>
      </c>
      <c r="D86" s="15" t="s">
        <v>52</v>
      </c>
      <c r="E86" s="36" t="s">
        <v>360</v>
      </c>
      <c r="H86" s="30"/>
      <c r="I86" s="30"/>
      <c r="J86" s="30"/>
      <c r="L86" s="33">
        <v>0.30000000000000004</v>
      </c>
      <c r="O86" s="30"/>
      <c r="P86" s="30"/>
      <c r="Q86" s="30"/>
      <c r="R86" s="30"/>
      <c r="S86" s="30"/>
      <c r="AD86" s="31">
        <v>0.08</v>
      </c>
      <c r="AK86" s="31"/>
      <c r="AP86" s="7"/>
      <c r="AQ86" s="7">
        <v>1200</v>
      </c>
      <c r="AR86" s="7">
        <v>1200</v>
      </c>
      <c r="AS86" s="7">
        <v>1200</v>
      </c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9"/>
      <c r="BH86" s="20"/>
      <c r="BI86" s="17"/>
    </row>
    <row r="87" spans="1:66" x14ac:dyDescent="0.15">
      <c r="A87" s="22" t="s">
        <v>387</v>
      </c>
      <c r="B87" s="15" t="s">
        <v>46</v>
      </c>
      <c r="C87" s="5" t="s">
        <v>27</v>
      </c>
      <c r="D87" s="15" t="s">
        <v>52</v>
      </c>
      <c r="E87" s="36" t="s">
        <v>361</v>
      </c>
      <c r="H87" s="30"/>
      <c r="I87" s="30"/>
      <c r="J87" s="30"/>
      <c r="O87" s="30"/>
      <c r="P87" s="30"/>
      <c r="Q87" s="30"/>
      <c r="R87" s="30"/>
      <c r="S87" s="30"/>
      <c r="U87" s="33">
        <v>5.000000000000001E-2</v>
      </c>
      <c r="V87" s="33">
        <v>5.000000000000001E-2</v>
      </c>
      <c r="AK87" s="31"/>
      <c r="AP87" s="7"/>
      <c r="AQ87" s="7">
        <v>1000</v>
      </c>
      <c r="AR87" s="7">
        <v>1000</v>
      </c>
      <c r="AS87" s="7">
        <v>1000</v>
      </c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9"/>
      <c r="BH87" s="20"/>
      <c r="BI87" s="17"/>
    </row>
    <row r="88" spans="1:66" x14ac:dyDescent="0.15">
      <c r="A88" s="22" t="s">
        <v>381</v>
      </c>
      <c r="B88" s="15" t="s">
        <v>46</v>
      </c>
      <c r="C88" s="15"/>
      <c r="D88" s="15" t="s">
        <v>52</v>
      </c>
      <c r="E88" s="36" t="s">
        <v>362</v>
      </c>
      <c r="H88" s="30"/>
      <c r="I88" s="30"/>
      <c r="J88" s="30"/>
      <c r="O88" s="30"/>
      <c r="P88" s="30"/>
      <c r="Q88" s="30"/>
      <c r="R88" s="30"/>
      <c r="S88" s="30"/>
      <c r="Z88" s="31">
        <v>0.89999999999999991</v>
      </c>
      <c r="AK88" s="31"/>
      <c r="AP88" s="17"/>
      <c r="AQ88" s="17"/>
      <c r="AR88" s="17"/>
      <c r="AS88" s="17"/>
      <c r="AU88" s="7">
        <v>1000</v>
      </c>
      <c r="AV88" s="7">
        <v>1000</v>
      </c>
      <c r="AW88" s="7">
        <v>1000</v>
      </c>
      <c r="BB88" s="17"/>
      <c r="BC88" s="17"/>
      <c r="BD88" s="17"/>
      <c r="BE88" s="17"/>
      <c r="BF88" s="19"/>
      <c r="BH88" s="20">
        <v>-0.05</v>
      </c>
      <c r="BI88" s="17"/>
    </row>
    <row r="89" spans="1:66" x14ac:dyDescent="0.15">
      <c r="A89" s="13" t="s">
        <v>388</v>
      </c>
      <c r="B89" s="5" t="s">
        <v>46</v>
      </c>
      <c r="C89" s="5"/>
      <c r="D89" s="5" t="s">
        <v>52</v>
      </c>
      <c r="E89" s="36" t="s">
        <v>363</v>
      </c>
      <c r="H89" s="30"/>
      <c r="I89" s="30"/>
      <c r="J89" s="30"/>
      <c r="O89" s="30"/>
      <c r="P89" s="30"/>
      <c r="Q89" s="30"/>
      <c r="R89" s="30"/>
      <c r="S89" s="30">
        <v>0.12</v>
      </c>
      <c r="AK89" s="31"/>
      <c r="AP89" s="7"/>
      <c r="AQ89" s="7"/>
      <c r="AR89" s="7">
        <v>7200</v>
      </c>
      <c r="AS89" s="7"/>
    </row>
    <row r="90" spans="1:66" x14ac:dyDescent="0.15">
      <c r="A90" s="13" t="s">
        <v>743</v>
      </c>
      <c r="B90" s="5" t="s">
        <v>46</v>
      </c>
      <c r="C90" s="5" t="s">
        <v>25</v>
      </c>
      <c r="D90" s="5" t="s">
        <v>52</v>
      </c>
      <c r="E90" s="36" t="s">
        <v>364</v>
      </c>
      <c r="H90" s="30"/>
      <c r="I90" s="30"/>
      <c r="J90" s="30"/>
      <c r="O90" s="30"/>
      <c r="P90" s="30"/>
      <c r="Q90" s="30"/>
      <c r="R90" s="30"/>
      <c r="S90" s="30"/>
      <c r="AK90" s="31"/>
      <c r="AL90" s="6">
        <v>8880000</v>
      </c>
      <c r="AM90" s="6">
        <v>888</v>
      </c>
      <c r="AN90" s="6">
        <v>888</v>
      </c>
      <c r="AO90" s="6">
        <v>888</v>
      </c>
      <c r="AP90" s="7"/>
      <c r="AQ90" s="7"/>
      <c r="AR90" s="7"/>
      <c r="AS90" s="7"/>
    </row>
    <row r="91" spans="1:66" x14ac:dyDescent="0.15">
      <c r="A91" s="22" t="s">
        <v>389</v>
      </c>
      <c r="B91" s="15" t="s">
        <v>46</v>
      </c>
      <c r="C91" s="5" t="s">
        <v>31</v>
      </c>
      <c r="D91" s="15" t="s">
        <v>52</v>
      </c>
      <c r="E91" s="36" t="s">
        <v>365</v>
      </c>
      <c r="H91" s="30"/>
      <c r="I91" s="30"/>
      <c r="J91" s="30"/>
      <c r="P91" s="30"/>
      <c r="S91" s="30"/>
      <c r="AK91" s="31"/>
      <c r="AP91" s="17"/>
      <c r="AQ91" s="17"/>
      <c r="AR91" s="17"/>
      <c r="AS91" s="17"/>
      <c r="AU91" s="7">
        <v>950</v>
      </c>
      <c r="AV91" s="7">
        <v>950</v>
      </c>
      <c r="AW91" s="7">
        <v>950</v>
      </c>
      <c r="AY91" s="17"/>
      <c r="AZ91" s="17"/>
      <c r="BA91" s="17"/>
      <c r="BB91" s="17"/>
      <c r="BC91" s="17"/>
      <c r="BD91" s="17"/>
      <c r="BE91" s="17"/>
      <c r="BF91" s="19"/>
      <c r="BG91" s="6">
        <v>85</v>
      </c>
      <c r="BH91" s="20"/>
      <c r="BI91" s="17"/>
    </row>
    <row r="92" spans="1:66" x14ac:dyDescent="0.15">
      <c r="A92" s="22" t="s">
        <v>390</v>
      </c>
      <c r="B92" s="15" t="s">
        <v>46</v>
      </c>
      <c r="C92" s="5" t="s">
        <v>31</v>
      </c>
      <c r="D92" s="15" t="s">
        <v>55</v>
      </c>
      <c r="E92" s="36" t="s">
        <v>366</v>
      </c>
      <c r="H92" s="30"/>
      <c r="I92" s="30"/>
      <c r="J92" s="30"/>
      <c r="O92" s="30"/>
      <c r="P92" s="30"/>
      <c r="Q92" s="30"/>
      <c r="R92" s="30"/>
      <c r="S92" s="30">
        <v>0.22499999999999998</v>
      </c>
      <c r="AK92" s="31"/>
      <c r="AP92" s="17"/>
      <c r="AQ92" s="17"/>
      <c r="AR92" s="17"/>
      <c r="AS92" s="17"/>
      <c r="AT92" s="7">
        <v>60000000</v>
      </c>
      <c r="AU92" s="7">
        <v>2000</v>
      </c>
      <c r="AV92" s="7">
        <v>2000</v>
      </c>
      <c r="AW92" s="7">
        <v>2000</v>
      </c>
      <c r="AX92" s="17"/>
      <c r="AY92" s="17"/>
      <c r="AZ92" s="17"/>
      <c r="BA92" s="17"/>
      <c r="BB92" s="17"/>
      <c r="BC92" s="17"/>
      <c r="BD92" s="17"/>
      <c r="BE92" s="17"/>
      <c r="BF92" s="19"/>
      <c r="BH92" s="20"/>
      <c r="BI92" s="17"/>
    </row>
    <row r="93" spans="1:66" x14ac:dyDescent="0.15">
      <c r="A93" s="22" t="s">
        <v>391</v>
      </c>
      <c r="B93" s="15" t="s">
        <v>46</v>
      </c>
      <c r="C93" s="15"/>
      <c r="D93" s="15" t="s">
        <v>55</v>
      </c>
      <c r="E93" s="36" t="s">
        <v>367</v>
      </c>
      <c r="H93" s="30"/>
      <c r="I93" s="30"/>
      <c r="J93" s="30"/>
      <c r="L93" s="33">
        <v>0.52499999999999991</v>
      </c>
      <c r="O93" s="30"/>
      <c r="P93" s="30"/>
      <c r="Q93" s="30"/>
      <c r="R93" s="30"/>
      <c r="S93" s="30"/>
      <c r="AB93" s="31">
        <v>0.25</v>
      </c>
      <c r="AK93" s="31"/>
      <c r="AP93" s="17"/>
      <c r="AQ93" s="17"/>
      <c r="AR93" s="17"/>
      <c r="AS93" s="17"/>
      <c r="AT93" s="7">
        <v>62000000</v>
      </c>
      <c r="AV93" s="7">
        <v>20000</v>
      </c>
      <c r="AX93" s="17"/>
      <c r="AY93" s="17"/>
      <c r="AZ93" s="17"/>
      <c r="BA93" s="17"/>
      <c r="BB93" s="17"/>
      <c r="BC93" s="17"/>
      <c r="BD93" s="17"/>
      <c r="BH93" s="20"/>
      <c r="BI93" s="17"/>
    </row>
    <row r="94" spans="1:66" x14ac:dyDescent="0.15">
      <c r="A94" s="22" t="s">
        <v>392</v>
      </c>
      <c r="B94" s="15" t="s">
        <v>46</v>
      </c>
      <c r="C94" s="15"/>
      <c r="D94" s="15" t="s">
        <v>55</v>
      </c>
      <c r="E94" s="36" t="s">
        <v>368</v>
      </c>
      <c r="H94" s="30"/>
      <c r="I94" s="30"/>
      <c r="J94" s="30"/>
      <c r="L94" s="33">
        <v>0.75</v>
      </c>
      <c r="O94" s="30"/>
      <c r="P94" s="30"/>
      <c r="Q94" s="30"/>
      <c r="R94" s="30"/>
      <c r="S94" s="30"/>
      <c r="AK94" s="31"/>
      <c r="AP94" s="7"/>
      <c r="AQ94" s="7"/>
      <c r="AR94" s="7"/>
      <c r="AS94" s="7"/>
      <c r="BB94" s="17"/>
      <c r="BC94" s="17"/>
      <c r="BD94" s="17"/>
      <c r="BE94" s="17"/>
      <c r="BF94" s="19"/>
      <c r="BH94" s="20"/>
      <c r="BI94" s="6">
        <v>30000000</v>
      </c>
      <c r="BJ94" s="6">
        <v>30000000</v>
      </c>
      <c r="BK94" s="6">
        <v>30000000</v>
      </c>
    </row>
    <row r="95" spans="1:66" x14ac:dyDescent="0.15">
      <c r="A95" s="22" t="s">
        <v>393</v>
      </c>
      <c r="B95" s="15" t="s">
        <v>46</v>
      </c>
      <c r="C95" s="15"/>
      <c r="D95" s="15" t="s">
        <v>55</v>
      </c>
      <c r="E95" s="36" t="s">
        <v>369</v>
      </c>
      <c r="H95" s="30"/>
      <c r="I95" s="30"/>
      <c r="J95" s="30"/>
      <c r="L95" s="33">
        <v>0.60000000000000009</v>
      </c>
      <c r="O95" s="30"/>
      <c r="P95" s="30"/>
      <c r="Q95" s="30"/>
      <c r="R95" s="30"/>
      <c r="S95" s="30"/>
      <c r="AK95" s="31"/>
      <c r="AP95" s="7"/>
      <c r="AQ95" s="7"/>
      <c r="AR95" s="7"/>
      <c r="AS95" s="7"/>
      <c r="BB95" s="7">
        <v>95000000</v>
      </c>
      <c r="BC95" s="7">
        <v>5000</v>
      </c>
      <c r="BD95" s="7">
        <v>5000</v>
      </c>
      <c r="BE95" s="17"/>
      <c r="BF95" s="19"/>
      <c r="BH95" s="20"/>
      <c r="BI95" s="17"/>
      <c r="BL95" s="6">
        <v>3000</v>
      </c>
    </row>
    <row r="96" spans="1:66" x14ac:dyDescent="0.15">
      <c r="A96" s="29" t="s">
        <v>394</v>
      </c>
      <c r="B96" s="5" t="s">
        <v>46</v>
      </c>
      <c r="C96" s="5" t="s">
        <v>27</v>
      </c>
      <c r="D96" s="5" t="s">
        <v>55</v>
      </c>
      <c r="E96" s="36" t="s">
        <v>370</v>
      </c>
      <c r="H96" s="30"/>
      <c r="I96" s="30"/>
      <c r="J96" s="30"/>
      <c r="O96" s="30"/>
      <c r="P96" s="30"/>
      <c r="Q96" s="30"/>
      <c r="R96" s="30"/>
      <c r="S96" s="30"/>
      <c r="V96" s="33">
        <v>5.000000000000001E-2</v>
      </c>
      <c r="AD96" s="31">
        <v>7.0000000000000007E-2</v>
      </c>
      <c r="AK96" s="31"/>
      <c r="AP96" s="7">
        <v>58000000</v>
      </c>
      <c r="AQ96" s="7">
        <v>2500</v>
      </c>
      <c r="AR96" s="7">
        <v>2500</v>
      </c>
      <c r="AS96" s="7">
        <v>2500</v>
      </c>
    </row>
    <row r="97" spans="1:65" x14ac:dyDescent="0.15">
      <c r="A97" s="12" t="s">
        <v>106</v>
      </c>
      <c r="B97" s="5" t="s">
        <v>46</v>
      </c>
      <c r="C97" s="5"/>
      <c r="D97" s="5" t="s">
        <v>47</v>
      </c>
      <c r="E97" s="36" t="s">
        <v>107</v>
      </c>
      <c r="H97" s="30">
        <v>7.4999999999999997E-2</v>
      </c>
      <c r="I97" s="30"/>
      <c r="J97" s="30"/>
      <c r="O97" s="30"/>
      <c r="P97" s="30"/>
      <c r="Q97" s="30"/>
      <c r="R97" s="30"/>
      <c r="S97" s="30"/>
      <c r="W97" s="35"/>
      <c r="X97" s="35"/>
      <c r="Y97" s="35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18"/>
      <c r="BG97" s="6">
        <v>25</v>
      </c>
      <c r="BH97" s="10"/>
      <c r="BI97" s="6"/>
      <c r="BJ97" s="21"/>
    </row>
    <row r="98" spans="1:65" x14ac:dyDescent="0.15">
      <c r="A98" s="12" t="s">
        <v>102</v>
      </c>
      <c r="B98" s="5" t="s">
        <v>46</v>
      </c>
      <c r="C98" s="5"/>
      <c r="D98" s="5" t="s">
        <v>47</v>
      </c>
      <c r="E98" s="36" t="s">
        <v>103</v>
      </c>
      <c r="H98" s="30"/>
      <c r="I98" s="30">
        <v>7.4999999999999997E-2</v>
      </c>
      <c r="J98" s="30"/>
      <c r="O98" s="30"/>
      <c r="P98" s="30"/>
      <c r="Q98" s="30"/>
      <c r="R98" s="30"/>
      <c r="S98" s="30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18"/>
      <c r="BG98" s="6">
        <v>25</v>
      </c>
      <c r="BH98" s="10"/>
      <c r="BI98" s="6"/>
    </row>
    <row r="99" spans="1:65" x14ac:dyDescent="0.15">
      <c r="A99" s="12" t="s">
        <v>100</v>
      </c>
      <c r="B99" s="5" t="s">
        <v>46</v>
      </c>
      <c r="C99" s="5"/>
      <c r="D99" s="5" t="s">
        <v>47</v>
      </c>
      <c r="E99" s="36" t="s">
        <v>101</v>
      </c>
      <c r="H99" s="30"/>
      <c r="I99" s="30"/>
      <c r="J99" s="30"/>
      <c r="K99" s="30">
        <v>7.4999999999999997E-2</v>
      </c>
      <c r="O99" s="30"/>
      <c r="P99" s="30"/>
      <c r="Q99" s="30"/>
      <c r="R99" s="30"/>
      <c r="S99" s="30"/>
      <c r="Z99" s="31">
        <v>0.2</v>
      </c>
      <c r="AP99" s="7"/>
      <c r="AQ99" s="7"/>
      <c r="AR99" s="7"/>
      <c r="AS99" s="7"/>
      <c r="BG99" s="6">
        <v>25</v>
      </c>
    </row>
    <row r="100" spans="1:65" x14ac:dyDescent="0.15">
      <c r="A100" s="12" t="s">
        <v>104</v>
      </c>
      <c r="B100" s="5" t="s">
        <v>46</v>
      </c>
      <c r="C100" s="5"/>
      <c r="D100" s="5" t="s">
        <v>47</v>
      </c>
      <c r="E100" s="36" t="s">
        <v>105</v>
      </c>
      <c r="H100" s="30"/>
      <c r="I100" s="30"/>
      <c r="J100" s="30">
        <v>7.4999999999999997E-2</v>
      </c>
      <c r="O100" s="30"/>
      <c r="P100" s="30"/>
      <c r="Q100" s="30"/>
      <c r="R100" s="30"/>
      <c r="S100" s="30"/>
      <c r="AP100" s="7"/>
      <c r="AQ100" s="7"/>
      <c r="AR100" s="7"/>
      <c r="AS100" s="7"/>
      <c r="BG100" s="6">
        <v>25</v>
      </c>
      <c r="BM100" s="6">
        <v>150000</v>
      </c>
    </row>
    <row r="101" spans="1:65" ht="18.75" customHeight="1" x14ac:dyDescent="0.15">
      <c r="A101" s="12" t="s">
        <v>108</v>
      </c>
      <c r="B101" s="5" t="s">
        <v>46</v>
      </c>
      <c r="C101" s="5"/>
      <c r="D101" s="5" t="s">
        <v>47</v>
      </c>
      <c r="E101" s="36" t="s">
        <v>109</v>
      </c>
      <c r="H101" s="30"/>
      <c r="I101" s="30">
        <v>7.4999999999999997E-2</v>
      </c>
      <c r="J101" s="30"/>
      <c r="O101" s="30"/>
      <c r="P101" s="30"/>
      <c r="Q101" s="30"/>
      <c r="R101" s="30"/>
      <c r="S101" s="30"/>
      <c r="AP101" s="7"/>
      <c r="AQ101" s="7"/>
      <c r="AR101" s="7"/>
      <c r="AS101" s="7"/>
      <c r="BB101" s="6">
        <v>4000000</v>
      </c>
      <c r="BL101" s="6">
        <v>250</v>
      </c>
    </row>
    <row r="102" spans="1:65" ht="14.25" x14ac:dyDescent="0.15">
      <c r="A102" s="40" t="s">
        <v>395</v>
      </c>
      <c r="B102" s="5" t="s">
        <v>46</v>
      </c>
      <c r="C102" s="5" t="s">
        <v>91</v>
      </c>
      <c r="D102" s="5" t="s">
        <v>47</v>
      </c>
      <c r="E102" s="36" t="s">
        <v>396</v>
      </c>
      <c r="H102" s="30"/>
      <c r="I102" s="30"/>
      <c r="J102" s="30"/>
      <c r="O102" s="30"/>
      <c r="Q102" s="30"/>
      <c r="R102" s="30"/>
      <c r="S102" s="30"/>
      <c r="AK102" s="31"/>
      <c r="AP102" s="7"/>
      <c r="AQ102" s="7"/>
      <c r="AR102" s="7"/>
      <c r="AS102" s="7"/>
      <c r="BC102" s="7">
        <v>300</v>
      </c>
      <c r="BD102" s="7">
        <v>300</v>
      </c>
      <c r="BG102" s="6">
        <v>35</v>
      </c>
    </row>
    <row r="103" spans="1:65" ht="14.25" x14ac:dyDescent="0.15">
      <c r="A103" s="40" t="s">
        <v>411</v>
      </c>
      <c r="B103" s="5" t="s">
        <v>46</v>
      </c>
      <c r="C103" s="5" t="s">
        <v>91</v>
      </c>
      <c r="D103" s="5" t="s">
        <v>47</v>
      </c>
      <c r="E103" s="36" t="s">
        <v>397</v>
      </c>
      <c r="H103" s="30"/>
      <c r="I103" s="30"/>
      <c r="J103" s="30"/>
      <c r="L103" s="33">
        <v>0.15000000000000002</v>
      </c>
      <c r="O103" s="30"/>
      <c r="Q103" s="30"/>
      <c r="R103" s="30"/>
      <c r="S103" s="30"/>
      <c r="AA103" s="31">
        <v>0.30000000000000004</v>
      </c>
      <c r="AK103" s="31"/>
      <c r="AP103" s="7"/>
      <c r="AQ103" s="7"/>
      <c r="AR103" s="7"/>
      <c r="AS103" s="7"/>
      <c r="BL103" s="6">
        <v>225</v>
      </c>
    </row>
    <row r="104" spans="1:65" ht="14.25" x14ac:dyDescent="0.15">
      <c r="A104" s="40" t="s">
        <v>412</v>
      </c>
      <c r="B104" s="5" t="s">
        <v>46</v>
      </c>
      <c r="C104" s="5" t="s">
        <v>91</v>
      </c>
      <c r="D104" s="5" t="s">
        <v>47</v>
      </c>
      <c r="E104" s="36" t="s">
        <v>398</v>
      </c>
      <c r="H104" s="30"/>
      <c r="I104" s="30"/>
      <c r="J104" s="30"/>
      <c r="M104" s="33">
        <v>0.03</v>
      </c>
      <c r="O104" s="30"/>
      <c r="P104" s="33">
        <v>0.75</v>
      </c>
      <c r="Q104" s="30"/>
      <c r="R104" s="30"/>
      <c r="S104" s="30"/>
      <c r="AK104" s="31"/>
      <c r="AP104" s="7"/>
      <c r="AQ104" s="7"/>
      <c r="AR104" s="7"/>
      <c r="AS104" s="7"/>
      <c r="BG104" s="6">
        <v>30</v>
      </c>
    </row>
    <row r="105" spans="1:65" x14ac:dyDescent="0.15">
      <c r="A105" s="13" t="s">
        <v>413</v>
      </c>
      <c r="B105" s="5" t="s">
        <v>46</v>
      </c>
      <c r="C105" s="5"/>
      <c r="D105" s="5" t="s">
        <v>51</v>
      </c>
      <c r="E105" s="36" t="s">
        <v>399</v>
      </c>
      <c r="H105" s="30"/>
      <c r="I105" s="30"/>
      <c r="J105" s="30"/>
      <c r="O105" s="30"/>
      <c r="P105" s="30"/>
      <c r="Q105" s="30"/>
      <c r="R105" s="30"/>
      <c r="S105" s="30"/>
      <c r="AK105" s="31"/>
      <c r="AP105" s="7"/>
      <c r="AQ105" s="7"/>
      <c r="AR105" s="7"/>
      <c r="AS105" s="7"/>
      <c r="BB105" s="7">
        <v>12880000</v>
      </c>
      <c r="BG105" s="6">
        <v>60</v>
      </c>
    </row>
    <row r="106" spans="1:65" x14ac:dyDescent="0.15">
      <c r="A106" s="13" t="s">
        <v>414</v>
      </c>
      <c r="B106" s="5" t="s">
        <v>46</v>
      </c>
      <c r="C106" s="5"/>
      <c r="D106" s="5" t="s">
        <v>51</v>
      </c>
      <c r="E106" s="36" t="s">
        <v>400</v>
      </c>
      <c r="H106" s="30"/>
      <c r="I106" s="30"/>
      <c r="J106" s="30"/>
      <c r="O106" s="30"/>
      <c r="P106" s="30"/>
      <c r="Q106" s="30"/>
      <c r="R106" s="30"/>
      <c r="S106" s="30"/>
      <c r="Y106" s="33">
        <v>0.06</v>
      </c>
      <c r="Z106" s="31">
        <v>0.44999999999999996</v>
      </c>
      <c r="AK106" s="31"/>
      <c r="AP106" s="7"/>
      <c r="AQ106" s="7"/>
      <c r="AR106" s="7"/>
      <c r="AS106" s="7"/>
      <c r="BC106" s="7">
        <v>700</v>
      </c>
      <c r="BD106" s="7">
        <v>700</v>
      </c>
      <c r="BL106" s="6">
        <v>450</v>
      </c>
    </row>
    <row r="107" spans="1:65" x14ac:dyDescent="0.15">
      <c r="A107" s="13" t="s">
        <v>415</v>
      </c>
      <c r="B107" s="5" t="s">
        <v>46</v>
      </c>
      <c r="C107" s="5"/>
      <c r="D107" s="5" t="s">
        <v>51</v>
      </c>
      <c r="E107" s="36" t="s">
        <v>401</v>
      </c>
      <c r="H107" s="30"/>
      <c r="I107" s="30"/>
      <c r="J107" s="30"/>
      <c r="L107" s="33">
        <v>0.15000000000000002</v>
      </c>
      <c r="O107" s="30"/>
      <c r="P107" s="30"/>
      <c r="Q107" s="30"/>
      <c r="R107" s="30"/>
      <c r="S107" s="30"/>
      <c r="AK107" s="31"/>
      <c r="AP107" s="7"/>
      <c r="AQ107" s="7"/>
      <c r="AR107" s="7"/>
      <c r="AS107" s="7"/>
      <c r="AT107" s="7">
        <v>5900000</v>
      </c>
      <c r="BG107" s="6">
        <v>60</v>
      </c>
    </row>
    <row r="108" spans="1:65" x14ac:dyDescent="0.15">
      <c r="A108" s="13" t="s">
        <v>416</v>
      </c>
      <c r="B108" s="5" t="s">
        <v>46</v>
      </c>
      <c r="C108" s="5" t="s">
        <v>91</v>
      </c>
      <c r="D108" s="5" t="s">
        <v>51</v>
      </c>
      <c r="E108" s="36" t="s">
        <v>402</v>
      </c>
      <c r="H108" s="30"/>
      <c r="I108" s="30"/>
      <c r="J108" s="30"/>
      <c r="O108" s="30"/>
      <c r="P108" s="30"/>
      <c r="Q108" s="30"/>
      <c r="R108" s="30"/>
      <c r="S108" s="30"/>
      <c r="AK108" s="31"/>
      <c r="AL108" s="6">
        <v>3400000</v>
      </c>
      <c r="AP108" s="7"/>
      <c r="AQ108" s="7"/>
      <c r="AR108" s="7"/>
      <c r="AS108" s="7"/>
      <c r="BL108" s="6">
        <v>600</v>
      </c>
    </row>
    <row r="109" spans="1:65" x14ac:dyDescent="0.15">
      <c r="A109" s="13" t="s">
        <v>417</v>
      </c>
      <c r="B109" s="5" t="s">
        <v>46</v>
      </c>
      <c r="C109" s="5" t="s">
        <v>91</v>
      </c>
      <c r="D109" s="5" t="s">
        <v>51</v>
      </c>
      <c r="E109" s="36" t="s">
        <v>403</v>
      </c>
      <c r="H109" s="30"/>
      <c r="I109" s="30"/>
      <c r="J109" s="30"/>
      <c r="N109" s="33">
        <v>0.04</v>
      </c>
      <c r="O109" s="30"/>
      <c r="P109" s="30"/>
      <c r="Q109" s="30">
        <v>1</v>
      </c>
      <c r="R109" s="30"/>
      <c r="S109" s="30"/>
      <c r="AK109" s="31"/>
      <c r="AP109" s="7"/>
      <c r="AQ109" s="7"/>
      <c r="AR109" s="7"/>
      <c r="AS109" s="7"/>
      <c r="BG109" s="6">
        <v>60</v>
      </c>
    </row>
    <row r="110" spans="1:65" ht="14.25" x14ac:dyDescent="0.15">
      <c r="A110" s="40" t="s">
        <v>418</v>
      </c>
      <c r="B110" s="5" t="s">
        <v>46</v>
      </c>
      <c r="C110" s="5" t="s">
        <v>91</v>
      </c>
      <c r="D110" s="5" t="s">
        <v>51</v>
      </c>
      <c r="E110" s="36" t="s">
        <v>404</v>
      </c>
      <c r="H110" s="30"/>
      <c r="I110" s="30"/>
      <c r="J110" s="30"/>
      <c r="N110" s="33">
        <v>5.000000000000001E-2</v>
      </c>
      <c r="O110" s="30"/>
      <c r="Q110" s="30">
        <v>0.75</v>
      </c>
      <c r="R110" s="30"/>
      <c r="S110" s="30"/>
      <c r="X110" s="33">
        <v>7.0000000000000007E-2</v>
      </c>
      <c r="AK110" s="31"/>
      <c r="AP110" s="7"/>
      <c r="AQ110" s="7"/>
      <c r="AR110" s="7"/>
      <c r="AS110" s="7"/>
      <c r="BL110" s="6">
        <v>525</v>
      </c>
    </row>
    <row r="111" spans="1:65" ht="14.25" x14ac:dyDescent="0.15">
      <c r="A111" s="40" t="s">
        <v>419</v>
      </c>
      <c r="B111" s="5" t="s">
        <v>46</v>
      </c>
      <c r="C111" s="5" t="s">
        <v>91</v>
      </c>
      <c r="D111" s="5" t="s">
        <v>51</v>
      </c>
      <c r="E111" s="36" t="s">
        <v>405</v>
      </c>
      <c r="H111" s="30"/>
      <c r="I111" s="30"/>
      <c r="J111" s="30"/>
      <c r="O111" s="30"/>
      <c r="Q111" s="30"/>
      <c r="R111" s="30"/>
      <c r="S111" s="30"/>
      <c r="AK111" s="31"/>
      <c r="AP111" s="7"/>
      <c r="AQ111" s="7"/>
      <c r="AR111" s="7"/>
      <c r="AS111" s="7"/>
      <c r="BC111" s="7">
        <v>600</v>
      </c>
      <c r="BD111" s="7">
        <v>600</v>
      </c>
      <c r="BG111" s="6">
        <v>70</v>
      </c>
    </row>
    <row r="112" spans="1:65" ht="14.25" x14ac:dyDescent="0.15">
      <c r="A112" s="40" t="s">
        <v>420</v>
      </c>
      <c r="B112" s="5" t="s">
        <v>46</v>
      </c>
      <c r="C112" s="5" t="s">
        <v>91</v>
      </c>
      <c r="D112" s="5" t="s">
        <v>51</v>
      </c>
      <c r="E112" s="36" t="s">
        <v>406</v>
      </c>
      <c r="H112" s="30"/>
      <c r="I112" s="30"/>
      <c r="J112" s="30"/>
      <c r="O112" s="30"/>
      <c r="Q112" s="30"/>
      <c r="R112" s="30"/>
      <c r="S112" s="30"/>
      <c r="Y112" s="33">
        <v>0.06</v>
      </c>
      <c r="Z112" s="31">
        <v>0.30000000000000004</v>
      </c>
      <c r="AK112" s="31"/>
      <c r="AP112" s="7"/>
      <c r="AQ112" s="7"/>
      <c r="AR112" s="7"/>
      <c r="AS112" s="7"/>
      <c r="BG112" s="6">
        <v>65</v>
      </c>
    </row>
    <row r="113" spans="1:68" x14ac:dyDescent="0.15">
      <c r="A113" s="29" t="s">
        <v>421</v>
      </c>
      <c r="B113" s="5" t="s">
        <v>46</v>
      </c>
      <c r="C113" s="5"/>
      <c r="D113" s="5" t="s">
        <v>52</v>
      </c>
      <c r="E113" s="36" t="s">
        <v>407</v>
      </c>
      <c r="H113" s="30"/>
      <c r="I113" s="30"/>
      <c r="J113" s="30"/>
      <c r="O113" s="30"/>
      <c r="P113" s="30"/>
      <c r="Q113" s="30"/>
      <c r="R113" s="30"/>
      <c r="S113" s="30"/>
      <c r="Z113" s="31">
        <v>0.60000000000000009</v>
      </c>
      <c r="AK113" s="31"/>
      <c r="AP113" s="7">
        <v>17760000</v>
      </c>
      <c r="AQ113" s="7"/>
      <c r="AR113" s="7"/>
      <c r="AS113" s="7"/>
      <c r="BG113" s="6">
        <v>95</v>
      </c>
    </row>
    <row r="114" spans="1:68" x14ac:dyDescent="0.15">
      <c r="A114" s="29" t="s">
        <v>422</v>
      </c>
      <c r="B114" s="5" t="s">
        <v>46</v>
      </c>
      <c r="C114" s="5" t="s">
        <v>91</v>
      </c>
      <c r="D114" s="5" t="s">
        <v>52</v>
      </c>
      <c r="E114" s="36" t="s">
        <v>408</v>
      </c>
      <c r="H114" s="30"/>
      <c r="I114" s="30"/>
      <c r="J114" s="30"/>
      <c r="O114" s="30"/>
      <c r="P114" s="30"/>
      <c r="Q114" s="30"/>
      <c r="R114" s="30"/>
      <c r="S114" s="30"/>
      <c r="AK114" s="31"/>
      <c r="AP114" s="7"/>
      <c r="AQ114" s="7"/>
      <c r="AR114" s="7"/>
      <c r="AS114" s="7"/>
      <c r="BB114" s="7">
        <v>32520000</v>
      </c>
      <c r="BG114" s="6">
        <v>105</v>
      </c>
      <c r="BH114" s="20"/>
    </row>
    <row r="115" spans="1:68" x14ac:dyDescent="0.15">
      <c r="A115" s="29" t="s">
        <v>423</v>
      </c>
      <c r="B115" s="5" t="s">
        <v>46</v>
      </c>
      <c r="C115" s="5" t="s">
        <v>91</v>
      </c>
      <c r="D115" s="5" t="s">
        <v>52</v>
      </c>
      <c r="E115" s="36" t="s">
        <v>409</v>
      </c>
      <c r="H115" s="30"/>
      <c r="I115" s="30"/>
      <c r="J115" s="30"/>
      <c r="O115" s="30"/>
      <c r="P115" s="30"/>
      <c r="Q115" s="30"/>
      <c r="R115" s="30"/>
      <c r="S115" s="30"/>
      <c r="AK115" s="31"/>
      <c r="AP115" s="7"/>
      <c r="AQ115" s="7"/>
      <c r="AR115" s="7"/>
      <c r="AS115" s="7"/>
      <c r="BC115" s="7">
        <v>1800</v>
      </c>
      <c r="BD115" s="7">
        <v>10000</v>
      </c>
      <c r="BL115" s="6">
        <v>2250</v>
      </c>
    </row>
    <row r="116" spans="1:68" x14ac:dyDescent="0.15">
      <c r="A116" s="22" t="s">
        <v>424</v>
      </c>
      <c r="B116" s="15" t="s">
        <v>46</v>
      </c>
      <c r="C116" s="5" t="s">
        <v>91</v>
      </c>
      <c r="D116" s="15" t="s">
        <v>55</v>
      </c>
      <c r="E116" s="36" t="s">
        <v>410</v>
      </c>
      <c r="H116" s="30"/>
      <c r="I116" s="30"/>
      <c r="J116" s="30"/>
      <c r="O116" s="30"/>
      <c r="P116" s="30"/>
      <c r="Q116" s="30"/>
      <c r="R116" s="30"/>
      <c r="S116" s="30"/>
      <c r="V116" s="33">
        <v>7.0000000000000007E-2</v>
      </c>
      <c r="AK116" s="31"/>
      <c r="AP116" s="7"/>
      <c r="AQ116" s="7"/>
      <c r="AR116" s="7"/>
      <c r="AS116" s="7"/>
      <c r="AT116" s="7">
        <v>64000000</v>
      </c>
      <c r="BB116" s="17"/>
      <c r="BC116" s="17"/>
      <c r="BD116" s="17"/>
      <c r="BE116" s="17"/>
      <c r="BF116" s="19"/>
      <c r="BG116" s="6">
        <v>175</v>
      </c>
      <c r="BH116" s="20"/>
      <c r="BI116" s="17"/>
    </row>
    <row r="117" spans="1:68" x14ac:dyDescent="0.15">
      <c r="A117" s="29" t="s">
        <v>425</v>
      </c>
      <c r="B117" s="5" t="s">
        <v>46</v>
      </c>
      <c r="C117" s="5"/>
      <c r="D117" s="5" t="s">
        <v>47</v>
      </c>
      <c r="E117" s="36" t="s">
        <v>434</v>
      </c>
      <c r="H117" s="30">
        <v>0.15000000000000002</v>
      </c>
      <c r="I117" s="30">
        <v>0.15000000000000002</v>
      </c>
      <c r="J117" s="30"/>
      <c r="O117" s="30"/>
      <c r="P117" s="30"/>
      <c r="Q117" s="30"/>
      <c r="R117" s="30"/>
      <c r="S117" s="30"/>
      <c r="AK117" s="31"/>
      <c r="AP117" s="7"/>
      <c r="AQ117" s="7"/>
      <c r="AR117" s="7"/>
      <c r="AS117" s="7"/>
    </row>
    <row r="118" spans="1:68" x14ac:dyDescent="0.15">
      <c r="A118" s="14" t="s">
        <v>426</v>
      </c>
      <c r="B118" s="15" t="s">
        <v>46</v>
      </c>
      <c r="C118" s="15"/>
      <c r="D118" s="15" t="s">
        <v>47</v>
      </c>
      <c r="E118" s="36" t="s">
        <v>435</v>
      </c>
      <c r="H118" s="30"/>
      <c r="I118" s="30"/>
      <c r="J118" s="30"/>
      <c r="K118" s="33">
        <v>0.15000000000000002</v>
      </c>
      <c r="N118" s="33">
        <v>0.03</v>
      </c>
      <c r="O118" s="30"/>
      <c r="P118" s="30"/>
      <c r="Q118" s="30"/>
      <c r="R118" s="30"/>
      <c r="S118" s="30"/>
      <c r="AK118" s="31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9"/>
      <c r="BH118" s="20"/>
      <c r="BI118" s="17"/>
    </row>
    <row r="119" spans="1:68" x14ac:dyDescent="0.15">
      <c r="A119" s="14" t="s">
        <v>427</v>
      </c>
      <c r="B119" s="15" t="s">
        <v>46</v>
      </c>
      <c r="C119" s="5" t="s">
        <v>31</v>
      </c>
      <c r="D119" s="15" t="s">
        <v>47</v>
      </c>
      <c r="E119" s="36" t="s">
        <v>436</v>
      </c>
      <c r="H119" s="30"/>
      <c r="I119" s="30"/>
      <c r="J119" s="30"/>
      <c r="O119" s="30"/>
      <c r="P119" s="30"/>
      <c r="Q119" s="30"/>
      <c r="R119" s="30"/>
      <c r="S119" s="30"/>
      <c r="AB119" s="31">
        <v>0.15</v>
      </c>
      <c r="AK119" s="31"/>
      <c r="AP119" s="17"/>
      <c r="AQ119" s="17"/>
      <c r="AR119" s="17"/>
      <c r="AS119" s="17"/>
      <c r="AX119" s="17"/>
      <c r="AY119" s="17"/>
      <c r="AZ119" s="17"/>
      <c r="BA119" s="17"/>
      <c r="BB119" s="17"/>
      <c r="BC119" s="17"/>
      <c r="BD119" s="17"/>
      <c r="BE119" s="17"/>
      <c r="BF119" s="19"/>
      <c r="BH119" s="20"/>
      <c r="BI119" s="17"/>
      <c r="BM119" s="6">
        <v>375000</v>
      </c>
    </row>
    <row r="120" spans="1:68" x14ac:dyDescent="0.15">
      <c r="A120" s="14" t="s">
        <v>428</v>
      </c>
      <c r="B120" s="15" t="s">
        <v>46</v>
      </c>
      <c r="C120" s="15"/>
      <c r="D120" s="15" t="s">
        <v>47</v>
      </c>
      <c r="E120" s="36" t="s">
        <v>437</v>
      </c>
      <c r="H120" s="30"/>
      <c r="I120" s="30"/>
      <c r="J120" s="30"/>
      <c r="O120" s="30"/>
      <c r="P120" s="30"/>
      <c r="Q120" s="30"/>
      <c r="R120" s="30"/>
      <c r="S120" s="30"/>
      <c r="X120" s="33">
        <v>0.05</v>
      </c>
      <c r="Y120" s="33">
        <v>0.06</v>
      </c>
      <c r="AK120" s="31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H120" s="20"/>
      <c r="BN120" s="6">
        <v>50</v>
      </c>
    </row>
    <row r="121" spans="1:68" s="52" customFormat="1" x14ac:dyDescent="0.15">
      <c r="A121" s="53" t="s">
        <v>429</v>
      </c>
      <c r="B121" s="42" t="s">
        <v>46</v>
      </c>
      <c r="C121" s="42"/>
      <c r="D121" s="42" t="s">
        <v>47</v>
      </c>
      <c r="E121" s="43" t="s">
        <v>438</v>
      </c>
      <c r="F121" s="44"/>
      <c r="G121" s="44"/>
      <c r="H121" s="45"/>
      <c r="I121" s="45"/>
      <c r="J121" s="45"/>
      <c r="K121" s="46"/>
      <c r="L121" s="46"/>
      <c r="M121" s="46">
        <v>0.03</v>
      </c>
      <c r="N121" s="46"/>
      <c r="O121" s="45"/>
      <c r="P121" s="45">
        <v>0.75</v>
      </c>
      <c r="Q121" s="45"/>
      <c r="R121" s="45"/>
      <c r="S121" s="45"/>
      <c r="T121" s="46"/>
      <c r="U121" s="46"/>
      <c r="V121" s="46"/>
      <c r="W121" s="46"/>
      <c r="X121" s="46"/>
      <c r="Y121" s="46"/>
      <c r="Z121" s="47"/>
      <c r="AA121" s="47">
        <v>0.1</v>
      </c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8"/>
      <c r="AM121" s="48"/>
      <c r="AN121" s="48"/>
      <c r="AO121" s="48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  <c r="BA121" s="49"/>
      <c r="BB121" s="49"/>
      <c r="BC121" s="49"/>
      <c r="BD121" s="49"/>
      <c r="BE121" s="49"/>
      <c r="BF121" s="50"/>
      <c r="BG121" s="48"/>
      <c r="BH121" s="51"/>
      <c r="BI121" s="49"/>
      <c r="BJ121" s="48"/>
      <c r="BK121" s="48"/>
      <c r="BL121" s="48"/>
      <c r="BM121" s="48">
        <v>450000</v>
      </c>
      <c r="BN121" s="48"/>
      <c r="BO121" s="48"/>
      <c r="BP121" s="48"/>
    </row>
    <row r="122" spans="1:68" x14ac:dyDescent="0.15">
      <c r="A122" s="14" t="s">
        <v>430</v>
      </c>
      <c r="B122" s="15" t="s">
        <v>46</v>
      </c>
      <c r="C122" s="15"/>
      <c r="D122" s="5" t="s">
        <v>51</v>
      </c>
      <c r="E122" s="36" t="s">
        <v>439</v>
      </c>
      <c r="H122" s="30"/>
      <c r="I122" s="30"/>
      <c r="J122" s="30"/>
      <c r="N122" s="33">
        <v>0.04</v>
      </c>
      <c r="O122" s="30"/>
      <c r="P122" s="30"/>
      <c r="Q122" s="30">
        <v>1</v>
      </c>
      <c r="R122" s="30"/>
      <c r="S122" s="30"/>
      <c r="AK122" s="31"/>
      <c r="AL122" s="6">
        <v>3600000</v>
      </c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9"/>
      <c r="BH122" s="20"/>
      <c r="BI122" s="17"/>
    </row>
    <row r="123" spans="1:68" x14ac:dyDescent="0.15">
      <c r="A123" s="14" t="s">
        <v>431</v>
      </c>
      <c r="B123" s="15" t="s">
        <v>46</v>
      </c>
      <c r="C123" s="15"/>
      <c r="D123" s="5" t="s">
        <v>51</v>
      </c>
      <c r="E123" s="36" t="s">
        <v>440</v>
      </c>
      <c r="H123" s="30"/>
      <c r="I123" s="30"/>
      <c r="J123" s="30"/>
      <c r="O123" s="30"/>
      <c r="P123" s="30"/>
      <c r="Q123" s="30"/>
      <c r="R123" s="30"/>
      <c r="S123" s="30"/>
      <c r="AK123" s="31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9"/>
      <c r="BH123" s="20"/>
      <c r="BI123" s="6">
        <v>600000</v>
      </c>
      <c r="BJ123" s="6">
        <v>600000</v>
      </c>
      <c r="BK123" s="6">
        <v>600000</v>
      </c>
      <c r="BM123" s="6">
        <v>600000</v>
      </c>
    </row>
    <row r="124" spans="1:68" x14ac:dyDescent="0.15">
      <c r="A124" s="13" t="s">
        <v>432</v>
      </c>
      <c r="B124" s="5" t="s">
        <v>46</v>
      </c>
      <c r="C124" s="5"/>
      <c r="D124" s="5" t="s">
        <v>51</v>
      </c>
      <c r="E124" s="36" t="s">
        <v>441</v>
      </c>
      <c r="H124" s="30"/>
      <c r="I124" s="30"/>
      <c r="J124" s="30"/>
      <c r="O124" s="30"/>
      <c r="P124" s="30"/>
      <c r="Q124" s="30"/>
      <c r="R124" s="30"/>
      <c r="S124" s="30"/>
      <c r="X124" s="33">
        <v>7.0000000000000007E-2</v>
      </c>
      <c r="Y124" s="33">
        <v>0.06</v>
      </c>
      <c r="AK124" s="31"/>
      <c r="AP124" s="7"/>
      <c r="AQ124" s="7"/>
      <c r="AR124" s="7"/>
      <c r="AS124" s="7"/>
      <c r="AX124" s="17">
        <v>6500000</v>
      </c>
    </row>
    <row r="125" spans="1:68" x14ac:dyDescent="0.15">
      <c r="A125" s="13" t="s">
        <v>433</v>
      </c>
      <c r="B125" s="5" t="s">
        <v>46</v>
      </c>
      <c r="C125" s="15"/>
      <c r="D125" s="5" t="s">
        <v>51</v>
      </c>
      <c r="E125" s="36" t="s">
        <v>442</v>
      </c>
      <c r="H125" s="30"/>
      <c r="I125" s="30"/>
      <c r="J125" s="30"/>
      <c r="O125" s="30"/>
      <c r="P125" s="30"/>
      <c r="Q125" s="30"/>
      <c r="R125" s="30"/>
      <c r="S125" s="30"/>
      <c r="AC125" s="31">
        <v>0.15</v>
      </c>
      <c r="AK125" s="31"/>
      <c r="AL125" s="6">
        <v>3200000</v>
      </c>
      <c r="AP125" s="7"/>
      <c r="AQ125" s="7"/>
      <c r="AR125" s="7"/>
      <c r="AS125" s="7"/>
    </row>
    <row r="126" spans="1:68" x14ac:dyDescent="0.15">
      <c r="A126" s="13" t="s">
        <v>446</v>
      </c>
      <c r="B126" s="5" t="s">
        <v>46</v>
      </c>
      <c r="C126" s="5"/>
      <c r="D126" s="5" t="s">
        <v>51</v>
      </c>
      <c r="E126" s="36" t="s">
        <v>443</v>
      </c>
      <c r="H126" s="30"/>
      <c r="I126" s="30"/>
      <c r="J126" s="30"/>
      <c r="N126" s="33">
        <v>5.000000000000001E-2</v>
      </c>
      <c r="O126" s="30"/>
      <c r="P126" s="30"/>
      <c r="Q126" s="30">
        <v>1.5</v>
      </c>
      <c r="R126" s="30"/>
      <c r="S126" s="30"/>
      <c r="AK126" s="31"/>
      <c r="AL126" s="6">
        <v>2800000</v>
      </c>
      <c r="AP126" s="7"/>
      <c r="AQ126" s="7"/>
      <c r="AR126" s="7"/>
      <c r="AS126" s="7"/>
    </row>
    <row r="127" spans="1:68" x14ac:dyDescent="0.15">
      <c r="A127" s="22" t="s">
        <v>447</v>
      </c>
      <c r="B127" s="15" t="s">
        <v>46</v>
      </c>
      <c r="C127" s="5" t="s">
        <v>35</v>
      </c>
      <c r="D127" s="15" t="s">
        <v>52</v>
      </c>
      <c r="E127" s="36" t="s">
        <v>444</v>
      </c>
      <c r="H127" s="30"/>
      <c r="I127" s="30"/>
      <c r="J127" s="30"/>
      <c r="N127" s="33">
        <v>5.000000000000001E-2</v>
      </c>
      <c r="O127" s="30"/>
      <c r="P127" s="30"/>
      <c r="Q127" s="30">
        <v>0.75</v>
      </c>
      <c r="R127" s="30"/>
      <c r="S127" s="30"/>
      <c r="AK127" s="31"/>
      <c r="AP127" s="17"/>
      <c r="AQ127" s="17"/>
      <c r="AR127" s="17"/>
      <c r="AS127" s="17"/>
      <c r="AT127" s="17"/>
      <c r="AU127" s="17"/>
      <c r="AV127" s="17"/>
      <c r="AW127" s="17"/>
      <c r="AX127" s="17"/>
      <c r="AY127" s="7">
        <v>900</v>
      </c>
      <c r="AZ127" s="7">
        <v>900</v>
      </c>
      <c r="BA127" s="7">
        <v>900</v>
      </c>
      <c r="BB127" s="17"/>
      <c r="BC127" s="17"/>
      <c r="BD127" s="17"/>
      <c r="BE127" s="17"/>
      <c r="BF127" s="19"/>
      <c r="BH127" s="20"/>
      <c r="BI127" s="17"/>
    </row>
    <row r="128" spans="1:68" x14ac:dyDescent="0.15">
      <c r="A128" s="14" t="s">
        <v>448</v>
      </c>
      <c r="B128" s="15" t="s">
        <v>46</v>
      </c>
      <c r="C128" s="15"/>
      <c r="D128" s="15" t="s">
        <v>55</v>
      </c>
      <c r="E128" s="36" t="s">
        <v>445</v>
      </c>
      <c r="H128" s="30"/>
      <c r="I128" s="30"/>
      <c r="J128" s="30"/>
      <c r="N128" s="33">
        <v>0.05</v>
      </c>
      <c r="O128" s="30"/>
      <c r="P128" s="30"/>
      <c r="Q128" s="30">
        <v>1.5</v>
      </c>
      <c r="R128" s="30"/>
      <c r="S128" s="30"/>
      <c r="X128" s="33">
        <v>0.08</v>
      </c>
      <c r="Y128" s="33">
        <v>0.08</v>
      </c>
      <c r="AK128" s="31"/>
      <c r="AP128" s="17"/>
      <c r="AQ128" s="17"/>
      <c r="AR128" s="17"/>
      <c r="AS128" s="17"/>
      <c r="AT128" s="17"/>
      <c r="AU128" s="17"/>
      <c r="AV128" s="17"/>
      <c r="AW128" s="17"/>
      <c r="AX128" s="7">
        <v>58000000</v>
      </c>
      <c r="AY128" s="17"/>
      <c r="AZ128" s="17"/>
      <c r="BA128" s="17"/>
      <c r="BB128" s="17"/>
      <c r="BC128" s="17"/>
      <c r="BD128" s="17"/>
      <c r="BE128" s="17"/>
      <c r="BF128" s="19"/>
      <c r="BH128" s="20"/>
      <c r="BI128" s="17"/>
    </row>
    <row r="129" spans="1:65" x14ac:dyDescent="0.15">
      <c r="A129" s="29" t="s">
        <v>457</v>
      </c>
      <c r="B129" s="5" t="s">
        <v>46</v>
      </c>
      <c r="C129" s="5" t="s">
        <v>49</v>
      </c>
      <c r="D129" s="5" t="s">
        <v>51</v>
      </c>
      <c r="E129" s="36" t="s">
        <v>449</v>
      </c>
      <c r="H129" s="30">
        <v>7.5000000000000011E-2</v>
      </c>
      <c r="I129" s="30">
        <v>7.5000000000000011E-2</v>
      </c>
      <c r="J129" s="33">
        <v>7.5000000000000011E-2</v>
      </c>
      <c r="K129" s="30">
        <v>7.5000000000000011E-2</v>
      </c>
      <c r="O129" s="30"/>
      <c r="P129" s="30"/>
      <c r="Q129" s="30"/>
      <c r="R129" s="30"/>
      <c r="S129" s="30"/>
      <c r="AK129" s="31"/>
      <c r="AP129" s="7"/>
      <c r="AQ129" s="7"/>
      <c r="AR129" s="7"/>
      <c r="AS129" s="7"/>
    </row>
    <row r="130" spans="1:65" x14ac:dyDescent="0.15">
      <c r="A130" s="29" t="s">
        <v>458</v>
      </c>
      <c r="B130" s="5" t="s">
        <v>46</v>
      </c>
      <c r="C130" s="5" t="s">
        <v>49</v>
      </c>
      <c r="D130" s="5" t="s">
        <v>51</v>
      </c>
      <c r="E130" s="36" t="s">
        <v>450</v>
      </c>
      <c r="H130" s="30"/>
      <c r="I130" s="30"/>
      <c r="J130" s="30"/>
      <c r="K130" s="33">
        <v>0.26249999999999996</v>
      </c>
      <c r="O130" s="30"/>
      <c r="P130" s="30"/>
      <c r="Q130" s="30"/>
      <c r="R130" s="30"/>
      <c r="S130" s="30"/>
      <c r="AK130" s="31"/>
      <c r="AP130" s="7"/>
      <c r="AQ130" s="7"/>
      <c r="AR130" s="7"/>
      <c r="AS130" s="7"/>
      <c r="BM130" s="6">
        <v>150000</v>
      </c>
    </row>
    <row r="131" spans="1:65" x14ac:dyDescent="0.15">
      <c r="A131" s="29" t="s">
        <v>459</v>
      </c>
      <c r="B131" s="5" t="s">
        <v>46</v>
      </c>
      <c r="C131" s="5" t="s">
        <v>49</v>
      </c>
      <c r="D131" s="5" t="s">
        <v>51</v>
      </c>
      <c r="E131" s="36" t="s">
        <v>451</v>
      </c>
      <c r="H131" s="30"/>
      <c r="I131" s="30"/>
      <c r="J131" s="30"/>
      <c r="K131" s="33">
        <v>0.30000000000000004</v>
      </c>
      <c r="O131" s="30"/>
      <c r="P131" s="30"/>
      <c r="Q131" s="30"/>
      <c r="R131" s="30"/>
      <c r="S131" s="30"/>
      <c r="AK131" s="31"/>
      <c r="AP131" s="7"/>
      <c r="AQ131" s="7"/>
      <c r="AR131" s="7"/>
      <c r="AS131" s="7"/>
    </row>
    <row r="132" spans="1:65" x14ac:dyDescent="0.15">
      <c r="A132" s="29" t="s">
        <v>460</v>
      </c>
      <c r="B132" s="5" t="s">
        <v>46</v>
      </c>
      <c r="C132" s="5" t="s">
        <v>49</v>
      </c>
      <c r="D132" s="5" t="s">
        <v>51</v>
      </c>
      <c r="E132" s="36" t="s">
        <v>452</v>
      </c>
      <c r="H132" s="30"/>
      <c r="I132" s="30"/>
      <c r="J132" s="30">
        <v>0.26249999999999996</v>
      </c>
      <c r="O132" s="30"/>
      <c r="P132" s="30"/>
      <c r="Q132" s="30"/>
      <c r="R132" s="30"/>
      <c r="S132" s="30"/>
      <c r="Z132" s="31">
        <v>0.15000000000000002</v>
      </c>
      <c r="AK132" s="31"/>
      <c r="AP132" s="7"/>
      <c r="AQ132" s="7"/>
      <c r="AR132" s="7"/>
      <c r="AS132" s="7"/>
      <c r="BJ132" s="6">
        <v>7500</v>
      </c>
    </row>
    <row r="133" spans="1:65" x14ac:dyDescent="0.15">
      <c r="A133" s="22" t="s">
        <v>461</v>
      </c>
      <c r="B133" s="15" t="s">
        <v>46</v>
      </c>
      <c r="C133" s="5" t="s">
        <v>49</v>
      </c>
      <c r="D133" s="15" t="s">
        <v>52</v>
      </c>
      <c r="E133" s="36" t="s">
        <v>453</v>
      </c>
      <c r="H133" s="30"/>
      <c r="I133" s="30"/>
      <c r="J133" s="30">
        <v>0.52499999999999991</v>
      </c>
      <c r="O133" s="30"/>
      <c r="P133" s="30"/>
      <c r="Q133" s="30"/>
      <c r="R133" s="30"/>
      <c r="S133" s="30"/>
      <c r="AK133" s="31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9"/>
      <c r="BH133" s="20"/>
      <c r="BI133" s="17"/>
    </row>
    <row r="134" spans="1:65" x14ac:dyDescent="0.15">
      <c r="A134" s="22" t="s">
        <v>462</v>
      </c>
      <c r="B134" s="15" t="s">
        <v>46</v>
      </c>
      <c r="C134" s="5" t="s">
        <v>49</v>
      </c>
      <c r="D134" s="15" t="s">
        <v>52</v>
      </c>
      <c r="E134" s="36" t="s">
        <v>454</v>
      </c>
      <c r="H134" s="30">
        <v>0.22499999999999998</v>
      </c>
      <c r="I134" s="30">
        <v>0.22499999999999998</v>
      </c>
      <c r="J134" s="30">
        <v>0.22499999999999998</v>
      </c>
      <c r="K134" s="30">
        <v>0.22499999999999998</v>
      </c>
      <c r="O134" s="30"/>
      <c r="P134" s="30"/>
      <c r="Q134" s="30"/>
      <c r="R134" s="30"/>
      <c r="S134" s="30"/>
      <c r="AK134" s="31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9"/>
      <c r="BH134" s="20"/>
      <c r="BI134" s="17"/>
    </row>
    <row r="135" spans="1:65" x14ac:dyDescent="0.15">
      <c r="A135" s="13" t="s">
        <v>464</v>
      </c>
      <c r="B135" s="5" t="s">
        <v>46</v>
      </c>
      <c r="C135" s="5" t="s">
        <v>49</v>
      </c>
      <c r="D135" s="5" t="s">
        <v>52</v>
      </c>
      <c r="E135" s="36" t="s">
        <v>455</v>
      </c>
      <c r="H135" s="30"/>
      <c r="J135" s="30">
        <v>0.44999999999999996</v>
      </c>
      <c r="K135" s="33">
        <v>7.5000000000000011E-2</v>
      </c>
      <c r="O135" s="30"/>
      <c r="P135" s="30"/>
      <c r="Q135" s="30"/>
      <c r="R135" s="30"/>
      <c r="S135" s="30"/>
      <c r="AK135" s="31"/>
      <c r="AP135" s="7"/>
      <c r="AQ135" s="7"/>
      <c r="AR135" s="7"/>
      <c r="AS135" s="7"/>
      <c r="BL135" s="6">
        <v>750</v>
      </c>
    </row>
    <row r="136" spans="1:65" x14ac:dyDescent="0.15">
      <c r="A136" s="22" t="s">
        <v>463</v>
      </c>
      <c r="B136" s="15" t="s">
        <v>46</v>
      </c>
      <c r="C136" s="15"/>
      <c r="D136" s="15" t="s">
        <v>52</v>
      </c>
      <c r="E136" s="36" t="s">
        <v>456</v>
      </c>
      <c r="H136" s="30"/>
      <c r="I136" s="30"/>
      <c r="J136" s="30"/>
      <c r="O136" s="30"/>
      <c r="P136" s="30"/>
      <c r="Q136" s="30"/>
      <c r="R136" s="30"/>
      <c r="S136" s="30"/>
      <c r="AK136" s="31"/>
      <c r="AM136" s="6">
        <v>600</v>
      </c>
      <c r="AN136" s="6">
        <v>600</v>
      </c>
      <c r="AO136" s="6">
        <v>600</v>
      </c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9">
        <v>10</v>
      </c>
      <c r="BH136" s="20"/>
      <c r="BI136" s="17"/>
    </row>
    <row r="137" spans="1:65" x14ac:dyDescent="0.15">
      <c r="A137" s="13" t="s">
        <v>58</v>
      </c>
      <c r="B137" s="5" t="s">
        <v>46</v>
      </c>
      <c r="C137" s="5"/>
      <c r="D137" s="5" t="s">
        <v>55</v>
      </c>
      <c r="E137" s="36" t="s">
        <v>59</v>
      </c>
      <c r="H137" s="30"/>
      <c r="I137" s="30"/>
      <c r="J137" s="30"/>
      <c r="M137" s="33">
        <v>7.0000000000000007E-2</v>
      </c>
      <c r="O137" s="30"/>
      <c r="P137" s="30">
        <v>2</v>
      </c>
      <c r="Q137" s="30"/>
      <c r="R137" s="30"/>
      <c r="S137" s="30"/>
      <c r="AK137" s="31"/>
      <c r="AL137" s="6">
        <v>30000000</v>
      </c>
      <c r="AN137" s="6">
        <v>7500</v>
      </c>
      <c r="AP137" s="7"/>
      <c r="AQ137" s="7"/>
      <c r="AR137" s="7"/>
      <c r="AS137" s="7"/>
    </row>
    <row r="138" spans="1:65" x14ac:dyDescent="0.15">
      <c r="A138" s="13" t="s">
        <v>465</v>
      </c>
      <c r="B138" s="5" t="s">
        <v>46</v>
      </c>
      <c r="C138" s="5"/>
      <c r="D138" s="5" t="s">
        <v>52</v>
      </c>
      <c r="E138" s="36" t="s">
        <v>54</v>
      </c>
      <c r="H138" s="30"/>
      <c r="I138" s="30"/>
      <c r="J138" s="30"/>
      <c r="M138" s="33">
        <v>0.06</v>
      </c>
      <c r="O138" s="30"/>
      <c r="P138" s="30">
        <v>2</v>
      </c>
      <c r="Q138" s="30"/>
      <c r="R138" s="30"/>
      <c r="S138" s="30"/>
      <c r="AK138" s="31"/>
      <c r="AP138" s="7"/>
      <c r="AQ138" s="7"/>
      <c r="AR138" s="7"/>
      <c r="AS138" s="7"/>
      <c r="AU138" s="7">
        <v>1100</v>
      </c>
      <c r="AV138" s="7">
        <v>1100</v>
      </c>
      <c r="AW138" s="7">
        <v>1100</v>
      </c>
    </row>
    <row r="139" spans="1:65" x14ac:dyDescent="0.15">
      <c r="A139" s="29" t="s">
        <v>466</v>
      </c>
      <c r="B139" s="5" t="s">
        <v>46</v>
      </c>
      <c r="C139" s="5"/>
      <c r="D139" s="5" t="s">
        <v>51</v>
      </c>
      <c r="E139" s="36" t="s">
        <v>467</v>
      </c>
      <c r="H139" s="30"/>
      <c r="I139" s="30"/>
      <c r="J139" s="30"/>
      <c r="O139" s="30"/>
      <c r="P139" s="30"/>
      <c r="Q139" s="30"/>
      <c r="R139" s="30"/>
      <c r="S139" s="30">
        <v>7.5000000000000011E-2</v>
      </c>
      <c r="T139" s="33">
        <v>0.04</v>
      </c>
      <c r="AK139" s="31"/>
      <c r="AP139" s="7"/>
      <c r="AQ139" s="7"/>
      <c r="AR139" s="7"/>
      <c r="AS139" s="7"/>
    </row>
    <row r="140" spans="1:65" x14ac:dyDescent="0.15">
      <c r="A140" s="13" t="s">
        <v>473</v>
      </c>
      <c r="B140" s="5" t="s">
        <v>46</v>
      </c>
      <c r="C140" s="5"/>
      <c r="D140" s="5" t="s">
        <v>47</v>
      </c>
      <c r="E140" s="36" t="s">
        <v>468</v>
      </c>
      <c r="H140" s="30"/>
      <c r="I140" s="30"/>
      <c r="J140" s="30"/>
      <c r="M140" s="33">
        <v>0.02</v>
      </c>
      <c r="O140" s="30"/>
      <c r="P140" s="30">
        <v>0.30000000000000004</v>
      </c>
      <c r="Q140" s="30"/>
      <c r="R140" s="30"/>
      <c r="S140" s="30"/>
      <c r="AK140" s="31"/>
      <c r="AP140" s="7"/>
      <c r="AQ140" s="7"/>
      <c r="AR140" s="7"/>
      <c r="AS140" s="7"/>
      <c r="BB140" s="6"/>
      <c r="BC140" s="7">
        <v>400</v>
      </c>
      <c r="BD140" s="7">
        <v>400</v>
      </c>
    </row>
    <row r="141" spans="1:65" x14ac:dyDescent="0.15">
      <c r="A141" s="29" t="s">
        <v>474</v>
      </c>
      <c r="B141" s="5" t="s">
        <v>46</v>
      </c>
      <c r="C141" s="5" t="s">
        <v>31</v>
      </c>
      <c r="D141" s="5" t="s">
        <v>47</v>
      </c>
      <c r="E141" s="36" t="s">
        <v>469</v>
      </c>
      <c r="H141" s="30"/>
      <c r="I141" s="30"/>
      <c r="J141" s="30"/>
      <c r="O141" s="30"/>
      <c r="P141" s="30"/>
      <c r="Q141" s="30"/>
      <c r="R141" s="30"/>
      <c r="S141" s="30"/>
      <c r="AK141" s="31"/>
      <c r="AP141" s="7"/>
      <c r="AQ141" s="7"/>
      <c r="AR141" s="7"/>
      <c r="AS141" s="7"/>
      <c r="BB141" s="6"/>
      <c r="BC141" s="7">
        <v>200</v>
      </c>
      <c r="BD141" s="7">
        <v>200</v>
      </c>
    </row>
    <row r="142" spans="1:65" x14ac:dyDescent="0.15">
      <c r="A142" s="39" t="s">
        <v>475</v>
      </c>
      <c r="B142" s="5" t="s">
        <v>46</v>
      </c>
      <c r="C142" s="5"/>
      <c r="D142" s="5" t="s">
        <v>51</v>
      </c>
      <c r="E142" s="36" t="s">
        <v>470</v>
      </c>
      <c r="H142" s="30"/>
      <c r="I142" s="30"/>
      <c r="J142" s="30"/>
      <c r="O142" s="30"/>
      <c r="P142" s="30"/>
      <c r="Q142" s="30"/>
      <c r="R142" s="30"/>
      <c r="S142" s="30">
        <v>0.15000000000000002</v>
      </c>
      <c r="AK142" s="31"/>
      <c r="AP142" s="7"/>
      <c r="AQ142" s="7"/>
      <c r="AR142" s="7"/>
      <c r="AS142" s="7"/>
    </row>
    <row r="143" spans="1:65" x14ac:dyDescent="0.15">
      <c r="A143" s="22" t="s">
        <v>476</v>
      </c>
      <c r="B143" s="5" t="s">
        <v>46</v>
      </c>
      <c r="C143" s="5"/>
      <c r="D143" s="5" t="s">
        <v>55</v>
      </c>
      <c r="E143" s="36" t="s">
        <v>471</v>
      </c>
      <c r="H143" s="30"/>
      <c r="I143" s="30"/>
      <c r="J143" s="30"/>
      <c r="O143" s="30"/>
      <c r="P143" s="30"/>
      <c r="Q143" s="30"/>
      <c r="R143" s="30"/>
      <c r="S143" s="30"/>
      <c r="Z143" s="31">
        <v>1.7999999999999998</v>
      </c>
      <c r="AK143" s="31"/>
      <c r="AL143" s="6">
        <v>30000000</v>
      </c>
      <c r="AP143" s="7"/>
      <c r="AQ143" s="7"/>
      <c r="AR143" s="7"/>
      <c r="AS143" s="7"/>
      <c r="BH143" s="9">
        <v>-0.1</v>
      </c>
    </row>
    <row r="144" spans="1:65" x14ac:dyDescent="0.15">
      <c r="A144" s="29" t="s">
        <v>477</v>
      </c>
      <c r="B144" s="15" t="s">
        <v>46</v>
      </c>
      <c r="C144" s="15"/>
      <c r="D144" s="15" t="s">
        <v>55</v>
      </c>
      <c r="E144" s="36" t="s">
        <v>472</v>
      </c>
      <c r="H144" s="30"/>
      <c r="I144" s="30"/>
      <c r="J144" s="30"/>
      <c r="O144" s="30"/>
      <c r="P144" s="30"/>
      <c r="Q144" s="30"/>
      <c r="R144" s="30"/>
      <c r="S144" s="30">
        <v>0.18</v>
      </c>
      <c r="AB144" s="31">
        <v>0.35</v>
      </c>
      <c r="AK144" s="31"/>
      <c r="AL144" s="6">
        <v>30000000</v>
      </c>
      <c r="AP144" s="7"/>
      <c r="AQ144" s="7"/>
      <c r="AR144" s="7"/>
      <c r="AS144" s="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9"/>
      <c r="BH144" s="20"/>
      <c r="BI144" s="17"/>
    </row>
    <row r="145" spans="1:68" x14ac:dyDescent="0.15">
      <c r="A145" s="29" t="s">
        <v>507</v>
      </c>
      <c r="B145" s="5" t="s">
        <v>46</v>
      </c>
      <c r="C145" s="5" t="s">
        <v>49</v>
      </c>
      <c r="D145" s="5" t="s">
        <v>47</v>
      </c>
      <c r="E145" s="36" t="s">
        <v>478</v>
      </c>
      <c r="H145" s="30"/>
      <c r="I145" s="30"/>
      <c r="J145" s="30">
        <v>0.15000000000000002</v>
      </c>
      <c r="O145" s="30"/>
      <c r="P145" s="30"/>
      <c r="Q145" s="30"/>
      <c r="R145" s="30"/>
      <c r="S145" s="30"/>
      <c r="AK145" s="31"/>
      <c r="AP145" s="7"/>
      <c r="AQ145" s="7"/>
      <c r="AR145" s="7"/>
      <c r="AS145" s="7"/>
    </row>
    <row r="146" spans="1:68" x14ac:dyDescent="0.15">
      <c r="A146" s="29" t="s">
        <v>508</v>
      </c>
      <c r="B146" s="5" t="s">
        <v>46</v>
      </c>
      <c r="C146" s="15"/>
      <c r="D146" s="5" t="s">
        <v>47</v>
      </c>
      <c r="E146" s="36" t="s">
        <v>479</v>
      </c>
      <c r="H146" s="30"/>
      <c r="I146" s="30"/>
      <c r="J146" s="30"/>
      <c r="N146" s="33">
        <v>0.02</v>
      </c>
      <c r="O146" s="30"/>
      <c r="P146" s="30"/>
      <c r="Q146" s="30">
        <v>0.30000000000000004</v>
      </c>
      <c r="R146" s="30"/>
      <c r="S146" s="30"/>
      <c r="Y146" s="33">
        <v>5.000000000000001E-2</v>
      </c>
      <c r="AK146" s="31"/>
      <c r="AP146" s="7"/>
      <c r="AQ146" s="7"/>
      <c r="AR146" s="7"/>
      <c r="AS146" s="7"/>
      <c r="AY146" s="7">
        <v>120</v>
      </c>
      <c r="AZ146" s="7">
        <v>120</v>
      </c>
      <c r="BA146" s="7">
        <v>120</v>
      </c>
    </row>
    <row r="147" spans="1:68" x14ac:dyDescent="0.15">
      <c r="A147" s="29" t="s">
        <v>510</v>
      </c>
      <c r="B147" s="5" t="s">
        <v>46</v>
      </c>
      <c r="C147" s="5"/>
      <c r="D147" s="5" t="s">
        <v>47</v>
      </c>
      <c r="E147" s="36" t="s">
        <v>480</v>
      </c>
      <c r="H147" s="30"/>
      <c r="I147" s="30">
        <v>7.5000000000000011E-2</v>
      </c>
      <c r="J147" s="30"/>
      <c r="K147" s="33">
        <v>7.5000000000000011E-2</v>
      </c>
      <c r="O147" s="30"/>
      <c r="P147" s="30"/>
      <c r="Q147" s="30"/>
      <c r="R147" s="30"/>
      <c r="S147" s="30"/>
      <c r="AK147" s="31"/>
      <c r="AP147" s="7"/>
      <c r="AQ147" s="7"/>
      <c r="AR147" s="7"/>
      <c r="AS147" s="7"/>
      <c r="BE147" s="7">
        <v>1320</v>
      </c>
      <c r="BF147" s="8">
        <v>3</v>
      </c>
    </row>
    <row r="148" spans="1:68" x14ac:dyDescent="0.15">
      <c r="A148" s="29" t="s">
        <v>511</v>
      </c>
      <c r="B148" s="5" t="s">
        <v>46</v>
      </c>
      <c r="C148" s="5" t="s">
        <v>49</v>
      </c>
      <c r="D148" s="5" t="s">
        <v>47</v>
      </c>
      <c r="E148" s="36" t="s">
        <v>481</v>
      </c>
      <c r="H148" s="30"/>
      <c r="I148" s="30">
        <v>0.15000000000000002</v>
      </c>
      <c r="J148" s="30"/>
      <c r="O148" s="30"/>
      <c r="P148" s="30"/>
      <c r="Q148" s="30"/>
      <c r="R148" s="30"/>
      <c r="S148" s="30"/>
      <c r="AK148" s="31"/>
      <c r="AP148" s="7"/>
      <c r="AQ148" s="7"/>
      <c r="AR148" s="7"/>
      <c r="AS148" s="7"/>
    </row>
    <row r="149" spans="1:68" s="52" customFormat="1" x14ac:dyDescent="0.15">
      <c r="A149" s="54" t="s">
        <v>512</v>
      </c>
      <c r="B149" s="55" t="s">
        <v>46</v>
      </c>
      <c r="C149" s="55"/>
      <c r="D149" s="55" t="s">
        <v>47</v>
      </c>
      <c r="E149" s="43" t="s">
        <v>482</v>
      </c>
      <c r="F149" s="44"/>
      <c r="G149" s="44"/>
      <c r="H149" s="45"/>
      <c r="I149" s="45"/>
      <c r="J149" s="45"/>
      <c r="K149" s="46"/>
      <c r="L149" s="46"/>
      <c r="M149" s="46"/>
      <c r="N149" s="46"/>
      <c r="O149" s="45"/>
      <c r="P149" s="45"/>
      <c r="Q149" s="45"/>
      <c r="R149" s="45"/>
      <c r="S149" s="45"/>
      <c r="T149" s="46"/>
      <c r="U149" s="46"/>
      <c r="V149" s="46"/>
      <c r="W149" s="46"/>
      <c r="X149" s="46"/>
      <c r="Y149" s="46"/>
      <c r="Z149" s="47"/>
      <c r="AA149" s="47">
        <v>0.12</v>
      </c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8"/>
      <c r="AM149" s="48"/>
      <c r="AN149" s="48"/>
      <c r="AO149" s="48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7"/>
      <c r="BG149" s="48"/>
      <c r="BH149" s="58"/>
      <c r="BI149" s="48">
        <v>450000</v>
      </c>
      <c r="BJ149" s="48">
        <v>450000</v>
      </c>
      <c r="BK149" s="48">
        <v>450000</v>
      </c>
      <c r="BL149" s="48"/>
      <c r="BM149" s="48"/>
      <c r="BN149" s="48"/>
      <c r="BO149" s="48"/>
      <c r="BP149" s="48"/>
    </row>
    <row r="150" spans="1:68" x14ac:dyDescent="0.15">
      <c r="A150" s="13" t="s">
        <v>514</v>
      </c>
      <c r="B150" s="5" t="s">
        <v>46</v>
      </c>
      <c r="C150" s="5"/>
      <c r="D150" s="5" t="s">
        <v>47</v>
      </c>
      <c r="E150" s="36" t="s">
        <v>483</v>
      </c>
      <c r="H150" s="30"/>
      <c r="I150" s="30"/>
      <c r="J150" s="30"/>
      <c r="N150" s="33">
        <v>0.03</v>
      </c>
      <c r="O150" s="30"/>
      <c r="P150" s="30"/>
      <c r="Q150" s="30">
        <v>0.3</v>
      </c>
      <c r="R150" s="30"/>
      <c r="S150" s="30"/>
      <c r="Y150" s="33">
        <v>5.000000000000001E-2</v>
      </c>
      <c r="AK150" s="31"/>
      <c r="AP150" s="7"/>
      <c r="AQ150" s="7"/>
      <c r="AR150" s="7"/>
      <c r="AS150" s="7"/>
    </row>
    <row r="151" spans="1:68" x14ac:dyDescent="0.15">
      <c r="A151" s="29" t="s">
        <v>513</v>
      </c>
      <c r="B151" s="5" t="s">
        <v>46</v>
      </c>
      <c r="C151" s="5" t="s">
        <v>25</v>
      </c>
      <c r="D151" s="5" t="s">
        <v>509</v>
      </c>
      <c r="E151" s="36" t="s">
        <v>484</v>
      </c>
      <c r="H151" s="30"/>
      <c r="I151" s="30"/>
      <c r="J151" s="30"/>
      <c r="K151" s="33">
        <v>7.5000000000000011E-2</v>
      </c>
      <c r="O151" s="30"/>
      <c r="P151" s="30"/>
      <c r="Q151" s="30"/>
      <c r="R151" s="30"/>
      <c r="S151" s="30"/>
      <c r="AK151" s="31"/>
      <c r="AM151" s="6">
        <v>60</v>
      </c>
      <c r="AN151" s="6">
        <v>60</v>
      </c>
      <c r="AO151" s="6">
        <v>60</v>
      </c>
      <c r="AP151" s="7"/>
      <c r="AQ151" s="7"/>
      <c r="AR151" s="7"/>
      <c r="AS151" s="7"/>
    </row>
    <row r="152" spans="1:68" ht="12.75" customHeight="1" x14ac:dyDescent="0.15">
      <c r="A152" s="29" t="s">
        <v>515</v>
      </c>
      <c r="B152" s="5" t="s">
        <v>46</v>
      </c>
      <c r="C152" s="5" t="s">
        <v>25</v>
      </c>
      <c r="D152" s="5" t="s">
        <v>47</v>
      </c>
      <c r="E152" s="36" t="s">
        <v>485</v>
      </c>
      <c r="H152" s="30"/>
      <c r="I152" s="30"/>
      <c r="J152" s="30"/>
      <c r="O152" s="30"/>
      <c r="P152" s="30"/>
      <c r="Q152" s="30"/>
      <c r="R152" s="30"/>
      <c r="S152" s="30"/>
      <c r="AK152" s="31"/>
      <c r="AL152" s="6">
        <v>800000</v>
      </c>
      <c r="AP152" s="7"/>
      <c r="AQ152" s="7"/>
      <c r="AR152" s="7"/>
      <c r="AS152" s="7"/>
      <c r="BB152" s="6">
        <v>3750000</v>
      </c>
    </row>
    <row r="153" spans="1:68" x14ac:dyDescent="0.15">
      <c r="A153" s="29" t="s">
        <v>516</v>
      </c>
      <c r="B153" s="5" t="s">
        <v>46</v>
      </c>
      <c r="C153" s="5" t="s">
        <v>25</v>
      </c>
      <c r="D153" s="5" t="s">
        <v>47</v>
      </c>
      <c r="E153" s="36" t="s">
        <v>486</v>
      </c>
      <c r="H153" s="30"/>
      <c r="I153" s="30"/>
      <c r="J153" s="30"/>
      <c r="O153" s="30"/>
      <c r="P153" s="30"/>
      <c r="Q153" s="30"/>
      <c r="R153" s="30"/>
      <c r="S153" s="30"/>
      <c r="Y153" s="33">
        <v>5.000000000000001E-2</v>
      </c>
      <c r="AK153" s="31"/>
      <c r="AM153" s="6">
        <v>60</v>
      </c>
      <c r="AN153" s="6">
        <v>60</v>
      </c>
      <c r="AO153" s="6">
        <v>60</v>
      </c>
      <c r="AP153" s="7"/>
      <c r="AQ153" s="7"/>
      <c r="AR153" s="7"/>
      <c r="AS153" s="7"/>
    </row>
    <row r="154" spans="1:68" x14ac:dyDescent="0.15">
      <c r="A154" s="29" t="s">
        <v>517</v>
      </c>
      <c r="B154" s="5" t="s">
        <v>46</v>
      </c>
      <c r="C154" s="5"/>
      <c r="D154" s="5" t="s">
        <v>51</v>
      </c>
      <c r="E154" s="36" t="s">
        <v>487</v>
      </c>
      <c r="H154" s="30"/>
      <c r="I154" s="30"/>
      <c r="J154" s="30"/>
      <c r="N154" s="33">
        <v>5.000000000000001E-2</v>
      </c>
      <c r="O154" s="30"/>
      <c r="P154" s="30"/>
      <c r="Q154" s="30">
        <v>0.75</v>
      </c>
      <c r="R154" s="30"/>
      <c r="S154" s="30"/>
      <c r="X154" s="33">
        <v>0.06</v>
      </c>
      <c r="Y154" s="33">
        <v>0.05</v>
      </c>
      <c r="AK154" s="31"/>
      <c r="AP154" s="7"/>
      <c r="AQ154" s="7"/>
      <c r="AR154" s="7"/>
      <c r="AS154" s="7"/>
      <c r="AX154" s="17">
        <v>6750000</v>
      </c>
    </row>
    <row r="155" spans="1:68" x14ac:dyDescent="0.15">
      <c r="A155" s="14" t="s">
        <v>518</v>
      </c>
      <c r="B155" s="15" t="s">
        <v>46</v>
      </c>
      <c r="C155" s="15"/>
      <c r="D155" s="5" t="s">
        <v>51</v>
      </c>
      <c r="E155" s="36" t="s">
        <v>488</v>
      </c>
      <c r="H155" s="30"/>
      <c r="I155" s="30"/>
      <c r="J155" s="30"/>
      <c r="K155" s="33">
        <v>0.15000000000000002</v>
      </c>
      <c r="O155" s="30"/>
      <c r="P155" s="30"/>
      <c r="Q155" s="30"/>
      <c r="R155" s="30"/>
      <c r="S155" s="30"/>
      <c r="U155" s="33">
        <v>0.04</v>
      </c>
      <c r="V155" s="33">
        <v>0.04</v>
      </c>
      <c r="AK155" s="31"/>
      <c r="AP155" s="7">
        <v>6800000</v>
      </c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9"/>
      <c r="BH155" s="20"/>
      <c r="BI155" s="17"/>
    </row>
    <row r="156" spans="1:68" x14ac:dyDescent="0.15">
      <c r="A156" s="13" t="s">
        <v>520</v>
      </c>
      <c r="B156" s="5" t="s">
        <v>46</v>
      </c>
      <c r="C156" s="5" t="s">
        <v>49</v>
      </c>
      <c r="D156" s="5" t="s">
        <v>51</v>
      </c>
      <c r="E156" s="36" t="s">
        <v>489</v>
      </c>
      <c r="H156" s="30"/>
      <c r="I156" s="30"/>
      <c r="J156" s="30"/>
      <c r="K156" s="33">
        <v>0.22499999999999998</v>
      </c>
      <c r="O156" s="30"/>
      <c r="P156" s="30"/>
      <c r="Q156" s="30"/>
      <c r="R156" s="30"/>
      <c r="S156" s="30"/>
      <c r="AK156" s="31"/>
      <c r="AP156" s="7"/>
      <c r="AQ156" s="7"/>
      <c r="AR156" s="7"/>
      <c r="AS156" s="7"/>
    </row>
    <row r="157" spans="1:68" x14ac:dyDescent="0.15">
      <c r="A157" s="29" t="s">
        <v>519</v>
      </c>
      <c r="B157" s="5" t="s">
        <v>46</v>
      </c>
      <c r="C157" s="5" t="s">
        <v>25</v>
      </c>
      <c r="D157" s="5" t="s">
        <v>51</v>
      </c>
      <c r="E157" s="36" t="s">
        <v>490</v>
      </c>
      <c r="H157" s="30"/>
      <c r="I157" s="30"/>
      <c r="J157" s="30"/>
      <c r="O157" s="30"/>
      <c r="P157" s="30"/>
      <c r="Q157" s="30"/>
      <c r="R157" s="30"/>
      <c r="S157" s="30"/>
      <c r="AK157" s="31"/>
      <c r="AL157" s="6">
        <v>3000000</v>
      </c>
      <c r="AP157" s="7"/>
      <c r="AQ157" s="7"/>
      <c r="AR157" s="7"/>
      <c r="AS157" s="7"/>
      <c r="BL157" s="6">
        <v>150</v>
      </c>
    </row>
    <row r="158" spans="1:68" x14ac:dyDescent="0.15">
      <c r="A158" s="29" t="s">
        <v>521</v>
      </c>
      <c r="B158" s="5" t="s">
        <v>46</v>
      </c>
      <c r="C158" s="5" t="s">
        <v>49</v>
      </c>
      <c r="D158" s="5" t="s">
        <v>51</v>
      </c>
      <c r="E158" s="36" t="s">
        <v>491</v>
      </c>
      <c r="H158" s="30">
        <v>7.5000000000000011E-2</v>
      </c>
      <c r="I158" s="30"/>
      <c r="J158" s="30"/>
      <c r="K158" s="33">
        <v>0.1875</v>
      </c>
      <c r="O158" s="30"/>
      <c r="P158" s="30"/>
      <c r="Q158" s="30"/>
      <c r="R158" s="30"/>
      <c r="S158" s="30"/>
      <c r="AK158" s="31"/>
      <c r="AP158" s="7"/>
      <c r="AQ158" s="7"/>
      <c r="AR158" s="7"/>
      <c r="AS158" s="7"/>
      <c r="BK158" s="6">
        <v>3750</v>
      </c>
    </row>
    <row r="159" spans="1:68" x14ac:dyDescent="0.15">
      <c r="A159" s="13" t="s">
        <v>522</v>
      </c>
      <c r="B159" s="5" t="s">
        <v>46</v>
      </c>
      <c r="C159" s="5" t="s">
        <v>25</v>
      </c>
      <c r="D159" s="5" t="s">
        <v>51</v>
      </c>
      <c r="E159" s="36" t="s">
        <v>492</v>
      </c>
      <c r="H159" s="30"/>
      <c r="I159" s="30">
        <v>0.15000000000000002</v>
      </c>
      <c r="J159" s="30"/>
      <c r="O159" s="30"/>
      <c r="P159" s="30"/>
      <c r="Q159" s="30"/>
      <c r="R159" s="30"/>
      <c r="S159" s="30"/>
      <c r="AK159" s="31"/>
      <c r="AM159" s="6">
        <v>180</v>
      </c>
      <c r="AN159" s="6">
        <v>180</v>
      </c>
      <c r="AO159" s="6">
        <v>180</v>
      </c>
      <c r="AP159" s="7"/>
      <c r="AQ159" s="7"/>
      <c r="AR159" s="7"/>
      <c r="AS159" s="7"/>
      <c r="BN159" s="6">
        <v>75</v>
      </c>
    </row>
    <row r="160" spans="1:68" x14ac:dyDescent="0.15">
      <c r="A160" s="13" t="s">
        <v>523</v>
      </c>
      <c r="B160" s="5" t="s">
        <v>46</v>
      </c>
      <c r="C160" s="5"/>
      <c r="D160" s="5" t="s">
        <v>51</v>
      </c>
      <c r="E160" s="36" t="s">
        <v>493</v>
      </c>
      <c r="H160" s="30"/>
      <c r="I160" s="30"/>
      <c r="J160" s="30"/>
      <c r="O160" s="30"/>
      <c r="P160" s="30"/>
      <c r="Q160" s="30"/>
      <c r="R160" s="30"/>
      <c r="S160" s="30"/>
      <c r="X160" s="33">
        <v>7.0000000000000007E-2</v>
      </c>
      <c r="AK160" s="31"/>
      <c r="AM160" s="6">
        <v>360</v>
      </c>
      <c r="AN160" s="6">
        <v>360</v>
      </c>
      <c r="AO160" s="6">
        <v>360</v>
      </c>
      <c r="AP160" s="7"/>
      <c r="AQ160" s="7"/>
      <c r="AR160" s="7"/>
      <c r="AS160" s="7"/>
    </row>
    <row r="161" spans="1:66" x14ac:dyDescent="0.15">
      <c r="A161" s="13" t="s">
        <v>524</v>
      </c>
      <c r="B161" s="5" t="s">
        <v>46</v>
      </c>
      <c r="C161" s="5"/>
      <c r="D161" s="5" t="s">
        <v>52</v>
      </c>
      <c r="E161" s="36" t="s">
        <v>494</v>
      </c>
      <c r="H161" s="30"/>
      <c r="I161" s="30"/>
      <c r="J161" s="30"/>
      <c r="N161" s="33">
        <v>0.06</v>
      </c>
      <c r="O161" s="30"/>
      <c r="P161" s="30"/>
      <c r="Q161" s="30">
        <v>0.6</v>
      </c>
      <c r="R161" s="30"/>
      <c r="S161" s="30"/>
      <c r="Y161" s="33">
        <v>0.06</v>
      </c>
      <c r="AK161" s="31"/>
      <c r="AP161" s="7"/>
      <c r="AQ161" s="7"/>
      <c r="AR161" s="7"/>
      <c r="AS161" s="7"/>
      <c r="AX161" s="17"/>
      <c r="AY161" s="7">
        <v>1000</v>
      </c>
      <c r="AZ161" s="7">
        <v>1000</v>
      </c>
      <c r="BA161" s="7">
        <v>1000</v>
      </c>
    </row>
    <row r="162" spans="1:66" x14ac:dyDescent="0.15">
      <c r="A162" s="13" t="s">
        <v>525</v>
      </c>
      <c r="B162" s="5" t="s">
        <v>46</v>
      </c>
      <c r="C162" s="5"/>
      <c r="D162" s="5" t="s">
        <v>52</v>
      </c>
      <c r="E162" s="36" t="s">
        <v>495</v>
      </c>
      <c r="H162" s="30"/>
      <c r="I162" s="30"/>
      <c r="J162" s="30"/>
      <c r="L162" s="33">
        <v>0.30000000000000004</v>
      </c>
      <c r="O162" s="30"/>
      <c r="P162" s="30"/>
      <c r="Q162" s="30"/>
      <c r="R162" s="30"/>
      <c r="S162" s="30"/>
      <c r="AK162" s="31"/>
      <c r="AP162" s="7"/>
      <c r="AQ162" s="7"/>
      <c r="AR162" s="7"/>
      <c r="AS162" s="7"/>
      <c r="BI162" s="6">
        <v>15000000</v>
      </c>
      <c r="BJ162" s="6">
        <v>15000000</v>
      </c>
      <c r="BK162" s="6">
        <v>15000000</v>
      </c>
    </row>
    <row r="163" spans="1:66" x14ac:dyDescent="0.15">
      <c r="A163" s="22" t="s">
        <v>526</v>
      </c>
      <c r="B163" s="15" t="s">
        <v>46</v>
      </c>
      <c r="C163" s="15"/>
      <c r="D163" s="15" t="s">
        <v>52</v>
      </c>
      <c r="E163" s="36" t="s">
        <v>496</v>
      </c>
      <c r="H163" s="30"/>
      <c r="I163" s="30"/>
      <c r="J163" s="30"/>
      <c r="O163" s="30"/>
      <c r="P163" s="30"/>
      <c r="Q163" s="30"/>
      <c r="R163" s="30"/>
      <c r="S163" s="30">
        <v>0.12</v>
      </c>
      <c r="AK163" s="31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>
        <v>7200</v>
      </c>
      <c r="BA163" s="17"/>
      <c r="BE163" s="17"/>
      <c r="BF163" s="19"/>
      <c r="BH163" s="20"/>
      <c r="BI163" s="17"/>
    </row>
    <row r="164" spans="1:66" ht="12.75" customHeight="1" x14ac:dyDescent="0.15">
      <c r="A164" s="29" t="s">
        <v>527</v>
      </c>
      <c r="B164" s="5" t="s">
        <v>46</v>
      </c>
      <c r="C164" s="5" t="s">
        <v>25</v>
      </c>
      <c r="D164" s="5" t="s">
        <v>52</v>
      </c>
      <c r="E164" s="36" t="s">
        <v>497</v>
      </c>
      <c r="H164" s="30"/>
      <c r="I164" s="30"/>
      <c r="J164" s="30"/>
      <c r="O164" s="30"/>
      <c r="P164" s="30"/>
      <c r="Q164" s="30"/>
      <c r="R164" s="30"/>
      <c r="S164" s="30"/>
      <c r="X164" s="33">
        <v>0.06</v>
      </c>
      <c r="AK164" s="31"/>
      <c r="AL164" s="6">
        <v>9880000</v>
      </c>
      <c r="AP164" s="7"/>
      <c r="AQ164" s="7"/>
      <c r="AR164" s="7"/>
      <c r="AS164" s="7"/>
      <c r="BN164" s="6">
        <v>75</v>
      </c>
    </row>
    <row r="165" spans="1:66" x14ac:dyDescent="0.15">
      <c r="A165" s="29" t="s">
        <v>528</v>
      </c>
      <c r="B165" s="5" t="s">
        <v>46</v>
      </c>
      <c r="C165" s="5" t="s">
        <v>49</v>
      </c>
      <c r="D165" s="5" t="s">
        <v>52</v>
      </c>
      <c r="E165" s="36" t="s">
        <v>498</v>
      </c>
      <c r="H165" s="30"/>
      <c r="I165" s="30">
        <v>0.52499999999999991</v>
      </c>
      <c r="J165" s="30"/>
      <c r="O165" s="30"/>
      <c r="P165" s="30"/>
      <c r="Q165" s="30"/>
      <c r="R165" s="30"/>
      <c r="S165" s="30"/>
      <c r="AK165" s="31"/>
      <c r="AP165" s="7"/>
      <c r="AQ165" s="7"/>
      <c r="AR165" s="7"/>
      <c r="AS165" s="7"/>
    </row>
    <row r="166" spans="1:66" x14ac:dyDescent="0.15">
      <c r="A166" s="14" t="s">
        <v>529</v>
      </c>
      <c r="B166" s="15" t="s">
        <v>46</v>
      </c>
      <c r="C166" s="15"/>
      <c r="D166" s="15" t="s">
        <v>52</v>
      </c>
      <c r="E166" s="36" t="s">
        <v>499</v>
      </c>
      <c r="H166" s="30"/>
      <c r="I166" s="30"/>
      <c r="J166" s="30"/>
      <c r="N166" s="33">
        <v>0.06</v>
      </c>
      <c r="O166" s="30"/>
      <c r="P166" s="30"/>
      <c r="Q166" s="30">
        <v>0.89999999999999991</v>
      </c>
      <c r="R166" s="30"/>
      <c r="S166" s="30"/>
      <c r="AK166" s="31"/>
      <c r="AP166" s="17"/>
      <c r="AQ166" s="17"/>
      <c r="AR166" s="17"/>
      <c r="AS166" s="17"/>
      <c r="AT166" s="17"/>
      <c r="AU166" s="17"/>
      <c r="AV166" s="17"/>
      <c r="AW166" s="17"/>
      <c r="AX166" s="17">
        <v>18760000</v>
      </c>
      <c r="AY166" s="17"/>
      <c r="AZ166" s="17"/>
      <c r="BA166" s="17"/>
      <c r="BB166" s="17"/>
      <c r="BC166" s="17"/>
      <c r="BD166" s="17"/>
      <c r="BE166" s="17"/>
      <c r="BF166" s="19"/>
      <c r="BH166" s="20"/>
      <c r="BI166" s="17"/>
    </row>
    <row r="167" spans="1:66" x14ac:dyDescent="0.15">
      <c r="A167" s="22" t="s">
        <v>530</v>
      </c>
      <c r="B167" s="15" t="s">
        <v>46</v>
      </c>
      <c r="C167" s="5" t="s">
        <v>25</v>
      </c>
      <c r="D167" s="15" t="s">
        <v>55</v>
      </c>
      <c r="E167" s="36" t="s">
        <v>500</v>
      </c>
      <c r="H167" s="30"/>
      <c r="I167" s="30"/>
      <c r="J167" s="30"/>
      <c r="L167" s="33">
        <v>0.52499999999999991</v>
      </c>
      <c r="O167" s="30"/>
      <c r="P167" s="30"/>
      <c r="Q167" s="30"/>
      <c r="R167" s="30"/>
      <c r="S167" s="30"/>
      <c r="AD167" s="31">
        <v>0.1</v>
      </c>
      <c r="AK167" s="31"/>
      <c r="AL167" s="6">
        <v>35000000</v>
      </c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9"/>
      <c r="BH167" s="20"/>
      <c r="BI167" s="17"/>
    </row>
    <row r="168" spans="1:66" x14ac:dyDescent="0.15">
      <c r="A168" s="22" t="s">
        <v>531</v>
      </c>
      <c r="B168" s="15" t="s">
        <v>46</v>
      </c>
      <c r="C168" s="15"/>
      <c r="D168" s="15" t="s">
        <v>55</v>
      </c>
      <c r="E168" s="36" t="s">
        <v>501</v>
      </c>
      <c r="H168" s="30"/>
      <c r="I168" s="30"/>
      <c r="J168" s="30"/>
      <c r="O168" s="30"/>
      <c r="P168" s="30"/>
      <c r="Q168" s="30"/>
      <c r="R168" s="30"/>
      <c r="S168" s="30"/>
      <c r="T168" s="33">
        <v>0.05</v>
      </c>
      <c r="U168" s="33">
        <v>0.05</v>
      </c>
      <c r="V168" s="33">
        <v>0.05</v>
      </c>
      <c r="W168" s="33">
        <v>0.05</v>
      </c>
      <c r="AK168" s="31"/>
      <c r="AP168" s="17"/>
      <c r="AQ168" s="17"/>
      <c r="AR168" s="17"/>
      <c r="AS168" s="17"/>
      <c r="AT168" s="17"/>
      <c r="AU168" s="17"/>
      <c r="AV168" s="17"/>
      <c r="AW168" s="17"/>
      <c r="BB168" s="17"/>
      <c r="BC168" s="17"/>
      <c r="BD168" s="17"/>
      <c r="BH168" s="20"/>
      <c r="BI168" s="17"/>
    </row>
    <row r="169" spans="1:66" x14ac:dyDescent="0.15">
      <c r="A169" s="24" t="s">
        <v>532</v>
      </c>
      <c r="B169" s="15" t="s">
        <v>46</v>
      </c>
      <c r="C169" s="15"/>
      <c r="D169" s="15" t="s">
        <v>55</v>
      </c>
      <c r="E169" s="36" t="s">
        <v>502</v>
      </c>
      <c r="H169" s="30"/>
      <c r="I169" s="30"/>
      <c r="J169" s="30"/>
      <c r="O169" s="30"/>
      <c r="P169" s="30"/>
      <c r="Q169" s="30"/>
      <c r="R169" s="30"/>
      <c r="S169" s="30"/>
      <c r="AK169" s="31"/>
      <c r="AL169" s="6">
        <v>30000000</v>
      </c>
      <c r="AP169" s="7"/>
      <c r="AQ169" s="7"/>
      <c r="AR169" s="7"/>
      <c r="AS169" s="7"/>
      <c r="BG169" s="6">
        <v>200</v>
      </c>
    </row>
    <row r="170" spans="1:66" x14ac:dyDescent="0.15">
      <c r="A170" s="22" t="s">
        <v>533</v>
      </c>
      <c r="B170" s="15" t="s">
        <v>46</v>
      </c>
      <c r="C170" s="5" t="s">
        <v>35</v>
      </c>
      <c r="D170" s="15" t="s">
        <v>55</v>
      </c>
      <c r="E170" s="36" t="s">
        <v>503</v>
      </c>
      <c r="H170" s="30"/>
      <c r="I170" s="30"/>
      <c r="J170" s="30"/>
      <c r="O170" s="30"/>
      <c r="P170" s="30"/>
      <c r="Q170" s="30"/>
      <c r="R170" s="30"/>
      <c r="S170" s="30"/>
      <c r="AK170" s="31"/>
      <c r="AP170" s="17"/>
      <c r="AQ170" s="17"/>
      <c r="AR170" s="17"/>
      <c r="AS170" s="17"/>
      <c r="AT170" s="17"/>
      <c r="AU170" s="17"/>
      <c r="AV170" s="17"/>
      <c r="AW170" s="17"/>
      <c r="AX170" s="7">
        <v>50000000</v>
      </c>
      <c r="AY170" s="7">
        <v>2000</v>
      </c>
      <c r="AZ170" s="7">
        <v>2000</v>
      </c>
      <c r="BA170" s="7">
        <v>2000</v>
      </c>
      <c r="BB170" s="17"/>
      <c r="BC170" s="17"/>
      <c r="BD170" s="17"/>
      <c r="BE170" s="17"/>
      <c r="BF170" s="19"/>
      <c r="BH170" s="20"/>
      <c r="BI170" s="17"/>
      <c r="BL170" s="6">
        <v>1500</v>
      </c>
    </row>
    <row r="171" spans="1:66" x14ac:dyDescent="0.15">
      <c r="A171" s="14" t="s">
        <v>534</v>
      </c>
      <c r="B171" s="15" t="s">
        <v>46</v>
      </c>
      <c r="C171" s="15"/>
      <c r="D171" s="15" t="s">
        <v>55</v>
      </c>
      <c r="E171" s="36" t="s">
        <v>504</v>
      </c>
      <c r="H171" s="30"/>
      <c r="I171" s="30"/>
      <c r="J171" s="30"/>
      <c r="O171" s="37"/>
      <c r="P171" s="37">
        <v>2.5</v>
      </c>
      <c r="Q171" s="37">
        <v>2.5</v>
      </c>
      <c r="R171" s="37"/>
      <c r="S171" s="30"/>
      <c r="AD171" s="31">
        <v>0.06</v>
      </c>
      <c r="AK171" s="31"/>
      <c r="AP171" s="7">
        <v>50000000</v>
      </c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9"/>
      <c r="BH171" s="20"/>
      <c r="BI171" s="17"/>
    </row>
    <row r="172" spans="1:66" x14ac:dyDescent="0.15">
      <c r="A172" s="29" t="s">
        <v>92</v>
      </c>
      <c r="B172" s="15" t="s">
        <v>46</v>
      </c>
      <c r="C172" s="15"/>
      <c r="D172" s="15" t="s">
        <v>55</v>
      </c>
      <c r="E172" s="36" t="s">
        <v>505</v>
      </c>
      <c r="H172" s="30"/>
      <c r="I172" s="30"/>
      <c r="J172" s="30"/>
      <c r="O172" s="30"/>
      <c r="P172" s="30"/>
      <c r="Q172" s="30"/>
      <c r="R172" s="30"/>
      <c r="S172" s="30"/>
      <c r="U172" s="33">
        <v>7.0000000000000007E-2</v>
      </c>
      <c r="AK172" s="31"/>
      <c r="AP172" s="7"/>
      <c r="AQ172" s="7"/>
      <c r="AR172" s="7"/>
      <c r="AS172" s="7"/>
      <c r="AX172" s="7">
        <v>54000000</v>
      </c>
      <c r="BL172" s="6">
        <v>4500</v>
      </c>
    </row>
    <row r="173" spans="1:66" x14ac:dyDescent="0.15">
      <c r="A173" s="29" t="s">
        <v>535</v>
      </c>
      <c r="B173" s="5" t="s">
        <v>46</v>
      </c>
      <c r="C173" s="5" t="s">
        <v>25</v>
      </c>
      <c r="D173" s="5" t="s">
        <v>55</v>
      </c>
      <c r="E173" s="36" t="s">
        <v>506</v>
      </c>
      <c r="H173" s="30"/>
      <c r="I173" s="30"/>
      <c r="J173" s="30"/>
      <c r="O173" s="30"/>
      <c r="P173" s="30"/>
      <c r="Q173" s="30"/>
      <c r="R173" s="30"/>
      <c r="S173" s="30"/>
      <c r="AB173" s="31">
        <v>0.55000000000000004</v>
      </c>
      <c r="AK173" s="31"/>
      <c r="AM173" s="6">
        <v>1800</v>
      </c>
      <c r="AN173" s="6">
        <v>1800</v>
      </c>
      <c r="AO173" s="6">
        <v>1800</v>
      </c>
      <c r="AP173" s="7"/>
      <c r="AQ173" s="7"/>
      <c r="AR173" s="7"/>
      <c r="AS173" s="7"/>
    </row>
    <row r="174" spans="1:66" x14ac:dyDescent="0.15">
      <c r="A174" s="29" t="s">
        <v>536</v>
      </c>
      <c r="B174" s="5" t="s">
        <v>46</v>
      </c>
      <c r="C174" s="5"/>
      <c r="D174" s="5" t="s">
        <v>47</v>
      </c>
      <c r="E174" s="36" t="s">
        <v>549</v>
      </c>
      <c r="H174" s="30"/>
      <c r="I174" s="30"/>
      <c r="J174" s="30"/>
      <c r="O174" s="30"/>
      <c r="P174" s="30"/>
      <c r="Q174" s="30"/>
      <c r="R174" s="30"/>
      <c r="S174" s="30"/>
      <c r="Z174" s="31">
        <v>0.30000000000000004</v>
      </c>
      <c r="AK174" s="31"/>
      <c r="AP174" s="7"/>
      <c r="AQ174" s="7"/>
      <c r="AR174" s="7"/>
      <c r="AS174" s="7"/>
      <c r="BM174" s="6">
        <v>375000</v>
      </c>
    </row>
    <row r="175" spans="1:66" x14ac:dyDescent="0.15">
      <c r="A175" s="14" t="s">
        <v>537</v>
      </c>
      <c r="B175" s="15" t="s">
        <v>46</v>
      </c>
      <c r="C175" s="15"/>
      <c r="D175" s="15" t="s">
        <v>47</v>
      </c>
      <c r="E175" s="36" t="s">
        <v>550</v>
      </c>
      <c r="H175" s="30"/>
      <c r="I175" s="30"/>
      <c r="J175" s="30"/>
      <c r="O175" s="30"/>
      <c r="P175" s="30"/>
      <c r="Q175" s="30"/>
      <c r="R175" s="30"/>
      <c r="S175" s="30"/>
      <c r="AK175" s="31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9">
        <v>5</v>
      </c>
      <c r="BH175" s="20"/>
      <c r="BI175" s="17"/>
    </row>
    <row r="176" spans="1:66" x14ac:dyDescent="0.15">
      <c r="A176" s="14" t="s">
        <v>538</v>
      </c>
      <c r="B176" s="15" t="s">
        <v>46</v>
      </c>
      <c r="C176" s="15"/>
      <c r="D176" s="15" t="s">
        <v>47</v>
      </c>
      <c r="E176" s="36" t="s">
        <v>551</v>
      </c>
      <c r="H176" s="30"/>
      <c r="I176" s="30"/>
      <c r="J176" s="30"/>
      <c r="O176" s="30"/>
      <c r="P176" s="30"/>
      <c r="Q176" s="30"/>
      <c r="R176" s="30"/>
      <c r="S176" s="30"/>
      <c r="Z176" s="31">
        <v>0.30000000000000004</v>
      </c>
      <c r="AA176" s="31">
        <v>0.30000000000000004</v>
      </c>
      <c r="AK176" s="31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9"/>
      <c r="BH176" s="20">
        <v>-0.05</v>
      </c>
      <c r="BI176" s="17"/>
    </row>
    <row r="177" spans="1:65" x14ac:dyDescent="0.15">
      <c r="A177" s="29" t="s">
        <v>539</v>
      </c>
      <c r="B177" s="5" t="s">
        <v>46</v>
      </c>
      <c r="C177" s="5"/>
      <c r="D177" s="5" t="s">
        <v>47</v>
      </c>
      <c r="E177" s="36" t="s">
        <v>552</v>
      </c>
      <c r="H177" s="30"/>
      <c r="I177" s="30">
        <v>7.5000000000000011E-2</v>
      </c>
      <c r="J177" s="30"/>
      <c r="O177" s="30"/>
      <c r="P177" s="30"/>
      <c r="Q177" s="30"/>
      <c r="R177" s="30"/>
      <c r="S177" s="30"/>
      <c r="AK177" s="31"/>
      <c r="AP177" s="7"/>
      <c r="AQ177" s="7"/>
      <c r="AR177" s="7"/>
      <c r="AS177" s="7"/>
      <c r="BF177" s="8">
        <v>4</v>
      </c>
    </row>
    <row r="178" spans="1:65" x14ac:dyDescent="0.15">
      <c r="A178" s="13" t="s">
        <v>540</v>
      </c>
      <c r="B178" s="5" t="s">
        <v>46</v>
      </c>
      <c r="C178" s="5"/>
      <c r="D178" s="5" t="s">
        <v>47</v>
      </c>
      <c r="E178" s="36" t="s">
        <v>553</v>
      </c>
      <c r="H178" s="30"/>
      <c r="I178" s="30"/>
      <c r="J178" s="30"/>
      <c r="L178" s="33">
        <v>7.5000000000000011E-2</v>
      </c>
      <c r="O178" s="30"/>
      <c r="P178" s="30"/>
      <c r="Q178" s="30"/>
      <c r="R178" s="30"/>
      <c r="S178" s="30"/>
      <c r="AK178" s="31"/>
      <c r="AP178" s="7"/>
      <c r="AQ178" s="7"/>
      <c r="AR178" s="7"/>
      <c r="AS178" s="7"/>
      <c r="BL178" s="6">
        <v>150</v>
      </c>
    </row>
    <row r="179" spans="1:65" x14ac:dyDescent="0.15">
      <c r="A179" s="13" t="s">
        <v>541</v>
      </c>
      <c r="B179" s="5" t="s">
        <v>46</v>
      </c>
      <c r="C179" s="5" t="s">
        <v>49</v>
      </c>
      <c r="D179" s="5" t="s">
        <v>47</v>
      </c>
      <c r="E179" s="36" t="s">
        <v>554</v>
      </c>
      <c r="H179" s="30"/>
      <c r="I179" s="30"/>
      <c r="J179" s="30">
        <v>0.11249999999999999</v>
      </c>
      <c r="O179" s="30"/>
      <c r="P179" s="30"/>
      <c r="Q179" s="30"/>
      <c r="R179" s="30"/>
      <c r="S179" s="30"/>
      <c r="AK179" s="31"/>
      <c r="AP179" s="7"/>
      <c r="AQ179" s="7"/>
      <c r="AR179" s="7"/>
      <c r="AS179" s="7"/>
      <c r="BB179" s="6"/>
      <c r="BC179" s="7">
        <v>200</v>
      </c>
      <c r="BD179" s="7">
        <v>200</v>
      </c>
    </row>
    <row r="180" spans="1:65" x14ac:dyDescent="0.15">
      <c r="A180" s="29" t="s">
        <v>542</v>
      </c>
      <c r="B180" s="5" t="s">
        <v>46</v>
      </c>
      <c r="C180" s="5" t="s">
        <v>31</v>
      </c>
      <c r="D180" s="5" t="s">
        <v>51</v>
      </c>
      <c r="E180" s="36" t="s">
        <v>555</v>
      </c>
      <c r="H180" s="30"/>
      <c r="I180" s="30"/>
      <c r="J180" s="30"/>
      <c r="O180" s="30"/>
      <c r="P180" s="30"/>
      <c r="Q180" s="30"/>
      <c r="R180" s="30"/>
      <c r="S180" s="30"/>
      <c r="AK180" s="31"/>
      <c r="AP180" s="7"/>
      <c r="AQ180" s="7"/>
      <c r="AR180" s="7"/>
      <c r="AS180" s="7"/>
      <c r="AU180" s="7">
        <v>400</v>
      </c>
      <c r="AV180" s="7">
        <v>400</v>
      </c>
      <c r="AW180" s="7">
        <v>400</v>
      </c>
      <c r="BG180" s="6">
        <v>40</v>
      </c>
    </row>
    <row r="181" spans="1:65" x14ac:dyDescent="0.15">
      <c r="A181" s="29" t="s">
        <v>543</v>
      </c>
      <c r="B181" s="5" t="s">
        <v>46</v>
      </c>
      <c r="C181" s="5" t="s">
        <v>27</v>
      </c>
      <c r="D181" s="5" t="s">
        <v>51</v>
      </c>
      <c r="E181" s="36" t="s">
        <v>556</v>
      </c>
      <c r="H181" s="30"/>
      <c r="I181" s="30"/>
      <c r="J181" s="30">
        <v>3.7500000000000006E-2</v>
      </c>
      <c r="O181" s="30"/>
      <c r="P181" s="30"/>
      <c r="Q181" s="30"/>
      <c r="R181" s="30"/>
      <c r="S181" s="30"/>
      <c r="AA181" s="31">
        <v>0.375</v>
      </c>
      <c r="AB181" s="31">
        <v>0.2</v>
      </c>
      <c r="AK181" s="31"/>
      <c r="AP181" s="7"/>
      <c r="AQ181" s="7"/>
      <c r="AR181" s="7"/>
      <c r="AS181" s="7"/>
    </row>
    <row r="182" spans="1:65" x14ac:dyDescent="0.15">
      <c r="A182" s="29" t="s">
        <v>544</v>
      </c>
      <c r="B182" s="5" t="s">
        <v>46</v>
      </c>
      <c r="C182" s="5" t="s">
        <v>27</v>
      </c>
      <c r="D182" s="5" t="s">
        <v>51</v>
      </c>
      <c r="E182" s="36" t="s">
        <v>557</v>
      </c>
      <c r="H182" s="30"/>
      <c r="I182" s="30"/>
      <c r="J182" s="30"/>
      <c r="L182" s="33">
        <v>0.30000000000000004</v>
      </c>
      <c r="O182" s="30"/>
      <c r="P182" s="30"/>
      <c r="Q182" s="30"/>
      <c r="R182" s="30"/>
      <c r="S182" s="30"/>
      <c r="U182" s="33">
        <v>5.000000000000001E-2</v>
      </c>
      <c r="AK182" s="31"/>
      <c r="AP182" s="7">
        <v>6000000</v>
      </c>
      <c r="AQ182" s="7"/>
      <c r="AR182" s="7"/>
      <c r="AS182" s="7"/>
    </row>
    <row r="183" spans="1:65" x14ac:dyDescent="0.15">
      <c r="A183" s="29" t="s">
        <v>545</v>
      </c>
      <c r="B183" s="5" t="s">
        <v>46</v>
      </c>
      <c r="C183" s="5"/>
      <c r="D183" s="5" t="s">
        <v>51</v>
      </c>
      <c r="E183" s="36" t="s">
        <v>558</v>
      </c>
      <c r="H183" s="30"/>
      <c r="I183" s="30">
        <v>0.30000000000000004</v>
      </c>
      <c r="J183" s="30"/>
      <c r="O183" s="30"/>
      <c r="P183" s="30"/>
      <c r="Q183" s="30"/>
      <c r="R183" s="30"/>
      <c r="S183" s="30"/>
      <c r="Z183" s="31">
        <v>0.30000000000000004</v>
      </c>
      <c r="AK183" s="31"/>
      <c r="AP183" s="7"/>
      <c r="AQ183" s="7"/>
      <c r="AR183" s="7"/>
      <c r="AS183" s="7"/>
      <c r="AT183" s="7">
        <v>6100000</v>
      </c>
    </row>
    <row r="184" spans="1:65" x14ac:dyDescent="0.15">
      <c r="A184" s="29" t="s">
        <v>546</v>
      </c>
      <c r="B184" s="5" t="s">
        <v>46</v>
      </c>
      <c r="C184" s="5"/>
      <c r="D184" s="5" t="s">
        <v>51</v>
      </c>
      <c r="E184" s="36" t="s">
        <v>559</v>
      </c>
      <c r="H184" s="30"/>
      <c r="I184" s="30"/>
      <c r="J184" s="30"/>
      <c r="O184" s="30"/>
      <c r="P184" s="30"/>
      <c r="Q184" s="30"/>
      <c r="R184" s="30"/>
      <c r="S184" s="30"/>
      <c r="Z184" s="31">
        <v>0.375</v>
      </c>
      <c r="AK184" s="31"/>
      <c r="AM184" s="6">
        <v>200</v>
      </c>
      <c r="AN184" s="6">
        <v>200</v>
      </c>
      <c r="AO184" s="6">
        <v>200</v>
      </c>
      <c r="AP184" s="7"/>
      <c r="AQ184" s="7"/>
      <c r="AR184" s="7"/>
      <c r="AS184" s="7"/>
      <c r="BE184" s="7">
        <v>3600</v>
      </c>
      <c r="BH184" s="9">
        <v>-0.05</v>
      </c>
    </row>
    <row r="185" spans="1:65" x14ac:dyDescent="0.15">
      <c r="A185" s="29" t="s">
        <v>547</v>
      </c>
      <c r="B185" s="5" t="s">
        <v>46</v>
      </c>
      <c r="C185" s="5"/>
      <c r="D185" s="5" t="s">
        <v>51</v>
      </c>
      <c r="E185" s="36" t="s">
        <v>560</v>
      </c>
      <c r="H185" s="30"/>
      <c r="I185" s="30"/>
      <c r="J185" s="30"/>
      <c r="L185" s="33">
        <v>0.15000000000000002</v>
      </c>
      <c r="O185" s="30"/>
      <c r="P185" s="30"/>
      <c r="Q185" s="30"/>
      <c r="R185" s="30"/>
      <c r="S185" s="30"/>
      <c r="AK185" s="31"/>
      <c r="AP185" s="7"/>
      <c r="AQ185" s="7"/>
      <c r="AR185" s="7"/>
      <c r="AS185" s="7"/>
      <c r="BI185" s="6">
        <v>555000</v>
      </c>
      <c r="BJ185" s="6">
        <v>555000</v>
      </c>
      <c r="BK185" s="6">
        <v>555000</v>
      </c>
    </row>
    <row r="186" spans="1:65" x14ac:dyDescent="0.15">
      <c r="A186" s="13" t="s">
        <v>548</v>
      </c>
      <c r="B186" s="5" t="s">
        <v>46</v>
      </c>
      <c r="C186" s="5" t="s">
        <v>49</v>
      </c>
      <c r="D186" s="5" t="s">
        <v>51</v>
      </c>
      <c r="E186" s="36" t="s">
        <v>561</v>
      </c>
      <c r="H186" s="30"/>
      <c r="I186" s="30">
        <v>0.30000000000000004</v>
      </c>
      <c r="J186" s="30"/>
      <c r="O186" s="30"/>
      <c r="P186" s="30"/>
      <c r="Q186" s="30"/>
      <c r="R186" s="30"/>
      <c r="S186" s="30"/>
      <c r="AK186" s="31"/>
      <c r="AP186" s="7"/>
      <c r="AQ186" s="7"/>
      <c r="AR186" s="7"/>
      <c r="AS186" s="7"/>
    </row>
    <row r="187" spans="1:65" x14ac:dyDescent="0.15">
      <c r="A187" s="29" t="s">
        <v>570</v>
      </c>
      <c r="B187" s="5" t="s">
        <v>46</v>
      </c>
      <c r="C187" s="5"/>
      <c r="D187" s="5" t="s">
        <v>52</v>
      </c>
      <c r="E187" s="36" t="s">
        <v>562</v>
      </c>
      <c r="H187" s="30"/>
      <c r="I187" s="30"/>
      <c r="J187" s="30"/>
      <c r="O187" s="30"/>
      <c r="P187" s="30"/>
      <c r="Q187" s="30"/>
      <c r="R187" s="30"/>
      <c r="S187" s="30"/>
      <c r="Z187" s="31">
        <v>0.44999999999999996</v>
      </c>
      <c r="AK187" s="31"/>
      <c r="AP187" s="7"/>
      <c r="AQ187" s="7"/>
      <c r="AR187" s="7"/>
      <c r="AS187" s="7"/>
      <c r="BF187" s="8">
        <v>6</v>
      </c>
      <c r="BH187" s="20">
        <v>-0.05</v>
      </c>
      <c r="BI187" s="17"/>
    </row>
    <row r="188" spans="1:65" x14ac:dyDescent="0.15">
      <c r="A188" s="13" t="s">
        <v>571</v>
      </c>
      <c r="B188" s="5" t="s">
        <v>46</v>
      </c>
      <c r="C188" s="5"/>
      <c r="D188" s="5" t="s">
        <v>52</v>
      </c>
      <c r="E188" s="36" t="s">
        <v>563</v>
      </c>
      <c r="H188" s="30"/>
      <c r="I188" s="30"/>
      <c r="J188" s="30"/>
      <c r="O188" s="30"/>
      <c r="P188" s="30"/>
      <c r="Q188" s="30"/>
      <c r="R188" s="30"/>
      <c r="S188" s="30"/>
      <c r="T188" s="33">
        <v>5.000000000000001E-2</v>
      </c>
      <c r="U188" s="33">
        <v>5.000000000000001E-2</v>
      </c>
      <c r="Y188" s="33">
        <v>7.0000000000000007E-2</v>
      </c>
      <c r="AK188" s="31"/>
      <c r="AP188" s="7"/>
      <c r="AQ188" s="7"/>
      <c r="AR188" s="7"/>
      <c r="AS188" s="7"/>
      <c r="BM188" s="6">
        <v>2400000</v>
      </c>
    </row>
    <row r="189" spans="1:65" x14ac:dyDescent="0.15">
      <c r="A189" s="22" t="s">
        <v>572</v>
      </c>
      <c r="B189" s="15" t="s">
        <v>46</v>
      </c>
      <c r="C189" s="5" t="s">
        <v>35</v>
      </c>
      <c r="D189" s="15" t="s">
        <v>52</v>
      </c>
      <c r="E189" s="36" t="s">
        <v>564</v>
      </c>
      <c r="H189" s="30"/>
      <c r="I189" s="30"/>
      <c r="J189" s="30"/>
      <c r="O189" s="30"/>
      <c r="P189" s="30"/>
      <c r="Q189" s="30"/>
      <c r="R189" s="30"/>
      <c r="S189" s="30"/>
      <c r="X189" s="33">
        <v>0.09</v>
      </c>
      <c r="Y189" s="33">
        <v>5.000000000000001E-2</v>
      </c>
      <c r="AK189" s="31"/>
      <c r="AP189" s="17"/>
      <c r="AQ189" s="17"/>
      <c r="AR189" s="17"/>
      <c r="AS189" s="17"/>
      <c r="AT189" s="17"/>
      <c r="AU189" s="17"/>
      <c r="AV189" s="17"/>
      <c r="AW189" s="17"/>
      <c r="AX189" s="17">
        <v>17760000</v>
      </c>
      <c r="BB189" s="17"/>
      <c r="BC189" s="17"/>
      <c r="BD189" s="17"/>
      <c r="BE189" s="17"/>
      <c r="BF189" s="19"/>
      <c r="BH189" s="20"/>
      <c r="BI189" s="17"/>
    </row>
    <row r="190" spans="1:65" x14ac:dyDescent="0.15">
      <c r="A190" s="13" t="s">
        <v>767</v>
      </c>
      <c r="B190" s="5" t="s">
        <v>46</v>
      </c>
      <c r="C190" s="5"/>
      <c r="D190" s="5" t="s">
        <v>52</v>
      </c>
      <c r="E190" s="36" t="s">
        <v>565</v>
      </c>
      <c r="H190" s="30"/>
      <c r="I190" s="30"/>
      <c r="J190" s="30"/>
      <c r="O190" s="30"/>
      <c r="P190" s="30"/>
      <c r="Q190" s="30"/>
      <c r="R190" s="30">
        <v>0.5</v>
      </c>
      <c r="S190" s="30"/>
      <c r="U190" s="33">
        <v>0.06</v>
      </c>
      <c r="W190" s="33">
        <v>0.06</v>
      </c>
      <c r="AK190" s="31"/>
      <c r="AP190" s="7"/>
      <c r="AQ190" s="7"/>
      <c r="AR190" s="7"/>
      <c r="AS190" s="7"/>
      <c r="BF190" s="8">
        <v>7</v>
      </c>
    </row>
    <row r="191" spans="1:65" x14ac:dyDescent="0.15">
      <c r="A191" s="13" t="s">
        <v>573</v>
      </c>
      <c r="B191" s="5" t="s">
        <v>46</v>
      </c>
      <c r="C191" s="5"/>
      <c r="D191" s="5" t="s">
        <v>52</v>
      </c>
      <c r="E191" s="36" t="s">
        <v>566</v>
      </c>
      <c r="H191" s="30"/>
      <c r="I191" s="30"/>
      <c r="J191" s="30"/>
      <c r="O191" s="30"/>
      <c r="P191" s="30"/>
      <c r="Q191" s="30"/>
      <c r="R191" s="30"/>
      <c r="S191" s="30"/>
      <c r="T191" s="33">
        <v>0.06</v>
      </c>
      <c r="AK191" s="31"/>
      <c r="AM191" s="6">
        <v>650</v>
      </c>
      <c r="AN191" s="6">
        <v>650</v>
      </c>
      <c r="AO191" s="6">
        <v>650</v>
      </c>
      <c r="AP191" s="7"/>
      <c r="AQ191" s="7"/>
      <c r="AR191" s="7"/>
      <c r="AS191" s="7"/>
      <c r="BM191" s="6">
        <v>2400000</v>
      </c>
    </row>
    <row r="192" spans="1:65" x14ac:dyDescent="0.15">
      <c r="A192" s="13" t="s">
        <v>574</v>
      </c>
      <c r="B192" s="5" t="s">
        <v>46</v>
      </c>
      <c r="C192" s="5"/>
      <c r="D192" s="5" t="s">
        <v>55</v>
      </c>
      <c r="E192" s="36" t="s">
        <v>567</v>
      </c>
      <c r="H192" s="30"/>
      <c r="I192" s="30"/>
      <c r="J192" s="30"/>
      <c r="M192" s="33">
        <v>7.0000000000000007E-2</v>
      </c>
      <c r="O192" s="30"/>
      <c r="P192" s="30">
        <v>2</v>
      </c>
      <c r="Q192" s="30"/>
      <c r="R192" s="30"/>
      <c r="S192" s="30"/>
      <c r="Z192" s="31">
        <v>0.89999999999999991</v>
      </c>
      <c r="AD192" s="31">
        <v>4.4999999999999998E-2</v>
      </c>
      <c r="AK192" s="31"/>
      <c r="AP192" s="7"/>
      <c r="AQ192" s="7"/>
      <c r="AR192" s="7"/>
      <c r="AS192" s="7"/>
      <c r="AT192" s="7">
        <v>56000000</v>
      </c>
    </row>
    <row r="193" spans="1:61" x14ac:dyDescent="0.15">
      <c r="A193" s="24" t="s">
        <v>575</v>
      </c>
      <c r="B193" s="5" t="s">
        <v>46</v>
      </c>
      <c r="C193" s="5"/>
      <c r="D193" s="5" t="s">
        <v>55</v>
      </c>
      <c r="E193" s="36" t="s">
        <v>568</v>
      </c>
      <c r="H193" s="30"/>
      <c r="I193" s="30"/>
      <c r="J193" s="30"/>
      <c r="M193" s="33">
        <v>7.0000000000000007E-2</v>
      </c>
      <c r="N193" s="33">
        <v>7.0000000000000007E-2</v>
      </c>
      <c r="O193" s="30"/>
      <c r="P193" s="30"/>
      <c r="Q193" s="30"/>
      <c r="R193" s="30"/>
      <c r="S193" s="30"/>
      <c r="AK193" s="31"/>
      <c r="AL193" s="6">
        <v>28000000</v>
      </c>
      <c r="AM193" s="7">
        <v>1200</v>
      </c>
      <c r="AN193" s="7">
        <v>1200</v>
      </c>
      <c r="AO193" s="7">
        <v>1200</v>
      </c>
      <c r="AP193" s="7"/>
      <c r="AQ193" s="7"/>
      <c r="AR193" s="7"/>
      <c r="AS193" s="7"/>
    </row>
    <row r="194" spans="1:61" x14ac:dyDescent="0.15">
      <c r="A194" s="29" t="s">
        <v>576</v>
      </c>
      <c r="B194" s="5" t="s">
        <v>46</v>
      </c>
      <c r="C194" s="5"/>
      <c r="D194" s="5" t="s">
        <v>55</v>
      </c>
      <c r="E194" s="36" t="s">
        <v>569</v>
      </c>
      <c r="H194" s="30"/>
      <c r="I194" s="30"/>
      <c r="J194" s="30"/>
      <c r="O194" s="30"/>
      <c r="P194" s="30"/>
      <c r="Q194" s="30"/>
      <c r="R194" s="30"/>
      <c r="S194" s="30"/>
      <c r="Z194" s="31">
        <v>1.2000000000000002</v>
      </c>
      <c r="AK194" s="31"/>
      <c r="AP194" s="7"/>
      <c r="AQ194" s="7"/>
      <c r="AR194" s="7"/>
      <c r="AS194" s="7"/>
      <c r="BB194" s="7">
        <v>105000000</v>
      </c>
      <c r="BH194" s="9">
        <v>-0.1</v>
      </c>
    </row>
    <row r="195" spans="1:61" x14ac:dyDescent="0.15">
      <c r="A195" s="13" t="s">
        <v>588</v>
      </c>
      <c r="B195" s="5" t="s">
        <v>46</v>
      </c>
      <c r="C195" s="5" t="s">
        <v>49</v>
      </c>
      <c r="D195" s="5" t="s">
        <v>47</v>
      </c>
      <c r="E195" s="36" t="s">
        <v>577</v>
      </c>
      <c r="H195" s="30">
        <v>0.15000000000000002</v>
      </c>
      <c r="I195" s="30"/>
      <c r="J195" s="30"/>
      <c r="O195" s="30"/>
      <c r="P195" s="30"/>
      <c r="Q195" s="30"/>
      <c r="R195" s="30"/>
      <c r="S195" s="30"/>
      <c r="AK195" s="31"/>
      <c r="AP195" s="7"/>
      <c r="AQ195" s="7"/>
      <c r="AR195" s="7"/>
      <c r="AS195" s="7"/>
    </row>
    <row r="196" spans="1:61" x14ac:dyDescent="0.15">
      <c r="A196" s="29" t="s">
        <v>589</v>
      </c>
      <c r="B196" s="5" t="s">
        <v>46</v>
      </c>
      <c r="C196" s="5" t="s">
        <v>35</v>
      </c>
      <c r="D196" s="5" t="s">
        <v>47</v>
      </c>
      <c r="E196" s="36" t="s">
        <v>578</v>
      </c>
      <c r="I196" s="30"/>
      <c r="J196" s="30"/>
      <c r="O196" s="30"/>
      <c r="P196" s="30"/>
      <c r="Q196" s="30"/>
      <c r="R196" s="30"/>
      <c r="S196" s="30"/>
      <c r="X196" s="33">
        <v>5.000000000000001E-2</v>
      </c>
      <c r="AK196" s="31"/>
      <c r="AP196" s="7"/>
      <c r="AQ196" s="7"/>
      <c r="AR196" s="7"/>
      <c r="AS196" s="7"/>
      <c r="AX196" s="7">
        <v>2400000</v>
      </c>
    </row>
    <row r="197" spans="1:61" x14ac:dyDescent="0.15">
      <c r="A197" s="29" t="s">
        <v>590</v>
      </c>
      <c r="B197" s="5" t="s">
        <v>46</v>
      </c>
      <c r="C197" s="5" t="s">
        <v>49</v>
      </c>
      <c r="D197" s="5" t="s">
        <v>47</v>
      </c>
      <c r="E197" s="36" t="s">
        <v>579</v>
      </c>
      <c r="H197" s="30"/>
      <c r="I197" s="30"/>
      <c r="J197" s="30"/>
      <c r="K197" s="33">
        <v>0.11249999999999999</v>
      </c>
      <c r="O197" s="30"/>
      <c r="P197" s="30"/>
      <c r="Q197" s="30"/>
      <c r="R197" s="30"/>
      <c r="S197" s="30"/>
      <c r="AK197" s="31"/>
      <c r="AP197" s="7"/>
      <c r="AQ197" s="7"/>
      <c r="AR197" s="7"/>
      <c r="AS197" s="7"/>
      <c r="AY197" s="7">
        <v>120</v>
      </c>
      <c r="AZ197" s="7">
        <v>120</v>
      </c>
      <c r="BA197" s="7">
        <v>120</v>
      </c>
    </row>
    <row r="198" spans="1:61" x14ac:dyDescent="0.15">
      <c r="A198" s="13" t="s">
        <v>591</v>
      </c>
      <c r="B198" s="5" t="s">
        <v>46</v>
      </c>
      <c r="C198" s="5" t="s">
        <v>49</v>
      </c>
      <c r="D198" s="5" t="s">
        <v>47</v>
      </c>
      <c r="E198" s="36" t="s">
        <v>580</v>
      </c>
      <c r="H198" s="30">
        <v>0.11249999999999999</v>
      </c>
      <c r="J198" s="30">
        <v>3.7500000000000006E-2</v>
      </c>
      <c r="O198" s="30"/>
      <c r="P198" s="30"/>
      <c r="Q198" s="30"/>
      <c r="R198" s="30"/>
      <c r="S198" s="30"/>
      <c r="AK198" s="31"/>
      <c r="AP198" s="7"/>
      <c r="AQ198" s="7"/>
      <c r="AR198" s="7"/>
      <c r="AS198" s="7"/>
    </row>
    <row r="199" spans="1:61" x14ac:dyDescent="0.15">
      <c r="A199" s="29" t="s">
        <v>592</v>
      </c>
      <c r="B199" s="5" t="s">
        <v>46</v>
      </c>
      <c r="C199" s="5" t="s">
        <v>49</v>
      </c>
      <c r="D199" s="5" t="s">
        <v>47</v>
      </c>
      <c r="E199" s="36" t="s">
        <v>581</v>
      </c>
      <c r="H199" s="30">
        <v>0.12</v>
      </c>
      <c r="I199" s="30"/>
      <c r="J199" s="30"/>
      <c r="O199" s="30"/>
      <c r="P199" s="30"/>
      <c r="Q199" s="30"/>
      <c r="R199" s="30"/>
      <c r="S199" s="30"/>
      <c r="AK199" s="31"/>
      <c r="AP199" s="7"/>
      <c r="AQ199" s="7"/>
      <c r="AR199" s="7"/>
      <c r="AS199" s="7"/>
      <c r="AU199" s="7">
        <v>110</v>
      </c>
      <c r="AV199" s="7">
        <v>110</v>
      </c>
      <c r="AW199" s="7">
        <v>110</v>
      </c>
    </row>
    <row r="200" spans="1:61" x14ac:dyDescent="0.15">
      <c r="A200" s="13" t="s">
        <v>593</v>
      </c>
      <c r="B200" s="5" t="s">
        <v>46</v>
      </c>
      <c r="C200" s="5" t="s">
        <v>49</v>
      </c>
      <c r="D200" s="5" t="s">
        <v>47</v>
      </c>
      <c r="E200" s="36" t="s">
        <v>582</v>
      </c>
      <c r="H200" s="30">
        <v>3.7500000000000006E-2</v>
      </c>
      <c r="I200" s="30">
        <v>0.11249999999999999</v>
      </c>
      <c r="J200" s="30"/>
      <c r="O200" s="30"/>
      <c r="P200" s="30"/>
      <c r="Q200" s="30"/>
      <c r="R200" s="30"/>
      <c r="S200" s="30"/>
      <c r="AK200" s="31"/>
      <c r="AP200" s="7"/>
      <c r="AQ200" s="7"/>
      <c r="AR200" s="7"/>
      <c r="AS200" s="7"/>
    </row>
    <row r="201" spans="1:61" x14ac:dyDescent="0.15">
      <c r="A201" s="29" t="s">
        <v>595</v>
      </c>
      <c r="B201" s="5" t="s">
        <v>46</v>
      </c>
      <c r="C201" s="5" t="s">
        <v>49</v>
      </c>
      <c r="D201" s="5" t="s">
        <v>51</v>
      </c>
      <c r="E201" s="36" t="s">
        <v>583</v>
      </c>
      <c r="H201" s="30"/>
      <c r="I201" s="30">
        <v>0.1875</v>
      </c>
      <c r="J201" s="30">
        <v>3.7500000000000006E-2</v>
      </c>
      <c r="O201" s="30"/>
      <c r="P201" s="30"/>
      <c r="Q201" s="30"/>
      <c r="R201" s="30"/>
      <c r="S201" s="30"/>
      <c r="AK201" s="31"/>
      <c r="AP201" s="7"/>
      <c r="AQ201" s="7"/>
      <c r="AR201" s="7"/>
      <c r="AS201" s="7"/>
    </row>
    <row r="202" spans="1:61" x14ac:dyDescent="0.15">
      <c r="A202" s="29" t="s">
        <v>596</v>
      </c>
      <c r="B202" s="5" t="s">
        <v>46</v>
      </c>
      <c r="C202" s="5"/>
      <c r="D202" s="5" t="s">
        <v>51</v>
      </c>
      <c r="E202" s="36" t="s">
        <v>584</v>
      </c>
      <c r="H202" s="30"/>
      <c r="I202" s="30"/>
      <c r="J202" s="30"/>
      <c r="O202" s="30"/>
      <c r="P202" s="30"/>
      <c r="Q202" s="30"/>
      <c r="R202" s="30"/>
      <c r="S202" s="30"/>
      <c r="T202" s="33">
        <v>0.03</v>
      </c>
      <c r="U202" s="33">
        <v>0.03</v>
      </c>
      <c r="V202" s="33">
        <v>0.03</v>
      </c>
      <c r="AK202" s="31"/>
      <c r="AP202" s="7"/>
      <c r="AQ202" s="7"/>
      <c r="AR202" s="7"/>
      <c r="AS202" s="7"/>
      <c r="BF202" s="8">
        <v>5</v>
      </c>
    </row>
    <row r="203" spans="1:61" x14ac:dyDescent="0.15">
      <c r="A203" s="29" t="s">
        <v>597</v>
      </c>
      <c r="B203" s="5" t="s">
        <v>46</v>
      </c>
      <c r="C203" s="5" t="s">
        <v>49</v>
      </c>
      <c r="D203" s="5" t="s">
        <v>52</v>
      </c>
      <c r="E203" s="36" t="s">
        <v>585</v>
      </c>
      <c r="H203" s="30">
        <v>0.44999999999999996</v>
      </c>
      <c r="I203" s="30"/>
      <c r="J203" s="30"/>
      <c r="N203" s="33">
        <v>2.5000000000000005E-2</v>
      </c>
      <c r="O203" s="30"/>
      <c r="P203" s="30"/>
      <c r="Q203" s="30">
        <v>0.375</v>
      </c>
      <c r="R203" s="30"/>
      <c r="S203" s="30"/>
      <c r="AK203" s="31"/>
      <c r="AP203" s="7"/>
      <c r="AQ203" s="7"/>
      <c r="AR203" s="7"/>
      <c r="AS203" s="7"/>
      <c r="AZ203" s="6"/>
      <c r="BA203" s="6"/>
    </row>
    <row r="204" spans="1:61" x14ac:dyDescent="0.15">
      <c r="A204" s="13" t="s">
        <v>598</v>
      </c>
      <c r="B204" s="5" t="s">
        <v>594</v>
      </c>
      <c r="C204" s="5"/>
      <c r="D204" s="5" t="s">
        <v>52</v>
      </c>
      <c r="E204" s="36" t="s">
        <v>586</v>
      </c>
      <c r="H204" s="30"/>
      <c r="I204" s="30"/>
      <c r="J204" s="30"/>
      <c r="O204" s="30"/>
      <c r="P204" s="30"/>
      <c r="Q204" s="30"/>
      <c r="R204" s="30"/>
      <c r="S204" s="30"/>
      <c r="X204" s="33">
        <v>0.1</v>
      </c>
      <c r="AK204" s="31"/>
      <c r="AP204" s="7"/>
      <c r="AQ204" s="7"/>
      <c r="AR204" s="7"/>
      <c r="AS204" s="7"/>
      <c r="AX204" s="17"/>
      <c r="AY204" s="7">
        <v>1200</v>
      </c>
      <c r="AZ204" s="7">
        <v>1200</v>
      </c>
      <c r="BA204" s="7">
        <v>1200</v>
      </c>
    </row>
    <row r="205" spans="1:61" x14ac:dyDescent="0.15">
      <c r="A205" s="29" t="s">
        <v>599</v>
      </c>
      <c r="B205" s="5" t="s">
        <v>46</v>
      </c>
      <c r="C205" s="5" t="s">
        <v>49</v>
      </c>
      <c r="D205" s="5" t="s">
        <v>55</v>
      </c>
      <c r="E205" s="36" t="s">
        <v>587</v>
      </c>
      <c r="H205" s="30"/>
      <c r="I205" s="30"/>
      <c r="J205" s="30"/>
      <c r="K205" s="33">
        <v>0.89999999999999991</v>
      </c>
      <c r="O205" s="30"/>
      <c r="P205" s="30"/>
      <c r="Q205" s="30"/>
      <c r="R205" s="30"/>
      <c r="S205" s="30"/>
      <c r="AK205" s="31"/>
      <c r="AP205" s="7"/>
      <c r="AQ205" s="7"/>
      <c r="AR205" s="7"/>
      <c r="AS205" s="7"/>
    </row>
    <row r="206" spans="1:61" x14ac:dyDescent="0.15">
      <c r="A206" s="29" t="s">
        <v>615</v>
      </c>
      <c r="B206" s="5" t="s">
        <v>46</v>
      </c>
      <c r="C206" s="5" t="s">
        <v>42</v>
      </c>
      <c r="D206" s="5" t="s">
        <v>47</v>
      </c>
      <c r="E206" s="36" t="s">
        <v>600</v>
      </c>
      <c r="H206" s="30"/>
      <c r="I206" s="30"/>
      <c r="J206" s="30"/>
      <c r="O206" s="30"/>
      <c r="P206" s="30"/>
      <c r="Q206" s="30"/>
      <c r="R206" s="30"/>
      <c r="S206" s="30"/>
      <c r="AK206" s="31"/>
      <c r="AP206" s="7"/>
      <c r="AQ206" s="7"/>
      <c r="AR206" s="7"/>
      <c r="AS206" s="7"/>
      <c r="BE206" s="7">
        <v>1550</v>
      </c>
      <c r="BI206" s="7">
        <v>750000</v>
      </c>
    </row>
    <row r="207" spans="1:61" x14ac:dyDescent="0.15">
      <c r="A207" s="29" t="s">
        <v>627</v>
      </c>
      <c r="B207" s="5" t="s">
        <v>46</v>
      </c>
      <c r="C207" s="5"/>
      <c r="D207" s="5" t="s">
        <v>47</v>
      </c>
      <c r="E207" s="36" t="s">
        <v>601</v>
      </c>
      <c r="H207" s="30"/>
      <c r="I207" s="30"/>
      <c r="J207" s="30"/>
      <c r="O207" s="30"/>
      <c r="P207" s="30"/>
      <c r="Q207" s="30"/>
      <c r="R207" s="30"/>
      <c r="S207" s="30"/>
      <c r="T207" s="33">
        <v>0.04</v>
      </c>
      <c r="AK207" s="31"/>
      <c r="AP207" s="7"/>
      <c r="AQ207" s="7"/>
      <c r="AR207" s="7"/>
      <c r="AS207" s="7"/>
    </row>
    <row r="208" spans="1:61" x14ac:dyDescent="0.15">
      <c r="A208" s="13" t="s">
        <v>616</v>
      </c>
      <c r="B208" s="5" t="s">
        <v>46</v>
      </c>
      <c r="C208" s="5" t="s">
        <v>25</v>
      </c>
      <c r="D208" s="5" t="s">
        <v>47</v>
      </c>
      <c r="E208" s="36" t="s">
        <v>602</v>
      </c>
      <c r="H208" s="30"/>
      <c r="I208" s="30"/>
      <c r="J208" s="30"/>
      <c r="O208" s="30"/>
      <c r="P208" s="30"/>
      <c r="Q208" s="30"/>
      <c r="R208" s="30"/>
      <c r="S208" s="30"/>
      <c r="AK208" s="31"/>
      <c r="AP208" s="7"/>
      <c r="AQ208" s="7"/>
      <c r="AR208" s="7"/>
      <c r="AS208" s="7"/>
      <c r="AY208" s="7">
        <v>130</v>
      </c>
      <c r="AZ208" s="7">
        <v>130</v>
      </c>
      <c r="BA208" s="7">
        <v>130</v>
      </c>
      <c r="BI208" s="7">
        <v>750000</v>
      </c>
    </row>
    <row r="209" spans="1:64" x14ac:dyDescent="0.15">
      <c r="A209" s="29" t="s">
        <v>617</v>
      </c>
      <c r="B209" s="5" t="s">
        <v>46</v>
      </c>
      <c r="C209" s="5" t="s">
        <v>49</v>
      </c>
      <c r="D209" s="5" t="s">
        <v>47</v>
      </c>
      <c r="E209" s="36" t="s">
        <v>603</v>
      </c>
      <c r="I209" s="30"/>
      <c r="J209" s="30">
        <v>0.12</v>
      </c>
      <c r="O209" s="30"/>
      <c r="P209" s="30"/>
      <c r="Q209" s="30"/>
      <c r="R209" s="30"/>
      <c r="S209" s="30"/>
      <c r="AK209" s="31"/>
      <c r="AM209" s="6">
        <v>55</v>
      </c>
      <c r="AN209" s="6">
        <v>55</v>
      </c>
      <c r="AO209" s="6">
        <v>55</v>
      </c>
      <c r="AP209" s="7"/>
      <c r="AQ209" s="7"/>
      <c r="AR209" s="7"/>
      <c r="AS209" s="7"/>
    </row>
    <row r="210" spans="1:64" x14ac:dyDescent="0.15">
      <c r="A210" s="29" t="s">
        <v>628</v>
      </c>
      <c r="B210" s="5" t="s">
        <v>46</v>
      </c>
      <c r="C210" s="5"/>
      <c r="D210" s="5" t="s">
        <v>47</v>
      </c>
      <c r="E210" s="36" t="s">
        <v>604</v>
      </c>
      <c r="H210" s="30"/>
      <c r="I210" s="30"/>
      <c r="J210" s="30"/>
      <c r="O210" s="30"/>
      <c r="P210" s="30"/>
      <c r="Q210" s="30"/>
      <c r="R210" s="30"/>
      <c r="S210" s="30"/>
      <c r="AK210" s="31"/>
      <c r="AP210" s="7"/>
      <c r="AQ210" s="7"/>
      <c r="AR210" s="7"/>
      <c r="AS210" s="7"/>
      <c r="BF210" s="8">
        <v>3</v>
      </c>
      <c r="BI210" s="7">
        <v>300000</v>
      </c>
      <c r="BJ210" s="7">
        <v>30000</v>
      </c>
      <c r="BK210" s="7">
        <v>30000</v>
      </c>
    </row>
    <row r="211" spans="1:64" x14ac:dyDescent="0.15">
      <c r="A211" s="29" t="s">
        <v>629</v>
      </c>
      <c r="B211" s="5" t="s">
        <v>46</v>
      </c>
      <c r="C211" s="5" t="s">
        <v>49</v>
      </c>
      <c r="D211" s="5" t="s">
        <v>51</v>
      </c>
      <c r="E211" s="36" t="s">
        <v>605</v>
      </c>
      <c r="H211" s="30">
        <v>0.22499999999999998</v>
      </c>
      <c r="I211" s="30">
        <v>3.7500000000000006E-2</v>
      </c>
      <c r="J211" s="30"/>
      <c r="O211" s="30"/>
      <c r="P211" s="30"/>
      <c r="Q211" s="30"/>
      <c r="R211" s="30"/>
      <c r="S211" s="30"/>
      <c r="AK211" s="31"/>
      <c r="AP211" s="7"/>
      <c r="AQ211" s="7">
        <v>375</v>
      </c>
      <c r="AR211" s="7">
        <v>375</v>
      </c>
      <c r="AS211" s="7">
        <v>375</v>
      </c>
    </row>
    <row r="212" spans="1:64" x14ac:dyDescent="0.15">
      <c r="A212" s="14" t="s">
        <v>630</v>
      </c>
      <c r="B212" s="15" t="s">
        <v>46</v>
      </c>
      <c r="C212" s="15"/>
      <c r="D212" s="5" t="s">
        <v>51</v>
      </c>
      <c r="E212" s="36" t="s">
        <v>606</v>
      </c>
      <c r="H212" s="30"/>
      <c r="I212" s="30"/>
      <c r="J212" s="30"/>
      <c r="O212" s="30"/>
      <c r="P212" s="30"/>
      <c r="Q212" s="30"/>
      <c r="R212" s="30"/>
      <c r="S212" s="30"/>
      <c r="T212" s="33">
        <v>0.04</v>
      </c>
      <c r="V212" s="33">
        <v>0.04</v>
      </c>
      <c r="AK212" s="31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7">
        <v>3200</v>
      </c>
      <c r="BF212" s="19"/>
      <c r="BH212" s="20"/>
      <c r="BI212" s="17"/>
    </row>
    <row r="213" spans="1:64" x14ac:dyDescent="0.15">
      <c r="A213" s="13" t="s">
        <v>618</v>
      </c>
      <c r="B213" s="5" t="s">
        <v>46</v>
      </c>
      <c r="C213" s="5"/>
      <c r="D213" s="5" t="s">
        <v>51</v>
      </c>
      <c r="E213" s="36" t="s">
        <v>607</v>
      </c>
      <c r="H213" s="30"/>
      <c r="I213" s="30"/>
      <c r="J213" s="30"/>
      <c r="N213" s="33">
        <v>0.04</v>
      </c>
      <c r="O213" s="30"/>
      <c r="P213" s="30"/>
      <c r="Q213" s="30">
        <v>1</v>
      </c>
      <c r="R213" s="30"/>
      <c r="S213" s="30"/>
      <c r="AK213" s="31"/>
      <c r="AP213" s="7"/>
      <c r="AQ213" s="7"/>
      <c r="AR213" s="7"/>
      <c r="AS213" s="7"/>
      <c r="AX213" s="17"/>
      <c r="AY213" s="7">
        <v>350</v>
      </c>
      <c r="AZ213" s="7">
        <v>350</v>
      </c>
      <c r="BA213" s="7">
        <v>350</v>
      </c>
      <c r="BL213" s="6">
        <v>300</v>
      </c>
    </row>
    <row r="214" spans="1:64" x14ac:dyDescent="0.15">
      <c r="A214" s="39" t="s">
        <v>619</v>
      </c>
      <c r="B214" s="5" t="s">
        <v>46</v>
      </c>
      <c r="C214" s="5"/>
      <c r="D214" s="5" t="s">
        <v>51</v>
      </c>
      <c r="E214" s="36" t="s">
        <v>608</v>
      </c>
      <c r="H214" s="30"/>
      <c r="J214" s="30"/>
      <c r="O214" s="30"/>
      <c r="P214" s="30"/>
      <c r="Q214" s="30"/>
      <c r="R214" s="30"/>
      <c r="S214" s="30"/>
      <c r="T214" s="33">
        <v>0.04</v>
      </c>
      <c r="AK214" s="31"/>
      <c r="AP214" s="7"/>
      <c r="AQ214" s="7"/>
      <c r="AR214" s="7"/>
      <c r="AS214" s="7"/>
      <c r="BE214" s="7">
        <v>3000</v>
      </c>
      <c r="BF214" s="8">
        <v>4</v>
      </c>
    </row>
    <row r="215" spans="1:64" x14ac:dyDescent="0.15">
      <c r="A215" s="29" t="s">
        <v>620</v>
      </c>
      <c r="B215" s="5" t="s">
        <v>46</v>
      </c>
      <c r="C215" s="5" t="s">
        <v>49</v>
      </c>
      <c r="D215" s="5" t="s">
        <v>51</v>
      </c>
      <c r="E215" s="36" t="s">
        <v>609</v>
      </c>
      <c r="H215" s="30">
        <v>0.1875</v>
      </c>
      <c r="I215" s="30">
        <v>7.5000000000000011E-2</v>
      </c>
      <c r="J215" s="30"/>
      <c r="O215" s="30"/>
      <c r="P215" s="30"/>
      <c r="Q215" s="30"/>
      <c r="R215" s="30"/>
      <c r="S215" s="30"/>
      <c r="AK215" s="31"/>
      <c r="AP215" s="7"/>
      <c r="AQ215" s="7"/>
      <c r="AR215" s="7"/>
      <c r="AS215" s="7"/>
      <c r="BL215" s="6">
        <v>150</v>
      </c>
    </row>
    <row r="216" spans="1:64" x14ac:dyDescent="0.15">
      <c r="A216" s="29" t="s">
        <v>621</v>
      </c>
      <c r="B216" s="5" t="s">
        <v>46</v>
      </c>
      <c r="C216" s="5" t="s">
        <v>49</v>
      </c>
      <c r="D216" s="5" t="s">
        <v>51</v>
      </c>
      <c r="E216" s="36" t="s">
        <v>610</v>
      </c>
      <c r="H216" s="30">
        <v>0.15000000000000002</v>
      </c>
      <c r="I216" s="30">
        <v>0.15000000000000002</v>
      </c>
      <c r="J216" s="30">
        <v>0.15000000000000002</v>
      </c>
      <c r="K216" s="33">
        <v>0.15000000000000002</v>
      </c>
      <c r="O216" s="30"/>
      <c r="P216" s="30"/>
      <c r="Q216" s="30"/>
      <c r="R216" s="30"/>
      <c r="S216" s="30"/>
      <c r="AK216" s="31"/>
      <c r="AP216" s="7"/>
      <c r="AQ216" s="7"/>
      <c r="AR216" s="7"/>
      <c r="AS216" s="7"/>
    </row>
    <row r="217" spans="1:64" x14ac:dyDescent="0.15">
      <c r="A217" s="29" t="s">
        <v>622</v>
      </c>
      <c r="B217" s="5" t="s">
        <v>46</v>
      </c>
      <c r="C217" s="5" t="s">
        <v>49</v>
      </c>
      <c r="D217" s="5" t="s">
        <v>51</v>
      </c>
      <c r="E217" s="36" t="s">
        <v>614</v>
      </c>
      <c r="H217" s="30">
        <v>0.22499999999999998</v>
      </c>
      <c r="I217" s="30"/>
      <c r="J217" s="30"/>
      <c r="O217" s="30"/>
      <c r="P217" s="30"/>
      <c r="Q217" s="30"/>
      <c r="R217" s="30"/>
      <c r="S217" s="30"/>
      <c r="AK217" s="31"/>
      <c r="AP217" s="7"/>
      <c r="AQ217" s="7"/>
      <c r="AR217" s="7"/>
      <c r="AS217" s="7"/>
      <c r="AX217" s="17"/>
      <c r="AY217" s="7">
        <v>325</v>
      </c>
      <c r="AZ217" s="7">
        <v>325</v>
      </c>
      <c r="BA217" s="7">
        <v>325</v>
      </c>
    </row>
    <row r="218" spans="1:64" x14ac:dyDescent="0.15">
      <c r="A218" s="13" t="s">
        <v>631</v>
      </c>
      <c r="B218" s="5" t="s">
        <v>46</v>
      </c>
      <c r="C218" s="5" t="s">
        <v>49</v>
      </c>
      <c r="D218" s="5" t="s">
        <v>52</v>
      </c>
      <c r="E218" s="36" t="s">
        <v>611</v>
      </c>
      <c r="H218" s="30"/>
      <c r="I218" s="30"/>
      <c r="J218" s="30"/>
      <c r="K218" s="33">
        <v>0.52499999999999991</v>
      </c>
      <c r="O218" s="30"/>
      <c r="P218" s="30"/>
      <c r="Q218" s="30"/>
      <c r="R218" s="30"/>
      <c r="S218" s="30"/>
      <c r="AK218" s="31"/>
      <c r="AP218" s="7"/>
      <c r="AQ218" s="7"/>
      <c r="AR218" s="7"/>
      <c r="AS218" s="7"/>
    </row>
    <row r="219" spans="1:64" x14ac:dyDescent="0.15">
      <c r="A219" s="13" t="s">
        <v>623</v>
      </c>
      <c r="B219" s="5" t="s">
        <v>46</v>
      </c>
      <c r="C219" s="5" t="s">
        <v>49</v>
      </c>
      <c r="D219" s="5" t="s">
        <v>52</v>
      </c>
      <c r="E219" s="36" t="s">
        <v>612</v>
      </c>
      <c r="H219" s="30"/>
      <c r="I219" s="30">
        <v>0.44999999999999996</v>
      </c>
      <c r="J219" s="30"/>
      <c r="O219" s="30"/>
      <c r="P219" s="30"/>
      <c r="Q219" s="30"/>
      <c r="R219" s="30"/>
      <c r="S219" s="30"/>
      <c r="AK219" s="31"/>
      <c r="AP219" s="7"/>
      <c r="AQ219" s="7"/>
      <c r="AR219" s="7"/>
      <c r="AS219" s="7"/>
      <c r="BI219" s="7">
        <v>12000000</v>
      </c>
    </row>
    <row r="220" spans="1:64" x14ac:dyDescent="0.15">
      <c r="A220" s="22" t="s">
        <v>624</v>
      </c>
      <c r="B220" s="15" t="s">
        <v>46</v>
      </c>
      <c r="C220" s="15"/>
      <c r="D220" s="15" t="s">
        <v>55</v>
      </c>
      <c r="E220" s="36" t="s">
        <v>613</v>
      </c>
      <c r="H220" s="30"/>
      <c r="I220" s="30"/>
      <c r="J220" s="30"/>
      <c r="N220" s="33">
        <v>7.0000000000000007E-2</v>
      </c>
      <c r="O220" s="30"/>
      <c r="P220" s="30"/>
      <c r="Q220" s="30">
        <v>1.5</v>
      </c>
      <c r="R220" s="30"/>
      <c r="S220" s="30"/>
      <c r="AK220" s="31"/>
      <c r="AL220" s="6">
        <v>30000000</v>
      </c>
      <c r="AP220" s="17"/>
      <c r="AQ220" s="17"/>
      <c r="AR220" s="17"/>
      <c r="AS220" s="17"/>
      <c r="AT220" s="17"/>
      <c r="AU220" s="17"/>
      <c r="AV220" s="17"/>
      <c r="AW220" s="17"/>
      <c r="BB220" s="17"/>
      <c r="BC220" s="17"/>
      <c r="BD220" s="17"/>
      <c r="BE220" s="17"/>
      <c r="BF220" s="19"/>
      <c r="BH220" s="20"/>
      <c r="BI220" s="17"/>
    </row>
    <row r="221" spans="1:64" x14ac:dyDescent="0.15">
      <c r="A221" s="29" t="s">
        <v>625</v>
      </c>
      <c r="B221" s="5" t="s">
        <v>46</v>
      </c>
      <c r="C221" s="5" t="s">
        <v>25</v>
      </c>
      <c r="D221" s="5" t="s">
        <v>51</v>
      </c>
      <c r="E221" s="36" t="s">
        <v>626</v>
      </c>
      <c r="H221" s="30"/>
      <c r="I221" s="30"/>
      <c r="J221" s="30"/>
      <c r="O221" s="30"/>
      <c r="P221" s="30"/>
      <c r="Q221" s="30"/>
      <c r="R221" s="30"/>
      <c r="S221" s="30"/>
      <c r="AB221" s="31">
        <v>0.2</v>
      </c>
      <c r="AK221" s="31"/>
      <c r="AM221" s="6">
        <v>200</v>
      </c>
      <c r="AN221" s="6">
        <v>200</v>
      </c>
      <c r="AO221" s="6">
        <v>200</v>
      </c>
      <c r="AP221" s="7"/>
      <c r="AQ221" s="7"/>
      <c r="AR221" s="7"/>
      <c r="AS221" s="7"/>
      <c r="AX221" s="17"/>
    </row>
    <row r="222" spans="1:64" x14ac:dyDescent="0.15">
      <c r="A222" s="29" t="s">
        <v>646</v>
      </c>
      <c r="B222" s="15" t="s">
        <v>46</v>
      </c>
      <c r="C222" s="15"/>
      <c r="D222" s="15" t="s">
        <v>47</v>
      </c>
      <c r="E222" s="36" t="s">
        <v>632</v>
      </c>
      <c r="H222" s="30"/>
      <c r="I222" s="30"/>
      <c r="J222" s="30"/>
      <c r="O222" s="30"/>
      <c r="P222" s="30"/>
      <c r="Q222" s="30">
        <v>0.75</v>
      </c>
      <c r="R222" s="30"/>
      <c r="S222" s="30"/>
      <c r="AK222" s="31"/>
      <c r="AP222" s="17"/>
      <c r="AQ222" s="17"/>
      <c r="AR222" s="17"/>
      <c r="AS222" s="17"/>
      <c r="AT222" s="17"/>
      <c r="AU222" s="17"/>
      <c r="AV222" s="17"/>
      <c r="AW222" s="17"/>
      <c r="AY222" s="7">
        <v>130</v>
      </c>
      <c r="AZ222" s="7">
        <v>130</v>
      </c>
      <c r="BA222" s="7">
        <v>130</v>
      </c>
      <c r="BB222" s="17"/>
      <c r="BC222" s="17"/>
      <c r="BD222" s="17"/>
      <c r="BE222" s="17"/>
      <c r="BF222" s="19"/>
      <c r="BH222" s="20"/>
      <c r="BI222" s="17"/>
    </row>
    <row r="223" spans="1:64" x14ac:dyDescent="0.15">
      <c r="A223" s="29" t="s">
        <v>645</v>
      </c>
      <c r="B223" s="5" t="s">
        <v>46</v>
      </c>
      <c r="C223" s="5" t="s">
        <v>25</v>
      </c>
      <c r="D223" s="5" t="s">
        <v>47</v>
      </c>
      <c r="E223" s="36" t="s">
        <v>633</v>
      </c>
      <c r="H223" s="30"/>
      <c r="I223" s="30"/>
      <c r="J223" s="30"/>
      <c r="O223" s="30"/>
      <c r="P223" s="30"/>
      <c r="Q223" s="30"/>
      <c r="R223" s="30"/>
      <c r="S223" s="30"/>
      <c r="Z223" s="31">
        <v>0.375</v>
      </c>
      <c r="AK223" s="31"/>
      <c r="AP223" s="7"/>
      <c r="AQ223" s="7"/>
      <c r="AR223" s="7"/>
      <c r="AS223" s="7"/>
      <c r="BB223" s="6">
        <v>4000000</v>
      </c>
    </row>
    <row r="224" spans="1:64" x14ac:dyDescent="0.15">
      <c r="A224" s="14" t="s">
        <v>647</v>
      </c>
      <c r="B224" s="15" t="s">
        <v>46</v>
      </c>
      <c r="C224" s="15"/>
      <c r="D224" s="15" t="s">
        <v>47</v>
      </c>
      <c r="E224" s="36" t="s">
        <v>634</v>
      </c>
      <c r="H224" s="30"/>
      <c r="I224" s="30"/>
      <c r="J224" s="30"/>
      <c r="O224" s="30"/>
      <c r="P224" s="30"/>
      <c r="Q224" s="30"/>
      <c r="R224" s="30"/>
      <c r="S224" s="30"/>
      <c r="W224" s="33">
        <v>5.000000000000001E-2</v>
      </c>
      <c r="AK224" s="31"/>
      <c r="AL224" s="6">
        <v>1000000</v>
      </c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9"/>
      <c r="BH224" s="20"/>
      <c r="BI224" s="17"/>
    </row>
    <row r="225" spans="1:68" s="52" customFormat="1" x14ac:dyDescent="0.15">
      <c r="A225" s="54" t="s">
        <v>648</v>
      </c>
      <c r="B225" s="55" t="s">
        <v>46</v>
      </c>
      <c r="C225" s="55"/>
      <c r="D225" s="55" t="s">
        <v>47</v>
      </c>
      <c r="E225" s="43" t="s">
        <v>635</v>
      </c>
      <c r="F225" s="44"/>
      <c r="G225" s="44"/>
      <c r="H225" s="45"/>
      <c r="I225" s="45"/>
      <c r="J225" s="45"/>
      <c r="K225" s="46"/>
      <c r="L225" s="46"/>
      <c r="M225" s="46"/>
      <c r="N225" s="46"/>
      <c r="O225" s="45"/>
      <c r="P225" s="45"/>
      <c r="Q225" s="45"/>
      <c r="R225" s="45"/>
      <c r="S225" s="45"/>
      <c r="T225" s="46"/>
      <c r="U225" s="46">
        <v>2.5000000000000005E-2</v>
      </c>
      <c r="V225" s="46"/>
      <c r="W225" s="46"/>
      <c r="X225" s="46"/>
      <c r="Y225" s="46"/>
      <c r="Z225" s="47"/>
      <c r="AA225" s="47">
        <v>0.15</v>
      </c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8"/>
      <c r="AM225" s="48"/>
      <c r="AN225" s="48"/>
      <c r="AO225" s="48"/>
      <c r="AP225" s="49"/>
      <c r="AQ225" s="49"/>
      <c r="AR225" s="49"/>
      <c r="AS225" s="49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49">
        <v>1540</v>
      </c>
      <c r="BF225" s="50"/>
      <c r="BG225" s="48"/>
      <c r="BH225" s="58"/>
      <c r="BI225" s="56"/>
      <c r="BJ225" s="48"/>
      <c r="BK225" s="48"/>
      <c r="BL225" s="48"/>
      <c r="BM225" s="48">
        <v>450000</v>
      </c>
      <c r="BN225" s="48"/>
      <c r="BO225" s="48"/>
      <c r="BP225" s="48"/>
    </row>
    <row r="226" spans="1:68" x14ac:dyDescent="0.15">
      <c r="A226" s="14" t="s">
        <v>649</v>
      </c>
      <c r="B226" s="15" t="s">
        <v>46</v>
      </c>
      <c r="C226" s="15"/>
      <c r="D226" s="5" t="s">
        <v>51</v>
      </c>
      <c r="E226" s="36" t="s">
        <v>636</v>
      </c>
      <c r="H226" s="30"/>
      <c r="I226" s="30"/>
      <c r="J226" s="30"/>
      <c r="M226" s="33">
        <v>0.05</v>
      </c>
      <c r="O226" s="30"/>
      <c r="P226" s="30">
        <v>1.5</v>
      </c>
      <c r="Q226" s="30"/>
      <c r="R226" s="30"/>
      <c r="S226" s="30"/>
      <c r="AK226" s="31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9"/>
      <c r="BH226" s="20"/>
      <c r="BI226" s="17"/>
    </row>
    <row r="227" spans="1:68" x14ac:dyDescent="0.15">
      <c r="A227" s="13" t="s">
        <v>650</v>
      </c>
      <c r="B227" s="5" t="s">
        <v>46</v>
      </c>
      <c r="C227" s="5" t="s">
        <v>49</v>
      </c>
      <c r="D227" s="5" t="s">
        <v>51</v>
      </c>
      <c r="E227" s="36" t="s">
        <v>637</v>
      </c>
      <c r="H227" s="30">
        <v>0.30000000000000004</v>
      </c>
      <c r="I227" s="30"/>
      <c r="J227" s="30"/>
      <c r="O227" s="30"/>
      <c r="P227" s="30"/>
      <c r="Q227" s="30"/>
      <c r="R227" s="30"/>
      <c r="S227" s="30"/>
      <c r="AK227" s="31"/>
      <c r="AP227" s="7"/>
      <c r="AQ227" s="7"/>
      <c r="AR227" s="7"/>
      <c r="AS227" s="7"/>
    </row>
    <row r="228" spans="1:68" x14ac:dyDescent="0.15">
      <c r="A228" s="13" t="s">
        <v>651</v>
      </c>
      <c r="B228" s="5" t="s">
        <v>46</v>
      </c>
      <c r="C228" s="5" t="s">
        <v>49</v>
      </c>
      <c r="D228" s="5" t="s">
        <v>51</v>
      </c>
      <c r="E228" s="36" t="s">
        <v>638</v>
      </c>
      <c r="I228" s="30">
        <v>0.22499999999999998</v>
      </c>
      <c r="J228" s="30">
        <v>7.5000000000000011E-2</v>
      </c>
      <c r="K228" s="30">
        <v>3.7500000000000006E-2</v>
      </c>
      <c r="O228" s="30"/>
      <c r="P228" s="30"/>
      <c r="Q228" s="30"/>
      <c r="R228" s="30"/>
      <c r="S228" s="30"/>
      <c r="AK228" s="31"/>
      <c r="AP228" s="7"/>
      <c r="AQ228" s="7"/>
      <c r="AR228" s="7"/>
      <c r="AS228" s="7"/>
    </row>
    <row r="229" spans="1:68" x14ac:dyDescent="0.15">
      <c r="A229" s="29" t="s">
        <v>652</v>
      </c>
      <c r="B229" s="5" t="s">
        <v>46</v>
      </c>
      <c r="C229" s="5" t="s">
        <v>35</v>
      </c>
      <c r="D229" s="5" t="s">
        <v>51</v>
      </c>
      <c r="E229" s="36" t="s">
        <v>639</v>
      </c>
      <c r="H229" s="30"/>
      <c r="I229" s="30"/>
      <c r="J229" s="30"/>
      <c r="O229" s="30"/>
      <c r="P229" s="30"/>
      <c r="Q229" s="30"/>
      <c r="R229" s="30"/>
      <c r="S229" s="30"/>
      <c r="X229" s="33">
        <v>7.0000000000000007E-2</v>
      </c>
      <c r="AK229" s="31"/>
      <c r="AP229" s="7"/>
      <c r="AQ229" s="7"/>
      <c r="AR229" s="7"/>
      <c r="AS229" s="7"/>
      <c r="AX229" s="17"/>
      <c r="AY229" s="7">
        <v>325</v>
      </c>
      <c r="AZ229" s="7">
        <v>325</v>
      </c>
      <c r="BA229" s="7">
        <v>325</v>
      </c>
      <c r="BI229" s="17"/>
      <c r="BJ229" s="17"/>
      <c r="BK229" s="17"/>
      <c r="BM229" s="17"/>
    </row>
    <row r="230" spans="1:68" x14ac:dyDescent="0.15">
      <c r="A230" s="29" t="s">
        <v>653</v>
      </c>
      <c r="B230" s="5" t="s">
        <v>46</v>
      </c>
      <c r="C230" s="5" t="s">
        <v>49</v>
      </c>
      <c r="D230" s="5" t="s">
        <v>52</v>
      </c>
      <c r="E230" s="36" t="s">
        <v>640</v>
      </c>
      <c r="H230" s="30">
        <v>0.52499999999999991</v>
      </c>
      <c r="I230" s="30"/>
      <c r="J230" s="30"/>
      <c r="O230" s="30"/>
      <c r="P230" s="30"/>
      <c r="Q230" s="30"/>
      <c r="R230" s="30"/>
      <c r="S230" s="30"/>
      <c r="AK230" s="31"/>
      <c r="AP230" s="7"/>
      <c r="AQ230" s="7"/>
      <c r="AR230" s="7"/>
      <c r="AS230" s="7"/>
    </row>
    <row r="231" spans="1:68" x14ac:dyDescent="0.15">
      <c r="A231" s="13" t="s">
        <v>654</v>
      </c>
      <c r="B231" s="5" t="s">
        <v>46</v>
      </c>
      <c r="C231" s="5"/>
      <c r="D231" s="5" t="s">
        <v>52</v>
      </c>
      <c r="E231" s="36" t="s">
        <v>641</v>
      </c>
      <c r="H231" s="30"/>
      <c r="I231" s="30"/>
      <c r="J231" s="30"/>
      <c r="M231" s="33">
        <v>5.000000000000001E-2</v>
      </c>
      <c r="N231" s="33">
        <v>5.000000000000001E-2</v>
      </c>
      <c r="O231" s="30"/>
      <c r="P231" s="30">
        <v>0.75</v>
      </c>
      <c r="Q231" s="30">
        <v>0.75</v>
      </c>
      <c r="R231" s="30"/>
      <c r="S231" s="30"/>
      <c r="AK231" s="31"/>
      <c r="AL231" s="6">
        <v>10880000</v>
      </c>
      <c r="AP231" s="7"/>
      <c r="AQ231" s="7"/>
      <c r="AR231" s="7"/>
      <c r="AS231" s="7"/>
    </row>
    <row r="232" spans="1:68" x14ac:dyDescent="0.15">
      <c r="A232" s="22" t="s">
        <v>655</v>
      </c>
      <c r="B232" s="15" t="s">
        <v>46</v>
      </c>
      <c r="C232" s="15"/>
      <c r="D232" s="15" t="s">
        <v>52</v>
      </c>
      <c r="E232" s="36" t="s">
        <v>642</v>
      </c>
      <c r="H232" s="30"/>
      <c r="I232" s="30"/>
      <c r="J232" s="30"/>
      <c r="O232" s="30"/>
      <c r="P232" s="30"/>
      <c r="Q232" s="30"/>
      <c r="R232" s="30"/>
      <c r="S232" s="30"/>
      <c r="T232" s="33">
        <v>0.06</v>
      </c>
      <c r="AK232" s="31"/>
      <c r="AP232" s="7"/>
      <c r="AQ232" s="7"/>
      <c r="AR232" s="7"/>
      <c r="AS232" s="7"/>
      <c r="BE232" s="7">
        <v>13800</v>
      </c>
    </row>
    <row r="233" spans="1:68" x14ac:dyDescent="0.15">
      <c r="A233" s="13" t="s">
        <v>656</v>
      </c>
      <c r="B233" s="5" t="s">
        <v>46</v>
      </c>
      <c r="C233" s="5" t="s">
        <v>35</v>
      </c>
      <c r="D233" s="5" t="s">
        <v>55</v>
      </c>
      <c r="E233" s="36" t="s">
        <v>643</v>
      </c>
      <c r="H233" s="30"/>
      <c r="I233" s="30"/>
      <c r="J233" s="30"/>
      <c r="N233" s="33">
        <v>5.000000000000001E-2</v>
      </c>
      <c r="O233" s="30"/>
      <c r="P233" s="30"/>
      <c r="Q233" s="30">
        <v>0.75</v>
      </c>
      <c r="R233" s="30"/>
      <c r="S233" s="30"/>
      <c r="AK233" s="31"/>
      <c r="AP233" s="7"/>
      <c r="AQ233" s="7"/>
      <c r="AR233" s="7"/>
      <c r="AS233" s="7"/>
      <c r="AY233" s="6">
        <v>3000</v>
      </c>
      <c r="AZ233" s="6">
        <v>3000</v>
      </c>
      <c r="BA233" s="6">
        <v>3000</v>
      </c>
    </row>
    <row r="234" spans="1:68" x14ac:dyDescent="0.15">
      <c r="A234" s="29" t="s">
        <v>657</v>
      </c>
      <c r="B234" s="5" t="s">
        <v>46</v>
      </c>
      <c r="C234" s="15"/>
      <c r="D234" s="5" t="s">
        <v>55</v>
      </c>
      <c r="E234" s="36" t="s">
        <v>644</v>
      </c>
      <c r="H234" s="30"/>
      <c r="I234" s="30"/>
      <c r="J234" s="30"/>
      <c r="O234" s="30"/>
      <c r="P234" s="30"/>
      <c r="Q234" s="30"/>
      <c r="R234" s="30"/>
      <c r="S234" s="30"/>
      <c r="V234" s="33">
        <v>7.0000000000000007E-2</v>
      </c>
      <c r="AK234" s="31"/>
      <c r="AP234" s="7">
        <v>52000000</v>
      </c>
      <c r="AQ234" s="7"/>
      <c r="AR234" s="7">
        <v>20000</v>
      </c>
      <c r="AS234" s="7"/>
      <c r="BM234" s="6">
        <v>9600000</v>
      </c>
    </row>
    <row r="235" spans="1:68" x14ac:dyDescent="0.15">
      <c r="A235" s="29" t="s">
        <v>674</v>
      </c>
      <c r="B235" s="5" t="s">
        <v>46</v>
      </c>
      <c r="C235" s="5"/>
      <c r="D235" s="5" t="s">
        <v>47</v>
      </c>
      <c r="E235" s="36" t="s">
        <v>658</v>
      </c>
      <c r="H235" s="30">
        <v>7.5000000000000011E-2</v>
      </c>
      <c r="I235" s="30"/>
      <c r="J235" s="30"/>
      <c r="O235" s="30"/>
      <c r="P235" s="30"/>
      <c r="Q235" s="30"/>
      <c r="R235" s="30"/>
      <c r="S235" s="30"/>
      <c r="AK235" s="31"/>
      <c r="AM235" s="6">
        <v>65</v>
      </c>
      <c r="AN235" s="6">
        <v>65</v>
      </c>
      <c r="AO235" s="6">
        <v>65</v>
      </c>
      <c r="AP235" s="7"/>
      <c r="AQ235" s="7"/>
      <c r="AR235" s="7"/>
      <c r="AS235" s="7"/>
      <c r="BE235" s="7">
        <v>1680</v>
      </c>
    </row>
    <row r="236" spans="1:68" s="52" customFormat="1" x14ac:dyDescent="0.15">
      <c r="A236" s="41" t="s">
        <v>675</v>
      </c>
      <c r="B236" s="42" t="s">
        <v>46</v>
      </c>
      <c r="C236" s="42"/>
      <c r="D236" s="42" t="s">
        <v>47</v>
      </c>
      <c r="E236" s="43" t="s">
        <v>659</v>
      </c>
      <c r="F236" s="44"/>
      <c r="G236" s="44"/>
      <c r="H236" s="45"/>
      <c r="I236" s="45"/>
      <c r="J236" s="45"/>
      <c r="K236" s="46"/>
      <c r="L236" s="46"/>
      <c r="M236" s="46"/>
      <c r="N236" s="46"/>
      <c r="O236" s="45"/>
      <c r="P236" s="45"/>
      <c r="Q236" s="45"/>
      <c r="R236" s="45"/>
      <c r="S236" s="45"/>
      <c r="T236" s="46"/>
      <c r="U236" s="46"/>
      <c r="V236" s="46"/>
      <c r="W236" s="46"/>
      <c r="X236" s="46"/>
      <c r="Y236" s="46"/>
      <c r="Z236" s="47"/>
      <c r="AA236" s="47"/>
      <c r="AB236" s="47">
        <v>0.08</v>
      </c>
      <c r="AC236" s="47"/>
      <c r="AD236" s="47"/>
      <c r="AE236" s="47"/>
      <c r="AF236" s="47"/>
      <c r="AG236" s="47"/>
      <c r="AH236" s="47"/>
      <c r="AI236" s="47"/>
      <c r="AJ236" s="47"/>
      <c r="AK236" s="47"/>
      <c r="AL236" s="48"/>
      <c r="AM236" s="48"/>
      <c r="AN236" s="48"/>
      <c r="AO236" s="48"/>
      <c r="AP236" s="49"/>
      <c r="AQ236" s="49"/>
      <c r="AR236" s="49"/>
      <c r="AS236" s="49"/>
      <c r="AT236" s="49"/>
      <c r="AU236" s="49"/>
      <c r="AV236" s="49"/>
      <c r="AW236" s="49"/>
      <c r="AX236" s="49"/>
      <c r="AY236" s="49"/>
      <c r="AZ236" s="49"/>
      <c r="BA236" s="49"/>
      <c r="BB236" s="49"/>
      <c r="BC236" s="49"/>
      <c r="BD236" s="49"/>
      <c r="BE236" s="49"/>
      <c r="BF236" s="50"/>
      <c r="BG236" s="48"/>
      <c r="BH236" s="51"/>
      <c r="BI236" s="49">
        <v>750000</v>
      </c>
      <c r="BJ236" s="48"/>
      <c r="BK236" s="48"/>
      <c r="BL236" s="48"/>
      <c r="BM236" s="49">
        <v>750000</v>
      </c>
      <c r="BN236" s="49"/>
      <c r="BO236" s="49"/>
      <c r="BP236" s="49"/>
    </row>
    <row r="237" spans="1:68" s="52" customFormat="1" x14ac:dyDescent="0.15">
      <c r="A237" s="54" t="s">
        <v>676</v>
      </c>
      <c r="B237" s="55" t="s">
        <v>46</v>
      </c>
      <c r="C237" s="55"/>
      <c r="D237" s="55" t="s">
        <v>47</v>
      </c>
      <c r="E237" s="43" t="s">
        <v>660</v>
      </c>
      <c r="F237" s="44"/>
      <c r="G237" s="44"/>
      <c r="H237" s="45"/>
      <c r="I237" s="45"/>
      <c r="J237" s="45"/>
      <c r="K237" s="46"/>
      <c r="L237" s="46"/>
      <c r="M237" s="46"/>
      <c r="N237" s="46"/>
      <c r="O237" s="45"/>
      <c r="P237" s="45"/>
      <c r="Q237" s="45"/>
      <c r="R237" s="45"/>
      <c r="S237" s="45"/>
      <c r="T237" s="46"/>
      <c r="U237" s="46"/>
      <c r="V237" s="46"/>
      <c r="W237" s="46"/>
      <c r="X237" s="46"/>
      <c r="Y237" s="46"/>
      <c r="Z237" s="47"/>
      <c r="AA237" s="47"/>
      <c r="AB237" s="47">
        <v>0.1</v>
      </c>
      <c r="AC237" s="47"/>
      <c r="AD237" s="47"/>
      <c r="AE237" s="47"/>
      <c r="AF237" s="47"/>
      <c r="AG237" s="47"/>
      <c r="AH237" s="47"/>
      <c r="AI237" s="47"/>
      <c r="AJ237" s="47"/>
      <c r="AK237" s="47"/>
      <c r="AL237" s="48"/>
      <c r="AM237" s="48"/>
      <c r="AN237" s="48"/>
      <c r="AO237" s="48"/>
      <c r="AP237" s="48"/>
      <c r="AQ237" s="56"/>
      <c r="AR237" s="56"/>
      <c r="AS237" s="56"/>
      <c r="AT237" s="56"/>
      <c r="AU237" s="56"/>
      <c r="AV237" s="56"/>
      <c r="AW237" s="56"/>
      <c r="AX237" s="7">
        <v>1750000</v>
      </c>
      <c r="AY237" s="49"/>
      <c r="AZ237" s="49"/>
      <c r="BA237" s="49"/>
      <c r="BB237" s="56"/>
      <c r="BC237" s="56"/>
      <c r="BD237" s="56"/>
      <c r="BE237" s="56"/>
      <c r="BF237" s="57"/>
      <c r="BG237" s="48"/>
      <c r="BH237" s="58"/>
      <c r="BI237" s="56"/>
      <c r="BJ237" s="48"/>
      <c r="BK237" s="48"/>
      <c r="BL237" s="48"/>
      <c r="BM237" s="48">
        <v>450000</v>
      </c>
      <c r="BN237" s="48"/>
      <c r="BO237" s="48"/>
      <c r="BP237" s="48"/>
    </row>
    <row r="238" spans="1:68" x14ac:dyDescent="0.15">
      <c r="A238" s="14" t="s">
        <v>677</v>
      </c>
      <c r="B238" s="15" t="s">
        <v>46</v>
      </c>
      <c r="C238" s="15"/>
      <c r="D238" s="15" t="s">
        <v>47</v>
      </c>
      <c r="E238" s="36" t="s">
        <v>661</v>
      </c>
      <c r="H238" s="30"/>
      <c r="I238" s="30"/>
      <c r="J238" s="30"/>
      <c r="O238" s="30"/>
      <c r="P238" s="30"/>
      <c r="Q238" s="30"/>
      <c r="R238" s="30"/>
      <c r="S238" s="30"/>
      <c r="T238" s="33">
        <v>0.02</v>
      </c>
      <c r="V238" s="33">
        <v>0.02</v>
      </c>
      <c r="AK238" s="31"/>
      <c r="AM238" s="6">
        <v>65</v>
      </c>
      <c r="AN238" s="6">
        <v>65</v>
      </c>
      <c r="AO238" s="6">
        <v>65</v>
      </c>
      <c r="AP238" s="17"/>
      <c r="AQ238" s="17"/>
      <c r="AR238" s="17"/>
      <c r="AS238" s="17"/>
      <c r="AT238" s="17"/>
      <c r="AU238" s="17"/>
      <c r="AV238" s="17"/>
      <c r="AW238" s="17"/>
      <c r="BB238" s="17"/>
      <c r="BC238" s="17"/>
      <c r="BD238" s="17"/>
      <c r="BE238" s="17"/>
      <c r="BF238" s="19"/>
      <c r="BH238" s="20"/>
      <c r="BI238" s="17"/>
    </row>
    <row r="239" spans="1:68" x14ac:dyDescent="0.15">
      <c r="A239" s="13" t="s">
        <v>678</v>
      </c>
      <c r="B239" s="5" t="s">
        <v>46</v>
      </c>
      <c r="C239" s="5"/>
      <c r="D239" s="5" t="s">
        <v>47</v>
      </c>
      <c r="E239" s="36" t="s">
        <v>662</v>
      </c>
      <c r="H239" s="30"/>
      <c r="I239" s="30"/>
      <c r="J239" s="30"/>
      <c r="O239" s="30"/>
      <c r="P239" s="30"/>
      <c r="Q239" s="30">
        <v>0.75</v>
      </c>
      <c r="R239" s="30"/>
      <c r="S239" s="30"/>
      <c r="AK239" s="31"/>
      <c r="AL239" s="6">
        <v>1200000</v>
      </c>
      <c r="AP239" s="7"/>
      <c r="AQ239" s="7"/>
      <c r="AR239" s="7"/>
      <c r="AS239" s="7"/>
    </row>
    <row r="240" spans="1:68" s="52" customFormat="1" x14ac:dyDescent="0.15">
      <c r="A240" s="41" t="s">
        <v>679</v>
      </c>
      <c r="B240" s="42" t="s">
        <v>46</v>
      </c>
      <c r="C240" s="42"/>
      <c r="D240" s="42" t="s">
        <v>47</v>
      </c>
      <c r="E240" s="43" t="s">
        <v>663</v>
      </c>
      <c r="F240" s="44"/>
      <c r="G240" s="44"/>
      <c r="H240" s="45"/>
      <c r="I240" s="45"/>
      <c r="J240" s="45"/>
      <c r="K240" s="46"/>
      <c r="L240" s="46"/>
      <c r="M240" s="46"/>
      <c r="N240" s="46"/>
      <c r="O240" s="45"/>
      <c r="P240" s="45"/>
      <c r="Q240" s="45"/>
      <c r="R240" s="45"/>
      <c r="S240" s="45"/>
      <c r="T240" s="46"/>
      <c r="U240" s="46"/>
      <c r="V240" s="46"/>
      <c r="W240" s="46"/>
      <c r="X240" s="46"/>
      <c r="Y240" s="46"/>
      <c r="Z240" s="47"/>
      <c r="AA240" s="47"/>
      <c r="AB240" s="47">
        <v>0.12</v>
      </c>
      <c r="AC240" s="47"/>
      <c r="AD240" s="47"/>
      <c r="AE240" s="47"/>
      <c r="AF240" s="47"/>
      <c r="AG240" s="47"/>
      <c r="AH240" s="47"/>
      <c r="AI240" s="47"/>
      <c r="AJ240" s="47"/>
      <c r="AK240" s="47"/>
      <c r="AL240" s="48"/>
      <c r="AM240" s="48"/>
      <c r="AN240" s="48"/>
      <c r="AO240" s="48"/>
      <c r="AP240" s="49"/>
      <c r="AQ240" s="49"/>
      <c r="AR240" s="49"/>
      <c r="AS240" s="49"/>
      <c r="AT240" s="49">
        <v>2000000</v>
      </c>
      <c r="AU240" s="49"/>
      <c r="AV240" s="49"/>
      <c r="AW240" s="49"/>
      <c r="AX240" s="49"/>
      <c r="AY240" s="49"/>
      <c r="AZ240" s="49"/>
      <c r="BA240" s="49"/>
      <c r="BB240" s="49"/>
      <c r="BC240" s="49"/>
      <c r="BD240" s="49"/>
      <c r="BE240" s="49"/>
      <c r="BF240" s="50"/>
      <c r="BG240" s="48"/>
      <c r="BH240" s="51"/>
      <c r="BI240" s="49"/>
      <c r="BJ240" s="48"/>
      <c r="BK240" s="48"/>
      <c r="BL240" s="48"/>
      <c r="BM240" s="48">
        <v>450000</v>
      </c>
      <c r="BN240" s="48"/>
      <c r="BO240" s="48"/>
      <c r="BP240" s="48"/>
    </row>
    <row r="241" spans="1:68" x14ac:dyDescent="0.15">
      <c r="A241" s="29" t="s">
        <v>680</v>
      </c>
      <c r="B241" s="5" t="s">
        <v>46</v>
      </c>
      <c r="C241" s="5"/>
      <c r="D241" s="5" t="s">
        <v>47</v>
      </c>
      <c r="E241" s="36" t="s">
        <v>664</v>
      </c>
      <c r="H241" s="30"/>
      <c r="I241" s="30"/>
      <c r="J241" s="30"/>
      <c r="O241" s="30"/>
      <c r="P241" s="30"/>
      <c r="Q241" s="30"/>
      <c r="R241" s="30"/>
      <c r="S241" s="30"/>
      <c r="U241" s="33">
        <v>0.04</v>
      </c>
      <c r="AK241" s="31"/>
      <c r="AP241" s="7"/>
      <c r="AQ241" s="7"/>
      <c r="AR241" s="7"/>
      <c r="AS241" s="7"/>
      <c r="BE241" s="7">
        <v>1760</v>
      </c>
    </row>
    <row r="242" spans="1:68" x14ac:dyDescent="0.15">
      <c r="A242" s="13" t="s">
        <v>681</v>
      </c>
      <c r="B242" s="5" t="s">
        <v>46</v>
      </c>
      <c r="C242" s="5"/>
      <c r="D242" s="5" t="s">
        <v>51</v>
      </c>
      <c r="E242" s="36" t="s">
        <v>665</v>
      </c>
      <c r="H242" s="30"/>
      <c r="I242" s="30"/>
      <c r="J242" s="30"/>
      <c r="O242" s="30"/>
      <c r="P242" s="30"/>
      <c r="Q242" s="30"/>
      <c r="R242" s="30"/>
      <c r="S242" s="30"/>
      <c r="U242" s="33">
        <v>0.05</v>
      </c>
      <c r="AK242" s="31"/>
      <c r="AP242" s="7"/>
      <c r="AQ242" s="7"/>
      <c r="AR242" s="7"/>
      <c r="AS242" s="7"/>
      <c r="BF242" s="8">
        <v>6</v>
      </c>
    </row>
    <row r="243" spans="1:68" x14ac:dyDescent="0.15">
      <c r="A243" s="14" t="s">
        <v>682</v>
      </c>
      <c r="B243" s="15" t="s">
        <v>46</v>
      </c>
      <c r="C243" s="15"/>
      <c r="D243" s="5" t="s">
        <v>51</v>
      </c>
      <c r="E243" s="36" t="s">
        <v>666</v>
      </c>
      <c r="H243" s="30"/>
      <c r="I243" s="30"/>
      <c r="J243" s="30"/>
      <c r="O243" s="30"/>
      <c r="P243" s="30"/>
      <c r="Q243" s="30"/>
      <c r="R243" s="30"/>
      <c r="S243" s="30"/>
      <c r="AK243" s="31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C243" s="17"/>
      <c r="BD243" s="17"/>
      <c r="BE243" s="7">
        <v>4800</v>
      </c>
      <c r="BF243" s="19"/>
      <c r="BH243" s="20"/>
      <c r="BI243" s="17"/>
      <c r="BM243" s="6">
        <v>600000</v>
      </c>
    </row>
    <row r="244" spans="1:68" x14ac:dyDescent="0.15">
      <c r="A244" s="14" t="s">
        <v>683</v>
      </c>
      <c r="B244" s="15" t="s">
        <v>46</v>
      </c>
      <c r="C244" s="15"/>
      <c r="D244" s="5" t="s">
        <v>51</v>
      </c>
      <c r="E244" s="36" t="s">
        <v>667</v>
      </c>
      <c r="H244" s="30"/>
      <c r="I244" s="30"/>
      <c r="J244" s="30"/>
      <c r="O244" s="30"/>
      <c r="P244" s="30"/>
      <c r="Q244" s="30"/>
      <c r="R244" s="30"/>
      <c r="S244" s="30"/>
      <c r="W244" s="33">
        <v>6.5000000000000002E-2</v>
      </c>
      <c r="AK244" s="31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E244" s="17">
        <v>3800</v>
      </c>
      <c r="BF244" s="19"/>
      <c r="BH244" s="20"/>
      <c r="BI244" s="17"/>
      <c r="BM244" s="6">
        <v>900000</v>
      </c>
    </row>
    <row r="245" spans="1:68" x14ac:dyDescent="0.15">
      <c r="A245" s="14" t="s">
        <v>684</v>
      </c>
      <c r="B245" s="15" t="s">
        <v>46</v>
      </c>
      <c r="C245" s="15"/>
      <c r="D245" s="15" t="s">
        <v>52</v>
      </c>
      <c r="E245" s="36" t="s">
        <v>668</v>
      </c>
      <c r="H245" s="30"/>
      <c r="I245" s="30"/>
      <c r="J245" s="30">
        <v>0.30000000000000004</v>
      </c>
      <c r="O245" s="30"/>
      <c r="P245" s="30"/>
      <c r="Q245" s="30"/>
      <c r="R245" s="30"/>
      <c r="S245" s="30"/>
      <c r="X245" s="33">
        <v>0.09</v>
      </c>
      <c r="AK245" s="31"/>
      <c r="AP245" s="17"/>
      <c r="AQ245" s="17"/>
      <c r="AR245" s="17"/>
      <c r="AS245" s="17"/>
      <c r="AT245" s="17"/>
      <c r="AU245" s="17"/>
      <c r="AV245" s="17"/>
      <c r="AW245" s="17"/>
      <c r="AX245" s="17"/>
      <c r="AY245" s="7">
        <v>1200</v>
      </c>
      <c r="AZ245" s="7">
        <v>1200</v>
      </c>
      <c r="BA245" s="7">
        <v>1200</v>
      </c>
      <c r="BB245" s="17"/>
      <c r="BC245" s="17"/>
      <c r="BD245" s="17"/>
      <c r="BE245" s="17"/>
      <c r="BF245" s="19"/>
      <c r="BH245" s="20"/>
      <c r="BI245" s="17"/>
    </row>
    <row r="246" spans="1:68" x14ac:dyDescent="0.15">
      <c r="A246" s="14" t="s">
        <v>685</v>
      </c>
      <c r="B246" s="15" t="s">
        <v>46</v>
      </c>
      <c r="C246" s="15"/>
      <c r="D246" s="15" t="s">
        <v>52</v>
      </c>
      <c r="E246" s="36" t="s">
        <v>669</v>
      </c>
      <c r="H246" s="30"/>
      <c r="I246" s="30"/>
      <c r="J246" s="30"/>
      <c r="O246" s="30"/>
      <c r="P246" s="30"/>
      <c r="Q246" s="30"/>
      <c r="R246" s="30"/>
      <c r="S246" s="30"/>
      <c r="V246" s="33">
        <v>0.06</v>
      </c>
      <c r="W246" s="33">
        <v>0.05</v>
      </c>
      <c r="AK246" s="31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F246" s="19">
        <v>8</v>
      </c>
      <c r="BH246" s="20"/>
    </row>
    <row r="247" spans="1:68" x14ac:dyDescent="0.15">
      <c r="A247" s="22" t="s">
        <v>686</v>
      </c>
      <c r="B247" s="15" t="s">
        <v>46</v>
      </c>
      <c r="C247" s="5" t="s">
        <v>31</v>
      </c>
      <c r="D247" s="15" t="s">
        <v>52</v>
      </c>
      <c r="E247" s="36" t="s">
        <v>670</v>
      </c>
      <c r="H247" s="30"/>
      <c r="I247" s="30"/>
      <c r="J247" s="30"/>
      <c r="O247" s="30"/>
      <c r="P247" s="30"/>
      <c r="Q247" s="30"/>
      <c r="R247" s="30"/>
      <c r="S247" s="30"/>
      <c r="AB247" s="31">
        <v>0.3</v>
      </c>
      <c r="AK247" s="31"/>
      <c r="AP247" s="17"/>
      <c r="AQ247" s="17"/>
      <c r="AR247" s="17"/>
      <c r="AS247" s="17"/>
      <c r="AU247" s="7">
        <v>1200</v>
      </c>
      <c r="AV247" s="7">
        <v>1200</v>
      </c>
      <c r="AW247" s="7">
        <v>1200</v>
      </c>
      <c r="AX247" s="17"/>
      <c r="AY247" s="17"/>
      <c r="AZ247" s="17"/>
      <c r="BA247" s="17"/>
      <c r="BB247" s="17"/>
      <c r="BC247" s="17"/>
      <c r="BD247" s="17"/>
      <c r="BH247" s="20"/>
      <c r="BI247" s="17"/>
      <c r="BO247" s="6">
        <v>75</v>
      </c>
    </row>
    <row r="248" spans="1:68" x14ac:dyDescent="0.15">
      <c r="A248" s="39" t="s">
        <v>688</v>
      </c>
      <c r="B248" s="5" t="s">
        <v>46</v>
      </c>
      <c r="C248" s="5"/>
      <c r="D248" s="5" t="s">
        <v>55</v>
      </c>
      <c r="E248" s="36" t="s">
        <v>671</v>
      </c>
      <c r="H248" s="30"/>
      <c r="I248" s="30"/>
      <c r="J248" s="30"/>
      <c r="O248" s="30"/>
      <c r="P248" s="30"/>
      <c r="Q248" s="30"/>
      <c r="R248" s="30"/>
      <c r="S248" s="30"/>
      <c r="X248" s="33">
        <v>0.125</v>
      </c>
      <c r="Y248" s="33">
        <v>0.09</v>
      </c>
      <c r="AK248" s="31"/>
      <c r="AP248" s="7"/>
      <c r="AQ248" s="7"/>
      <c r="AR248" s="7"/>
      <c r="AS248" s="7"/>
      <c r="AT248" s="7">
        <v>55000000</v>
      </c>
      <c r="AU248" s="7">
        <v>2500</v>
      </c>
      <c r="AV248" s="7">
        <v>2500</v>
      </c>
      <c r="AW248" s="7">
        <v>2500</v>
      </c>
    </row>
    <row r="249" spans="1:68" x14ac:dyDescent="0.15">
      <c r="A249" s="15" t="s">
        <v>687</v>
      </c>
      <c r="B249" s="15" t="s">
        <v>46</v>
      </c>
      <c r="C249" s="5" t="s">
        <v>49</v>
      </c>
      <c r="D249" s="15" t="s">
        <v>55</v>
      </c>
      <c r="E249" s="36" t="s">
        <v>672</v>
      </c>
      <c r="H249" s="30">
        <v>0.375</v>
      </c>
      <c r="I249" s="30">
        <v>0.375</v>
      </c>
      <c r="J249" s="30">
        <v>0.375</v>
      </c>
      <c r="K249" s="30">
        <v>0.375</v>
      </c>
      <c r="O249" s="30"/>
      <c r="P249" s="30"/>
      <c r="Q249" s="30"/>
      <c r="R249" s="30"/>
      <c r="S249" s="30"/>
      <c r="AK249" s="31"/>
      <c r="AP249" s="17"/>
      <c r="AQ249" s="17"/>
      <c r="AR249" s="17"/>
      <c r="AS249" s="17"/>
      <c r="AT249" s="17"/>
      <c r="AU249" s="17"/>
      <c r="AV249" s="17"/>
      <c r="AW249" s="17"/>
      <c r="BB249" s="17"/>
      <c r="BC249" s="17"/>
      <c r="BD249" s="17"/>
      <c r="BE249" s="17"/>
      <c r="BF249" s="19"/>
      <c r="BH249" s="20"/>
      <c r="BI249" s="17"/>
    </row>
    <row r="250" spans="1:68" x14ac:dyDescent="0.15">
      <c r="A250" s="13" t="s">
        <v>689</v>
      </c>
      <c r="B250" s="5" t="s">
        <v>46</v>
      </c>
      <c r="C250" s="5"/>
      <c r="D250" s="5" t="s">
        <v>55</v>
      </c>
      <c r="E250" s="36" t="s">
        <v>673</v>
      </c>
      <c r="H250" s="30"/>
      <c r="I250" s="30"/>
      <c r="J250" s="30"/>
      <c r="O250" s="30"/>
      <c r="P250" s="30"/>
      <c r="Q250" s="30"/>
      <c r="R250" s="30"/>
      <c r="S250" s="30"/>
      <c r="W250" s="33">
        <v>0.125</v>
      </c>
      <c r="AK250" s="31"/>
      <c r="AP250" s="7"/>
      <c r="AQ250" s="7"/>
      <c r="AR250" s="7"/>
      <c r="AS250" s="7"/>
      <c r="AX250" s="7">
        <v>48000000</v>
      </c>
      <c r="AY250" s="6">
        <v>3000</v>
      </c>
      <c r="AZ250" s="6">
        <v>3000</v>
      </c>
      <c r="BA250" s="6">
        <v>3000</v>
      </c>
      <c r="BI250" s="17"/>
      <c r="BO250" s="6">
        <v>75</v>
      </c>
    </row>
    <row r="251" spans="1:68" s="52" customFormat="1" x14ac:dyDescent="0.15">
      <c r="A251" s="54" t="s">
        <v>692</v>
      </c>
      <c r="B251" s="55" t="s">
        <v>46</v>
      </c>
      <c r="C251" s="55"/>
      <c r="D251" s="55" t="s">
        <v>47</v>
      </c>
      <c r="E251" s="43" t="s">
        <v>738</v>
      </c>
      <c r="F251" s="44"/>
      <c r="G251" s="44"/>
      <c r="H251" s="45"/>
      <c r="I251" s="45"/>
      <c r="J251" s="45"/>
      <c r="K251" s="46"/>
      <c r="L251" s="46"/>
      <c r="M251" s="46"/>
      <c r="N251" s="46"/>
      <c r="O251" s="45"/>
      <c r="P251" s="45"/>
      <c r="Q251" s="45"/>
      <c r="R251" s="45"/>
      <c r="S251" s="45"/>
      <c r="T251" s="46"/>
      <c r="U251" s="46"/>
      <c r="V251" s="46"/>
      <c r="W251" s="46"/>
      <c r="X251" s="46"/>
      <c r="Y251" s="46"/>
      <c r="Z251" s="47"/>
      <c r="AA251" s="47"/>
      <c r="AB251" s="47">
        <v>0.15</v>
      </c>
      <c r="AC251" s="47"/>
      <c r="AD251" s="47"/>
      <c r="AE251" s="47"/>
      <c r="AF251" s="47"/>
      <c r="AG251" s="47"/>
      <c r="AH251" s="47"/>
      <c r="AI251" s="47"/>
      <c r="AJ251" s="47"/>
      <c r="AK251" s="47"/>
      <c r="AL251" s="48"/>
      <c r="AM251" s="48"/>
      <c r="AN251" s="48"/>
      <c r="AO251" s="48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7"/>
      <c r="BG251" s="48"/>
      <c r="BH251" s="58"/>
      <c r="BI251" s="56"/>
      <c r="BJ251" s="48">
        <v>150000</v>
      </c>
      <c r="BK251" s="48">
        <v>150000</v>
      </c>
      <c r="BL251" s="48"/>
      <c r="BM251" s="48"/>
      <c r="BN251" s="48"/>
      <c r="BO251" s="48"/>
      <c r="BP251" s="48"/>
    </row>
    <row r="252" spans="1:68" x14ac:dyDescent="0.15">
      <c r="A252" s="14" t="s">
        <v>691</v>
      </c>
      <c r="B252" s="15" t="s">
        <v>46</v>
      </c>
      <c r="C252" s="15"/>
      <c r="D252" s="5" t="s">
        <v>51</v>
      </c>
      <c r="E252" s="36" t="s">
        <v>739</v>
      </c>
      <c r="H252" s="30"/>
      <c r="I252" s="30"/>
      <c r="J252" s="30"/>
      <c r="O252" s="30"/>
      <c r="P252" s="30"/>
      <c r="Q252" s="30"/>
      <c r="R252" s="30"/>
      <c r="S252" s="30"/>
      <c r="AK252" s="31"/>
      <c r="AP252" s="17"/>
      <c r="AQ252" s="17"/>
      <c r="AR252" s="17"/>
      <c r="AS252" s="17"/>
      <c r="AT252" s="17"/>
      <c r="AU252" s="17"/>
      <c r="AV252" s="17"/>
      <c r="AW252" s="17"/>
      <c r="AX252" s="17">
        <v>6500000</v>
      </c>
      <c r="AY252" s="17"/>
      <c r="AZ252" s="17"/>
      <c r="BA252" s="17"/>
      <c r="BB252" s="17"/>
      <c r="BC252" s="17"/>
      <c r="BD252" s="17"/>
      <c r="BE252" s="17"/>
      <c r="BF252" s="19"/>
      <c r="BH252" s="20"/>
      <c r="BI252" s="17">
        <v>750000</v>
      </c>
      <c r="BJ252" s="17">
        <v>750000</v>
      </c>
      <c r="BK252" s="17">
        <v>750000</v>
      </c>
    </row>
    <row r="253" spans="1:68" x14ac:dyDescent="0.15">
      <c r="A253" s="14" t="s">
        <v>690</v>
      </c>
      <c r="B253" s="15" t="s">
        <v>46</v>
      </c>
      <c r="C253" s="15"/>
      <c r="D253" s="5" t="s">
        <v>51</v>
      </c>
      <c r="E253" s="36" t="s">
        <v>740</v>
      </c>
      <c r="H253" s="30"/>
      <c r="I253" s="30"/>
      <c r="J253" s="30"/>
      <c r="O253" s="30"/>
      <c r="P253" s="30"/>
      <c r="Q253" s="30"/>
      <c r="R253" s="30"/>
      <c r="S253" s="30"/>
      <c r="AK253" s="31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9">
        <v>7</v>
      </c>
      <c r="BH253" s="20"/>
      <c r="BI253" s="17"/>
      <c r="BJ253" s="6">
        <v>1500000</v>
      </c>
    </row>
    <row r="254" spans="1:68" x14ac:dyDescent="0.15">
      <c r="A254" s="22" t="s">
        <v>693</v>
      </c>
      <c r="B254" s="15" t="s">
        <v>46</v>
      </c>
      <c r="C254" s="5" t="s">
        <v>42</v>
      </c>
      <c r="D254" s="15" t="s">
        <v>52</v>
      </c>
      <c r="E254" s="36" t="s">
        <v>741</v>
      </c>
      <c r="H254" s="30"/>
      <c r="I254" s="30"/>
      <c r="J254" s="30"/>
      <c r="O254" s="30"/>
      <c r="P254" s="30"/>
      <c r="Q254" s="30"/>
      <c r="R254" s="30"/>
      <c r="S254" s="30"/>
      <c r="U254" s="33">
        <v>5.000000000000001E-2</v>
      </c>
      <c r="AK254" s="31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7">
        <v>8800</v>
      </c>
      <c r="BF254" s="8">
        <v>5</v>
      </c>
      <c r="BH254" s="20"/>
      <c r="BI254" s="17"/>
      <c r="BM254" s="6">
        <v>4800000</v>
      </c>
    </row>
    <row r="255" spans="1:68" x14ac:dyDescent="0.15">
      <c r="A255" s="13" t="s">
        <v>709</v>
      </c>
      <c r="B255" s="5" t="s">
        <v>46</v>
      </c>
      <c r="C255" s="5" t="s">
        <v>35</v>
      </c>
      <c r="D255" s="5" t="s">
        <v>47</v>
      </c>
      <c r="E255" s="36" t="s">
        <v>694</v>
      </c>
      <c r="H255" s="30"/>
      <c r="I255" s="30"/>
      <c r="J255" s="30"/>
      <c r="N255" s="33">
        <v>2.5000000000000005E-2</v>
      </c>
      <c r="O255" s="30"/>
      <c r="P255" s="30"/>
      <c r="Q255" s="30">
        <v>0.375</v>
      </c>
      <c r="R255" s="30"/>
      <c r="S255" s="30"/>
      <c r="AK255" s="31"/>
      <c r="AM255" s="6">
        <v>55</v>
      </c>
      <c r="AN255" s="6">
        <v>55</v>
      </c>
      <c r="AO255" s="6">
        <v>55</v>
      </c>
      <c r="AP255" s="7"/>
      <c r="AQ255" s="7"/>
      <c r="AR255" s="7"/>
      <c r="AS255" s="7"/>
    </row>
    <row r="256" spans="1:68" x14ac:dyDescent="0.15">
      <c r="A256" s="29" t="s">
        <v>710</v>
      </c>
      <c r="B256" s="5" t="s">
        <v>46</v>
      </c>
      <c r="C256" s="5"/>
      <c r="D256" s="5" t="s">
        <v>47</v>
      </c>
      <c r="E256" s="36" t="s">
        <v>695</v>
      </c>
      <c r="H256" s="30"/>
      <c r="I256" s="30"/>
      <c r="J256" s="30"/>
      <c r="N256" s="33">
        <v>0.04</v>
      </c>
      <c r="O256" s="30"/>
      <c r="P256" s="30"/>
      <c r="Q256" s="30"/>
      <c r="R256" s="30"/>
      <c r="S256" s="30"/>
      <c r="AK256" s="31"/>
      <c r="AP256" s="7"/>
      <c r="AQ256" s="7"/>
      <c r="AR256" s="7"/>
      <c r="AS256" s="7"/>
      <c r="AX256" s="7">
        <v>2000000</v>
      </c>
    </row>
    <row r="257" spans="1:68" x14ac:dyDescent="0.15">
      <c r="A257" s="29" t="s">
        <v>711</v>
      </c>
      <c r="B257" s="5" t="s">
        <v>46</v>
      </c>
      <c r="C257" s="5"/>
      <c r="D257" s="5" t="s">
        <v>47</v>
      </c>
      <c r="E257" s="36" t="s">
        <v>696</v>
      </c>
      <c r="H257" s="30"/>
      <c r="I257" s="30"/>
      <c r="J257" s="30"/>
      <c r="O257" s="30"/>
      <c r="P257" s="30"/>
      <c r="Q257" s="30"/>
      <c r="R257" s="30"/>
      <c r="S257" s="30"/>
      <c r="AK257" s="31"/>
      <c r="AP257" s="7"/>
      <c r="AQ257" s="7"/>
      <c r="AR257" s="7"/>
      <c r="AS257" s="7"/>
      <c r="AY257" s="7">
        <v>150</v>
      </c>
      <c r="AZ257" s="7">
        <v>150</v>
      </c>
      <c r="BA257" s="7">
        <v>150</v>
      </c>
    </row>
    <row r="258" spans="1:68" x14ac:dyDescent="0.15">
      <c r="A258" s="14" t="s">
        <v>712</v>
      </c>
      <c r="B258" s="15" t="s">
        <v>46</v>
      </c>
      <c r="C258" s="15"/>
      <c r="D258" s="15" t="s">
        <v>47</v>
      </c>
      <c r="E258" s="36" t="s">
        <v>697</v>
      </c>
      <c r="H258" s="30"/>
      <c r="I258" s="30"/>
      <c r="J258" s="30">
        <v>0.1</v>
      </c>
      <c r="O258" s="30"/>
      <c r="P258" s="30"/>
      <c r="Q258" s="30"/>
      <c r="R258" s="30"/>
      <c r="S258" s="30"/>
      <c r="X258" s="33">
        <v>7.0000000000000007E-2</v>
      </c>
      <c r="AK258" s="31"/>
      <c r="AP258" s="17"/>
      <c r="AQ258" s="17"/>
      <c r="AR258" s="17"/>
      <c r="AS258" s="17"/>
      <c r="AT258" s="17"/>
      <c r="AU258" s="17"/>
      <c r="AV258" s="17"/>
      <c r="AW258" s="17"/>
      <c r="AX258" s="17"/>
      <c r="AY258" s="7">
        <v>100</v>
      </c>
      <c r="AZ258" s="7">
        <v>100</v>
      </c>
      <c r="BA258" s="7">
        <v>100</v>
      </c>
      <c r="BB258" s="17"/>
      <c r="BC258" s="17"/>
      <c r="BD258" s="17"/>
      <c r="BE258" s="17"/>
      <c r="BF258" s="19"/>
      <c r="BH258" s="20"/>
      <c r="BI258" s="17"/>
    </row>
    <row r="259" spans="1:68" x14ac:dyDescent="0.15">
      <c r="A259" s="14" t="s">
        <v>713</v>
      </c>
      <c r="B259" s="15" t="s">
        <v>46</v>
      </c>
      <c r="C259" s="15"/>
      <c r="D259" s="15" t="s">
        <v>47</v>
      </c>
      <c r="E259" s="36" t="s">
        <v>698</v>
      </c>
      <c r="I259" s="30"/>
      <c r="J259" s="30"/>
      <c r="O259" s="30"/>
      <c r="P259" s="30"/>
      <c r="Q259" s="30"/>
      <c r="R259" s="30"/>
      <c r="S259" s="30"/>
      <c r="X259" s="33">
        <v>0.06</v>
      </c>
      <c r="Y259" s="33">
        <v>5.000000000000001E-2</v>
      </c>
      <c r="AK259" s="31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9"/>
      <c r="BH259" s="20"/>
      <c r="BI259" s="17"/>
    </row>
    <row r="260" spans="1:68" x14ac:dyDescent="0.15">
      <c r="A260" s="3" t="s">
        <v>714</v>
      </c>
      <c r="B260" s="5" t="s">
        <v>46</v>
      </c>
      <c r="C260" s="5"/>
      <c r="D260" s="5" t="s">
        <v>47</v>
      </c>
      <c r="E260" s="36" t="s">
        <v>699</v>
      </c>
      <c r="H260" s="30">
        <v>0.15000000000000002</v>
      </c>
      <c r="I260" s="30"/>
      <c r="J260" s="30"/>
      <c r="N260" s="33">
        <v>0.03</v>
      </c>
      <c r="O260" s="30"/>
      <c r="P260" s="30"/>
      <c r="Q260" s="30">
        <v>0.3</v>
      </c>
      <c r="R260" s="30"/>
      <c r="S260" s="30"/>
      <c r="AK260" s="31"/>
      <c r="AP260" s="7"/>
      <c r="AQ260" s="7"/>
      <c r="AR260" s="7"/>
      <c r="AS260" s="7"/>
    </row>
    <row r="261" spans="1:68" x14ac:dyDescent="0.15">
      <c r="A261" s="14" t="s">
        <v>715</v>
      </c>
      <c r="B261" s="5" t="s">
        <v>46</v>
      </c>
      <c r="C261" s="5"/>
      <c r="D261" s="5" t="s">
        <v>51</v>
      </c>
      <c r="E261" s="36" t="s">
        <v>700</v>
      </c>
      <c r="H261" s="30"/>
      <c r="I261" s="30"/>
      <c r="J261" s="30"/>
      <c r="O261" s="30"/>
      <c r="P261" s="30"/>
      <c r="Q261" s="30"/>
      <c r="R261" s="30"/>
      <c r="S261" s="30"/>
      <c r="X261" s="33">
        <v>0.08</v>
      </c>
      <c r="AK261" s="31"/>
      <c r="AP261" s="7"/>
      <c r="AQ261" s="7"/>
      <c r="AR261" s="7"/>
      <c r="AS261" s="7"/>
      <c r="AX261" s="17">
        <v>6750000</v>
      </c>
    </row>
    <row r="262" spans="1:68" x14ac:dyDescent="0.15">
      <c r="A262" s="29" t="s">
        <v>716</v>
      </c>
      <c r="B262" s="5" t="s">
        <v>46</v>
      </c>
      <c r="C262" s="5"/>
      <c r="D262" s="5" t="s">
        <v>51</v>
      </c>
      <c r="E262" s="36" t="s">
        <v>701</v>
      </c>
      <c r="H262" s="30"/>
      <c r="I262" s="30"/>
      <c r="J262" s="30"/>
      <c r="O262" s="30"/>
      <c r="P262" s="30"/>
      <c r="Q262" s="30"/>
      <c r="R262" s="30"/>
      <c r="S262" s="30"/>
      <c r="AK262" s="31"/>
      <c r="AP262" s="7"/>
      <c r="AQ262" s="7"/>
      <c r="AR262" s="7"/>
      <c r="AS262" s="7"/>
      <c r="AX262" s="17"/>
      <c r="AY262" s="7">
        <v>375</v>
      </c>
      <c r="AZ262" s="7">
        <v>375</v>
      </c>
      <c r="BA262" s="7">
        <v>375</v>
      </c>
    </row>
    <row r="263" spans="1:68" x14ac:dyDescent="0.15">
      <c r="A263" s="29" t="s">
        <v>717</v>
      </c>
      <c r="B263" s="5" t="s">
        <v>46</v>
      </c>
      <c r="C263" s="5"/>
      <c r="D263" s="5" t="s">
        <v>51</v>
      </c>
      <c r="E263" s="36" t="s">
        <v>702</v>
      </c>
      <c r="H263" s="30"/>
      <c r="I263" s="30"/>
      <c r="J263" s="30"/>
      <c r="O263" s="30"/>
      <c r="P263" s="30"/>
      <c r="Q263" s="30"/>
      <c r="R263" s="30"/>
      <c r="S263" s="30"/>
      <c r="X263" s="33">
        <v>0.08</v>
      </c>
      <c r="AK263" s="31"/>
      <c r="AP263" s="7"/>
      <c r="AQ263" s="7"/>
      <c r="AR263" s="7"/>
      <c r="AS263" s="7"/>
      <c r="AX263" s="17"/>
      <c r="AY263" s="7">
        <v>375</v>
      </c>
      <c r="AZ263" s="7">
        <v>375</v>
      </c>
      <c r="BA263" s="7">
        <v>375</v>
      </c>
    </row>
    <row r="264" spans="1:68" x14ac:dyDescent="0.15">
      <c r="A264" s="29" t="s">
        <v>719</v>
      </c>
      <c r="B264" s="5" t="s">
        <v>46</v>
      </c>
      <c r="C264" s="5"/>
      <c r="D264" s="5" t="s">
        <v>51</v>
      </c>
      <c r="E264" s="36" t="s">
        <v>703</v>
      </c>
      <c r="H264" s="30"/>
      <c r="I264" s="30"/>
      <c r="J264" s="30"/>
      <c r="N264" s="33">
        <v>5.000000000000001E-2</v>
      </c>
      <c r="O264" s="30"/>
      <c r="P264" s="30"/>
      <c r="Q264" s="30"/>
      <c r="R264" s="30"/>
      <c r="S264" s="30"/>
      <c r="AK264" s="31"/>
      <c r="AP264" s="7"/>
      <c r="AQ264" s="7"/>
      <c r="AR264" s="7"/>
      <c r="AS264" s="7"/>
      <c r="AX264" s="17">
        <v>6000000</v>
      </c>
      <c r="BN264" s="6">
        <v>100</v>
      </c>
    </row>
    <row r="265" spans="1:68" x14ac:dyDescent="0.15">
      <c r="A265" s="22" t="s">
        <v>720</v>
      </c>
      <c r="B265" s="15" t="s">
        <v>46</v>
      </c>
      <c r="C265" s="5" t="s">
        <v>25</v>
      </c>
      <c r="D265" s="5" t="s">
        <v>51</v>
      </c>
      <c r="E265" s="36" t="s">
        <v>704</v>
      </c>
      <c r="H265" s="30">
        <v>0.15000000000000002</v>
      </c>
      <c r="I265" s="30"/>
      <c r="J265" s="30"/>
      <c r="O265" s="30"/>
      <c r="P265" s="30"/>
      <c r="Q265" s="30"/>
      <c r="R265" s="30"/>
      <c r="S265" s="30"/>
      <c r="AK265" s="31"/>
      <c r="AM265" s="6">
        <v>220</v>
      </c>
      <c r="AN265" s="6">
        <v>220</v>
      </c>
      <c r="AO265" s="6">
        <v>220</v>
      </c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9"/>
      <c r="BH265" s="20"/>
      <c r="BI265" s="17"/>
      <c r="BO265" s="6">
        <v>35</v>
      </c>
    </row>
    <row r="266" spans="1:68" x14ac:dyDescent="0.15">
      <c r="A266" s="14" t="s">
        <v>721</v>
      </c>
      <c r="B266" s="15" t="s">
        <v>46</v>
      </c>
      <c r="C266" s="5" t="s">
        <v>35</v>
      </c>
      <c r="D266" s="5" t="s">
        <v>51</v>
      </c>
      <c r="E266" s="36" t="s">
        <v>705</v>
      </c>
      <c r="H266" s="30"/>
      <c r="I266" s="30"/>
      <c r="J266" s="30"/>
      <c r="O266" s="30"/>
      <c r="P266" s="30"/>
      <c r="Q266" s="30"/>
      <c r="R266" s="30"/>
      <c r="S266" s="30"/>
      <c r="Z266" s="31">
        <v>0.375</v>
      </c>
      <c r="AK266" s="31"/>
      <c r="AP266" s="17"/>
      <c r="AQ266" s="17"/>
      <c r="AR266" s="17"/>
      <c r="AS266" s="17"/>
      <c r="AT266" s="17"/>
      <c r="AU266" s="17"/>
      <c r="AV266" s="17"/>
      <c r="AW266" s="17"/>
      <c r="AY266" s="7">
        <v>400</v>
      </c>
      <c r="AZ266" s="7">
        <v>400</v>
      </c>
      <c r="BA266" s="7">
        <v>400</v>
      </c>
      <c r="BB266" s="17"/>
      <c r="BC266" s="17"/>
      <c r="BD266" s="17"/>
      <c r="BE266" s="17"/>
      <c r="BF266" s="19"/>
      <c r="BH266" s="20"/>
      <c r="BI266" s="17"/>
    </row>
    <row r="267" spans="1:68" x14ac:dyDescent="0.15">
      <c r="A267" s="14" t="s">
        <v>722</v>
      </c>
      <c r="B267" s="15" t="s">
        <v>46</v>
      </c>
      <c r="C267" s="5" t="s">
        <v>35</v>
      </c>
      <c r="D267" s="5" t="s">
        <v>51</v>
      </c>
      <c r="E267" s="36" t="s">
        <v>706</v>
      </c>
      <c r="H267" s="30"/>
      <c r="I267" s="30"/>
      <c r="J267" s="30"/>
      <c r="O267" s="30"/>
      <c r="P267" s="30"/>
      <c r="Q267" s="30"/>
      <c r="R267" s="30"/>
      <c r="S267" s="30"/>
      <c r="Y267" s="33">
        <v>0.06</v>
      </c>
      <c r="AK267" s="31"/>
      <c r="AP267" s="17"/>
      <c r="AQ267" s="17"/>
      <c r="AR267" s="17"/>
      <c r="AS267" s="17"/>
      <c r="AT267" s="17"/>
      <c r="AU267" s="17"/>
      <c r="AV267" s="17"/>
      <c r="AW267" s="17"/>
      <c r="AY267" s="7">
        <v>400</v>
      </c>
      <c r="AZ267" s="7">
        <v>400</v>
      </c>
      <c r="BA267" s="7">
        <v>400</v>
      </c>
      <c r="BB267" s="17"/>
      <c r="BC267" s="17"/>
      <c r="BD267" s="17"/>
      <c r="BE267" s="17"/>
      <c r="BF267" s="19"/>
      <c r="BH267" s="20"/>
      <c r="BI267" s="17"/>
    </row>
    <row r="268" spans="1:68" x14ac:dyDescent="0.15">
      <c r="A268" s="14" t="s">
        <v>723</v>
      </c>
      <c r="B268" s="15" t="s">
        <v>46</v>
      </c>
      <c r="C268" s="15"/>
      <c r="D268" s="5" t="s">
        <v>718</v>
      </c>
      <c r="E268" s="36" t="s">
        <v>707</v>
      </c>
      <c r="H268" s="30"/>
      <c r="I268" s="30"/>
      <c r="J268" s="30"/>
      <c r="O268" s="30"/>
      <c r="P268" s="30"/>
      <c r="Q268" s="30"/>
      <c r="R268" s="30"/>
      <c r="S268" s="30">
        <v>7.5000000000000011E-2</v>
      </c>
      <c r="AK268" s="31"/>
      <c r="AM268" s="6">
        <v>220</v>
      </c>
      <c r="AN268" s="6">
        <v>220</v>
      </c>
      <c r="AO268" s="6">
        <v>220</v>
      </c>
      <c r="AP268" s="17"/>
      <c r="AQ268" s="17"/>
      <c r="AR268" s="17"/>
      <c r="AS268" s="17"/>
      <c r="AT268" s="17"/>
      <c r="AU268" s="17"/>
      <c r="AV268" s="17"/>
      <c r="AW268" s="17"/>
      <c r="AX268" s="17"/>
      <c r="BB268" s="17"/>
      <c r="BC268" s="17"/>
      <c r="BD268" s="17"/>
      <c r="BE268" s="17"/>
      <c r="BF268" s="19"/>
      <c r="BH268" s="20"/>
      <c r="BI268" s="17"/>
    </row>
    <row r="269" spans="1:68" x14ac:dyDescent="0.15">
      <c r="A269" s="29" t="s">
        <v>724</v>
      </c>
      <c r="B269" s="5" t="s">
        <v>46</v>
      </c>
      <c r="C269" s="5" t="s">
        <v>49</v>
      </c>
      <c r="D269" s="5" t="s">
        <v>55</v>
      </c>
      <c r="E269" s="36" t="s">
        <v>708</v>
      </c>
      <c r="I269" s="30"/>
      <c r="J269" s="30">
        <v>0.89999999999999991</v>
      </c>
      <c r="O269" s="30"/>
      <c r="P269" s="30"/>
      <c r="Q269" s="30"/>
      <c r="R269" s="30"/>
      <c r="S269" s="30"/>
      <c r="AK269" s="31"/>
      <c r="AP269" s="7"/>
      <c r="AQ269" s="7"/>
      <c r="AR269" s="7"/>
      <c r="AS269" s="7"/>
    </row>
    <row r="270" spans="1:68" x14ac:dyDescent="0.15">
      <c r="A270" s="14" t="s">
        <v>726</v>
      </c>
      <c r="B270" s="15" t="s">
        <v>46</v>
      </c>
      <c r="C270" s="15"/>
      <c r="D270" s="15" t="s">
        <v>47</v>
      </c>
      <c r="E270" s="36" t="s">
        <v>725</v>
      </c>
      <c r="H270" s="30"/>
      <c r="I270" s="30"/>
      <c r="J270" s="30"/>
      <c r="O270" s="30"/>
      <c r="P270" s="30"/>
      <c r="Q270" s="30"/>
      <c r="R270" s="30"/>
      <c r="S270" s="30">
        <v>7.5000000000000011E-2</v>
      </c>
      <c r="AK270" s="31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9"/>
      <c r="BH270" s="20"/>
      <c r="BI270" s="17"/>
      <c r="BJ270" s="6">
        <v>150000</v>
      </c>
      <c r="BK270" s="6">
        <v>150000</v>
      </c>
    </row>
    <row r="271" spans="1:68" x14ac:dyDescent="0.15">
      <c r="A271" s="14" t="s">
        <v>730</v>
      </c>
      <c r="B271" s="5" t="s">
        <v>46</v>
      </c>
      <c r="C271" s="24"/>
      <c r="D271" s="5" t="s">
        <v>55</v>
      </c>
      <c r="E271" s="36" t="s">
        <v>727</v>
      </c>
      <c r="H271" s="30"/>
      <c r="I271" s="30"/>
      <c r="J271" s="30"/>
      <c r="O271" s="30"/>
      <c r="P271" s="30"/>
      <c r="Q271" s="30"/>
      <c r="R271" s="30"/>
      <c r="S271" s="30"/>
      <c r="AK271" s="31"/>
      <c r="AM271" s="6">
        <v>1800</v>
      </c>
      <c r="AN271" s="6">
        <v>1800</v>
      </c>
      <c r="AO271" s="6">
        <v>1800</v>
      </c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9"/>
      <c r="BH271" s="20"/>
      <c r="BI271" s="17"/>
      <c r="BL271" s="6">
        <v>3375</v>
      </c>
      <c r="BP271" s="6">
        <v>3</v>
      </c>
    </row>
    <row r="272" spans="1:68" x14ac:dyDescent="0.15">
      <c r="A272" s="14" t="s">
        <v>731</v>
      </c>
      <c r="B272" s="5" t="s">
        <v>46</v>
      </c>
      <c r="C272" s="24"/>
      <c r="D272" s="5" t="s">
        <v>52</v>
      </c>
      <c r="E272" s="36" t="s">
        <v>728</v>
      </c>
      <c r="H272" s="30"/>
      <c r="I272" s="30"/>
      <c r="J272" s="30"/>
      <c r="O272" s="30"/>
      <c r="P272" s="30"/>
      <c r="Q272" s="30"/>
      <c r="R272" s="30"/>
      <c r="S272" s="30"/>
      <c r="AK272" s="31"/>
      <c r="AP272" s="17"/>
      <c r="AQ272" s="17"/>
      <c r="AR272" s="17"/>
      <c r="AS272" s="17"/>
      <c r="AT272" s="17"/>
      <c r="AU272" s="7">
        <v>1200</v>
      </c>
      <c r="AV272" s="7">
        <v>1200</v>
      </c>
      <c r="AW272" s="7">
        <v>1200</v>
      </c>
      <c r="AX272" s="17"/>
      <c r="AY272" s="17"/>
      <c r="AZ272" s="17"/>
      <c r="BA272" s="17"/>
      <c r="BB272" s="17"/>
      <c r="BC272" s="17"/>
      <c r="BD272" s="17"/>
      <c r="BE272" s="17"/>
      <c r="BF272" s="19"/>
      <c r="BH272" s="20"/>
      <c r="BI272" s="17"/>
      <c r="BJ272" s="6">
        <v>15000000</v>
      </c>
      <c r="BP272" s="6">
        <v>1.5</v>
      </c>
    </row>
    <row r="273" spans="1:68" x14ac:dyDescent="0.15">
      <c r="A273" s="14" t="s">
        <v>732</v>
      </c>
      <c r="B273" s="5" t="s">
        <v>46</v>
      </c>
      <c r="C273" s="24"/>
      <c r="D273" s="5" t="s">
        <v>52</v>
      </c>
      <c r="E273" s="36" t="s">
        <v>729</v>
      </c>
      <c r="H273" s="30"/>
      <c r="I273" s="30"/>
      <c r="J273" s="30"/>
      <c r="O273" s="30"/>
      <c r="P273" s="30"/>
      <c r="Q273" s="30"/>
      <c r="R273" s="30"/>
      <c r="S273" s="30"/>
      <c r="AK273" s="31"/>
      <c r="AM273" s="6">
        <v>650</v>
      </c>
      <c r="AN273" s="6">
        <v>650</v>
      </c>
      <c r="AO273" s="6">
        <v>650</v>
      </c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9"/>
      <c r="BG273" s="6">
        <v>115</v>
      </c>
      <c r="BH273" s="20"/>
      <c r="BI273" s="17"/>
      <c r="BP273" s="6">
        <v>1.5</v>
      </c>
    </row>
    <row r="274" spans="1:68" x14ac:dyDescent="0.15">
      <c r="A274" s="29" t="s">
        <v>733</v>
      </c>
      <c r="B274" s="5" t="s">
        <v>46</v>
      </c>
      <c r="C274" s="15"/>
      <c r="D274" s="5" t="s">
        <v>47</v>
      </c>
      <c r="E274" s="36" t="s">
        <v>734</v>
      </c>
      <c r="H274" s="30"/>
      <c r="I274" s="30"/>
      <c r="J274" s="30"/>
      <c r="M274" s="33">
        <v>3.5000000000000003E-2</v>
      </c>
      <c r="N274" s="33">
        <v>3.5000000000000003E-2</v>
      </c>
      <c r="O274" s="30"/>
      <c r="P274" s="30"/>
      <c r="Q274" s="30"/>
      <c r="R274" s="30"/>
      <c r="S274" s="30"/>
      <c r="AK274" s="31"/>
      <c r="AP274" s="7"/>
      <c r="AQ274" s="7"/>
      <c r="AR274" s="7"/>
      <c r="AS274" s="7"/>
    </row>
    <row r="275" spans="1:68" x14ac:dyDescent="0.15">
      <c r="A275" s="29" t="s">
        <v>736</v>
      </c>
      <c r="B275" s="5" t="s">
        <v>46</v>
      </c>
      <c r="C275" s="15"/>
      <c r="D275" s="5" t="s">
        <v>52</v>
      </c>
      <c r="E275" s="36" t="s">
        <v>735</v>
      </c>
      <c r="H275" s="30"/>
      <c r="I275" s="30"/>
      <c r="J275" s="30"/>
      <c r="O275" s="30"/>
      <c r="P275" s="30"/>
      <c r="Q275" s="30"/>
      <c r="R275" s="30"/>
      <c r="S275" s="30"/>
      <c r="W275" s="33">
        <v>8.5000000000000006E-2</v>
      </c>
      <c r="AK275" s="31"/>
      <c r="AP275" s="7"/>
      <c r="AQ275" s="7"/>
      <c r="AR275" s="7"/>
      <c r="AS275" s="7"/>
      <c r="BI275" s="7">
        <v>4800000</v>
      </c>
      <c r="BJ275" s="7">
        <v>4800000</v>
      </c>
      <c r="BK275" s="7">
        <v>4800000</v>
      </c>
      <c r="BM275" s="7">
        <v>4800000</v>
      </c>
    </row>
    <row r="276" spans="1:68" x14ac:dyDescent="0.15">
      <c r="A276" s="13" t="s">
        <v>140</v>
      </c>
      <c r="B276" s="5" t="s">
        <v>50</v>
      </c>
      <c r="C276" s="5"/>
      <c r="D276" s="5" t="s">
        <v>47</v>
      </c>
      <c r="E276" s="36" t="s">
        <v>164</v>
      </c>
      <c r="H276" s="30"/>
      <c r="I276" s="30"/>
      <c r="J276" s="30">
        <v>7.5000000000000011E-2</v>
      </c>
      <c r="O276" s="30"/>
      <c r="P276" s="30"/>
      <c r="Q276" s="30"/>
      <c r="R276" s="30"/>
      <c r="S276" s="30"/>
      <c r="AP276" s="7"/>
      <c r="AQ276" s="7"/>
      <c r="AR276" s="7"/>
      <c r="AS276" s="7"/>
    </row>
    <row r="277" spans="1:68" x14ac:dyDescent="0.15">
      <c r="A277" s="29" t="s">
        <v>132</v>
      </c>
      <c r="B277" s="5" t="s">
        <v>50</v>
      </c>
      <c r="C277" s="5"/>
      <c r="D277" s="5" t="s">
        <v>47</v>
      </c>
      <c r="E277" s="36" t="s">
        <v>169</v>
      </c>
      <c r="H277" s="30">
        <v>7.5000000000000011E-2</v>
      </c>
      <c r="I277" s="30"/>
      <c r="J277" s="30"/>
      <c r="O277" s="30"/>
      <c r="P277" s="30"/>
      <c r="Q277" s="30"/>
      <c r="R277" s="30"/>
      <c r="S277" s="30"/>
      <c r="AP277" s="7"/>
      <c r="AQ277" s="7"/>
      <c r="AR277" s="7"/>
      <c r="AS277" s="7"/>
    </row>
    <row r="278" spans="1:68" x14ac:dyDescent="0.15">
      <c r="A278" s="29" t="s">
        <v>136</v>
      </c>
      <c r="B278" s="5" t="s">
        <v>50</v>
      </c>
      <c r="C278" s="5"/>
      <c r="D278" s="5" t="s">
        <v>47</v>
      </c>
      <c r="E278" s="36" t="s">
        <v>173</v>
      </c>
      <c r="H278" s="30"/>
      <c r="I278" s="30">
        <v>7.5000000000000011E-2</v>
      </c>
      <c r="J278" s="30"/>
      <c r="O278" s="30"/>
      <c r="P278" s="30"/>
      <c r="Q278" s="30"/>
      <c r="R278" s="30"/>
      <c r="S278" s="30"/>
      <c r="AP278" s="7"/>
      <c r="AQ278" s="7"/>
      <c r="AR278" s="7"/>
      <c r="AS278" s="7"/>
    </row>
    <row r="279" spans="1:68" x14ac:dyDescent="0.15">
      <c r="A279" s="13" t="s">
        <v>112</v>
      </c>
      <c r="B279" s="5" t="s">
        <v>50</v>
      </c>
      <c r="C279" s="5"/>
      <c r="D279" s="5" t="s">
        <v>47</v>
      </c>
      <c r="E279" s="36" t="s">
        <v>177</v>
      </c>
      <c r="H279" s="30"/>
      <c r="I279" s="30"/>
      <c r="J279" s="30"/>
      <c r="K279" s="30">
        <v>7.5000000000000011E-2</v>
      </c>
      <c r="O279" s="30"/>
      <c r="P279" s="30"/>
      <c r="Q279" s="30"/>
      <c r="R279" s="30"/>
      <c r="S279" s="30"/>
      <c r="AP279" s="7"/>
      <c r="AQ279" s="7"/>
      <c r="AR279" s="7"/>
      <c r="AS279" s="7"/>
    </row>
    <row r="280" spans="1:68" x14ac:dyDescent="0.15">
      <c r="A280" s="13" t="s">
        <v>113</v>
      </c>
      <c r="B280" s="5" t="s">
        <v>50</v>
      </c>
      <c r="C280" s="5"/>
      <c r="D280" s="5" t="s">
        <v>47</v>
      </c>
      <c r="E280" s="36" t="s">
        <v>181</v>
      </c>
      <c r="H280" s="30"/>
      <c r="I280" s="30"/>
      <c r="J280" s="30"/>
      <c r="O280" s="30"/>
      <c r="P280" s="30"/>
      <c r="Q280" s="30"/>
      <c r="R280" s="30"/>
      <c r="S280" s="30"/>
      <c r="AP280" s="7"/>
      <c r="AQ280" s="7">
        <v>90</v>
      </c>
      <c r="AR280" s="7">
        <v>90</v>
      </c>
      <c r="AS280" s="7">
        <v>90</v>
      </c>
    </row>
    <row r="281" spans="1:68" x14ac:dyDescent="0.15">
      <c r="A281" s="13" t="s">
        <v>114</v>
      </c>
      <c r="B281" s="5" t="s">
        <v>50</v>
      </c>
      <c r="C281" s="5"/>
      <c r="D281" s="5" t="s">
        <v>47</v>
      </c>
      <c r="E281" s="36" t="s">
        <v>185</v>
      </c>
      <c r="H281" s="30"/>
      <c r="I281" s="30"/>
      <c r="J281" s="30"/>
      <c r="O281" s="30"/>
      <c r="P281" s="30"/>
      <c r="Q281" s="30"/>
      <c r="R281" s="30"/>
      <c r="S281" s="30"/>
      <c r="AP281" s="7"/>
      <c r="AQ281" s="7"/>
      <c r="AR281" s="7"/>
      <c r="AS281" s="7"/>
      <c r="AU281" s="7">
        <v>90</v>
      </c>
      <c r="AV281" s="7">
        <v>90</v>
      </c>
      <c r="AW281" s="7">
        <v>90</v>
      </c>
    </row>
    <row r="282" spans="1:68" x14ac:dyDescent="0.15">
      <c r="A282" s="13" t="s">
        <v>115</v>
      </c>
      <c r="B282" s="5" t="s">
        <v>50</v>
      </c>
      <c r="C282" s="5"/>
      <c r="D282" s="5" t="s">
        <v>47</v>
      </c>
      <c r="E282" s="36" t="s">
        <v>189</v>
      </c>
      <c r="H282" s="30"/>
      <c r="I282" s="30"/>
      <c r="J282" s="30"/>
      <c r="O282" s="30"/>
      <c r="P282" s="30"/>
      <c r="Q282" s="30"/>
      <c r="R282" s="30"/>
      <c r="S282" s="30"/>
      <c r="AP282" s="7"/>
      <c r="AQ282" s="7"/>
      <c r="AR282" s="7"/>
      <c r="AS282" s="7"/>
      <c r="AY282" s="7">
        <v>90</v>
      </c>
      <c r="AZ282" s="7">
        <v>90</v>
      </c>
      <c r="BA282" s="7">
        <v>90</v>
      </c>
    </row>
    <row r="283" spans="1:68" x14ac:dyDescent="0.15">
      <c r="A283" s="13" t="s">
        <v>116</v>
      </c>
      <c r="B283" s="5" t="s">
        <v>50</v>
      </c>
      <c r="C283" s="5"/>
      <c r="D283" s="5" t="s">
        <v>47</v>
      </c>
      <c r="E283" s="36" t="s">
        <v>193</v>
      </c>
      <c r="H283" s="30"/>
      <c r="I283" s="30"/>
      <c r="J283" s="30"/>
      <c r="O283" s="30"/>
      <c r="P283" s="30"/>
      <c r="Q283" s="30"/>
      <c r="R283" s="30"/>
      <c r="S283" s="30"/>
      <c r="Z283" s="31">
        <v>0.30000000000000004</v>
      </c>
      <c r="AP283" s="7"/>
      <c r="AQ283" s="7"/>
      <c r="AR283" s="7"/>
      <c r="AS283" s="7"/>
    </row>
    <row r="284" spans="1:68" x14ac:dyDescent="0.15">
      <c r="A284" s="13" t="s">
        <v>144</v>
      </c>
      <c r="B284" s="5" t="s">
        <v>50</v>
      </c>
      <c r="C284" s="5"/>
      <c r="D284" s="5" t="s">
        <v>47</v>
      </c>
      <c r="E284" s="36" t="s">
        <v>197</v>
      </c>
      <c r="H284" s="30"/>
      <c r="I284" s="30"/>
      <c r="J284" s="30"/>
      <c r="O284" s="30"/>
      <c r="P284" s="30"/>
      <c r="Q284" s="30"/>
      <c r="R284" s="30"/>
      <c r="S284" s="30"/>
      <c r="AP284" s="7"/>
      <c r="AQ284" s="7"/>
      <c r="AR284" s="7"/>
      <c r="AS284" s="7"/>
      <c r="BE284" s="7">
        <v>1800</v>
      </c>
    </row>
    <row r="285" spans="1:68" x14ac:dyDescent="0.15">
      <c r="A285" s="13" t="s">
        <v>148</v>
      </c>
      <c r="B285" s="5" t="s">
        <v>50</v>
      </c>
      <c r="C285" s="5"/>
      <c r="D285" s="5" t="s">
        <v>47</v>
      </c>
      <c r="E285" s="36" t="s">
        <v>201</v>
      </c>
      <c r="H285" s="30"/>
      <c r="I285" s="30"/>
      <c r="J285" s="30"/>
      <c r="O285" s="30"/>
      <c r="P285" s="30"/>
      <c r="Q285" s="30"/>
      <c r="R285" s="30"/>
      <c r="S285" s="30"/>
      <c r="AP285" s="7"/>
      <c r="AQ285" s="7"/>
      <c r="AR285" s="7"/>
      <c r="AS285" s="7"/>
      <c r="BC285" s="7">
        <v>200</v>
      </c>
      <c r="BD285" s="7">
        <v>200</v>
      </c>
    </row>
    <row r="286" spans="1:68" x14ac:dyDescent="0.15">
      <c r="A286" s="13" t="s">
        <v>152</v>
      </c>
      <c r="B286" s="5" t="s">
        <v>50</v>
      </c>
      <c r="C286" s="5"/>
      <c r="D286" s="5" t="s">
        <v>47</v>
      </c>
      <c r="E286" s="36" t="s">
        <v>205</v>
      </c>
      <c r="H286" s="30"/>
      <c r="I286" s="30"/>
      <c r="J286" s="30"/>
      <c r="M286" s="33">
        <v>1.4999999999999999E-2</v>
      </c>
      <c r="O286" s="30"/>
      <c r="P286" s="30">
        <v>0.22499999999999998</v>
      </c>
      <c r="Q286" s="30"/>
      <c r="R286" s="30"/>
      <c r="S286" s="30"/>
      <c r="AP286" s="7"/>
      <c r="AQ286" s="7"/>
      <c r="AR286" s="7"/>
      <c r="AS286" s="7"/>
    </row>
    <row r="287" spans="1:68" x14ac:dyDescent="0.15">
      <c r="A287" s="13" t="s">
        <v>162</v>
      </c>
      <c r="B287" s="5" t="s">
        <v>50</v>
      </c>
      <c r="C287" s="5"/>
      <c r="D287" s="5" t="s">
        <v>47</v>
      </c>
      <c r="E287" s="36" t="s">
        <v>209</v>
      </c>
      <c r="H287" s="30"/>
      <c r="I287" s="30"/>
      <c r="J287" s="30"/>
      <c r="O287" s="30"/>
      <c r="P287" s="30"/>
      <c r="Q287" s="30"/>
      <c r="R287" s="30"/>
      <c r="S287" s="30"/>
      <c r="AM287" s="6">
        <v>50</v>
      </c>
      <c r="AN287" s="6">
        <v>50</v>
      </c>
      <c r="AO287" s="6">
        <v>50</v>
      </c>
      <c r="AP287" s="7"/>
      <c r="AQ287" s="7"/>
      <c r="AR287" s="7"/>
      <c r="AS287" s="7"/>
    </row>
    <row r="288" spans="1:68" x14ac:dyDescent="0.15">
      <c r="A288" s="13" t="s">
        <v>156</v>
      </c>
      <c r="B288" s="5" t="s">
        <v>50</v>
      </c>
      <c r="C288" s="5"/>
      <c r="D288" s="5" t="s">
        <v>47</v>
      </c>
      <c r="E288" s="36" t="s">
        <v>213</v>
      </c>
      <c r="H288" s="30"/>
      <c r="I288" s="30"/>
      <c r="J288" s="30"/>
      <c r="N288" s="33">
        <v>0.01</v>
      </c>
      <c r="O288" s="30"/>
      <c r="Q288" s="30">
        <v>0.15000000000000002</v>
      </c>
      <c r="R288" s="30"/>
      <c r="S288" s="30"/>
      <c r="AP288" s="7"/>
      <c r="AQ288" s="7"/>
      <c r="AR288" s="7"/>
      <c r="AS288" s="7"/>
    </row>
    <row r="289" spans="1:61" x14ac:dyDescent="0.15">
      <c r="A289" s="14" t="s">
        <v>141</v>
      </c>
      <c r="B289" s="15" t="s">
        <v>50</v>
      </c>
      <c r="C289" s="15"/>
      <c r="D289" s="5" t="s">
        <v>51</v>
      </c>
      <c r="E289" s="36" t="s">
        <v>166</v>
      </c>
      <c r="H289" s="30"/>
      <c r="I289" s="30"/>
      <c r="J289" s="30">
        <v>0.15000000000000002</v>
      </c>
      <c r="O289" s="30"/>
      <c r="P289" s="30"/>
      <c r="Q289" s="30"/>
      <c r="R289" s="30"/>
      <c r="S289" s="30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9"/>
      <c r="BH289" s="20"/>
      <c r="BI289" s="17"/>
    </row>
    <row r="290" spans="1:61" x14ac:dyDescent="0.15">
      <c r="A290" s="22" t="s">
        <v>157</v>
      </c>
      <c r="B290" s="5" t="s">
        <v>50</v>
      </c>
      <c r="C290" s="5"/>
      <c r="D290" s="5" t="s">
        <v>51</v>
      </c>
      <c r="E290" s="36" t="s">
        <v>214</v>
      </c>
      <c r="H290" s="30"/>
      <c r="I290" s="30"/>
      <c r="J290" s="30"/>
      <c r="N290" s="33">
        <v>0.02</v>
      </c>
      <c r="O290" s="30"/>
      <c r="Q290" s="30">
        <v>0.30000000000000004</v>
      </c>
      <c r="R290" s="30"/>
      <c r="S290" s="30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9"/>
      <c r="BH290" s="20"/>
      <c r="BI290" s="17"/>
    </row>
    <row r="291" spans="1:61" x14ac:dyDescent="0.15">
      <c r="A291" s="13" t="s">
        <v>117</v>
      </c>
      <c r="B291" s="5" t="s">
        <v>50</v>
      </c>
      <c r="C291" s="5"/>
      <c r="D291" s="5" t="s">
        <v>51</v>
      </c>
      <c r="E291" s="36" t="s">
        <v>194</v>
      </c>
      <c r="H291" s="30"/>
      <c r="I291" s="30"/>
      <c r="J291" s="30"/>
      <c r="O291" s="30"/>
      <c r="P291" s="30"/>
      <c r="Q291" s="30"/>
      <c r="R291" s="30"/>
      <c r="S291" s="30"/>
      <c r="Z291" s="31">
        <v>0.60000000000000009</v>
      </c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9"/>
      <c r="BH291" s="20"/>
      <c r="BI291" s="17"/>
    </row>
    <row r="292" spans="1:61" x14ac:dyDescent="0.15">
      <c r="A292" s="13" t="s">
        <v>145</v>
      </c>
      <c r="B292" s="23" t="s">
        <v>50</v>
      </c>
      <c r="C292" s="23"/>
      <c r="D292" s="5" t="s">
        <v>51</v>
      </c>
      <c r="E292" s="36" t="s">
        <v>198</v>
      </c>
      <c r="H292" s="30"/>
      <c r="I292" s="30"/>
      <c r="J292" s="30"/>
      <c r="O292" s="30"/>
      <c r="P292" s="30"/>
      <c r="Q292" s="30"/>
      <c r="R292" s="30"/>
      <c r="S292" s="30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>
        <v>4500</v>
      </c>
      <c r="BF292" s="19"/>
      <c r="BH292" s="20"/>
      <c r="BI292" s="17"/>
    </row>
    <row r="293" spans="1:61" x14ac:dyDescent="0.15">
      <c r="A293" s="13" t="s">
        <v>118</v>
      </c>
      <c r="B293" s="5" t="s">
        <v>50</v>
      </c>
      <c r="C293" s="5"/>
      <c r="D293" s="5" t="s">
        <v>51</v>
      </c>
      <c r="E293" s="36" t="s">
        <v>182</v>
      </c>
      <c r="H293" s="30"/>
      <c r="I293" s="30"/>
      <c r="J293" s="30"/>
      <c r="O293" s="30"/>
      <c r="P293" s="30"/>
      <c r="Q293" s="30"/>
      <c r="R293" s="30"/>
      <c r="S293" s="30"/>
      <c r="AP293" s="7"/>
      <c r="AQ293" s="7">
        <v>400</v>
      </c>
      <c r="AR293" s="7">
        <v>400</v>
      </c>
      <c r="AS293" s="7">
        <v>400</v>
      </c>
    </row>
    <row r="294" spans="1:61" x14ac:dyDescent="0.15">
      <c r="A294" s="13" t="s">
        <v>119</v>
      </c>
      <c r="B294" s="5" t="s">
        <v>50</v>
      </c>
      <c r="C294" s="5"/>
      <c r="D294" s="5" t="s">
        <v>51</v>
      </c>
      <c r="E294" s="36" t="s">
        <v>186</v>
      </c>
      <c r="H294" s="30"/>
      <c r="I294" s="30"/>
      <c r="J294" s="30"/>
      <c r="O294" s="30"/>
      <c r="P294" s="30"/>
      <c r="Q294" s="30"/>
      <c r="R294" s="30"/>
      <c r="S294" s="30"/>
      <c r="AP294" s="7"/>
      <c r="AQ294" s="7"/>
      <c r="AR294" s="7"/>
      <c r="AS294" s="7"/>
      <c r="AU294" s="7">
        <v>400</v>
      </c>
      <c r="AV294" s="7">
        <v>400</v>
      </c>
      <c r="AW294" s="7">
        <v>400</v>
      </c>
    </row>
    <row r="295" spans="1:61" x14ac:dyDescent="0.15">
      <c r="A295" s="13" t="s">
        <v>120</v>
      </c>
      <c r="B295" s="5" t="s">
        <v>50</v>
      </c>
      <c r="C295" s="5"/>
      <c r="D295" s="5" t="s">
        <v>51</v>
      </c>
      <c r="E295" s="36" t="s">
        <v>190</v>
      </c>
      <c r="H295" s="30"/>
      <c r="I295" s="30"/>
      <c r="J295" s="30"/>
      <c r="O295" s="30"/>
      <c r="P295" s="30"/>
      <c r="Q295" s="30"/>
      <c r="R295" s="30"/>
      <c r="S295" s="30"/>
      <c r="AP295" s="7"/>
      <c r="AQ295" s="7"/>
      <c r="AR295" s="7"/>
      <c r="AS295" s="7"/>
      <c r="AY295" s="7">
        <v>300</v>
      </c>
      <c r="AZ295" s="7">
        <v>300</v>
      </c>
      <c r="BA295" s="7">
        <v>300</v>
      </c>
    </row>
    <row r="296" spans="1:61" x14ac:dyDescent="0.15">
      <c r="A296" s="11" t="s">
        <v>153</v>
      </c>
      <c r="B296" s="5" t="s">
        <v>50</v>
      </c>
      <c r="C296" s="5"/>
      <c r="D296" s="5" t="s">
        <v>51</v>
      </c>
      <c r="E296" s="36" t="s">
        <v>206</v>
      </c>
      <c r="H296" s="30"/>
      <c r="I296" s="30"/>
      <c r="J296" s="30"/>
      <c r="M296" s="33">
        <v>0.03</v>
      </c>
      <c r="O296" s="30"/>
      <c r="P296" s="30">
        <v>0.44999999999999996</v>
      </c>
      <c r="Q296" s="30"/>
      <c r="R296" s="30"/>
      <c r="S296" s="30"/>
      <c r="AP296" s="7"/>
      <c r="AQ296" s="7"/>
      <c r="AR296" s="7"/>
      <c r="AS296" s="7"/>
    </row>
    <row r="297" spans="1:61" x14ac:dyDescent="0.15">
      <c r="A297" s="11" t="s">
        <v>160</v>
      </c>
      <c r="B297" s="5" t="s">
        <v>50</v>
      </c>
      <c r="C297" s="5"/>
      <c r="D297" s="5" t="s">
        <v>51</v>
      </c>
      <c r="E297" s="36" t="s">
        <v>210</v>
      </c>
      <c r="H297" s="30"/>
      <c r="I297" s="30"/>
      <c r="J297" s="30"/>
      <c r="O297" s="30"/>
      <c r="P297" s="30"/>
      <c r="Q297" s="30"/>
      <c r="R297" s="30"/>
      <c r="S297" s="30"/>
      <c r="AM297" s="6">
        <v>160</v>
      </c>
      <c r="AN297" s="6">
        <v>160</v>
      </c>
      <c r="AO297" s="6">
        <v>160</v>
      </c>
      <c r="AP297" s="7"/>
      <c r="AQ297" s="7"/>
      <c r="AR297" s="7"/>
      <c r="AS297" s="7"/>
    </row>
    <row r="298" spans="1:61" x14ac:dyDescent="0.15">
      <c r="A298" s="3" t="s">
        <v>137</v>
      </c>
      <c r="B298" s="5" t="s">
        <v>50</v>
      </c>
      <c r="C298" s="5"/>
      <c r="D298" s="5" t="s">
        <v>51</v>
      </c>
      <c r="E298" s="36" t="s">
        <v>174</v>
      </c>
      <c r="H298" s="30"/>
      <c r="I298" s="30">
        <v>0.15000000000000002</v>
      </c>
      <c r="J298" s="30"/>
      <c r="O298" s="30"/>
      <c r="P298" s="30"/>
      <c r="Q298" s="30"/>
      <c r="R298" s="30"/>
      <c r="S298" s="30"/>
      <c r="AP298" s="7"/>
      <c r="AQ298" s="7"/>
      <c r="AR298" s="7"/>
      <c r="AS298" s="7"/>
    </row>
    <row r="299" spans="1:61" x14ac:dyDescent="0.15">
      <c r="A299" s="3" t="s">
        <v>133</v>
      </c>
      <c r="B299" s="5" t="s">
        <v>50</v>
      </c>
      <c r="C299" s="5"/>
      <c r="D299" s="5" t="s">
        <v>51</v>
      </c>
      <c r="E299" s="36" t="s">
        <v>170</v>
      </c>
      <c r="H299" s="30">
        <v>0.15000000000000002</v>
      </c>
      <c r="I299" s="30"/>
      <c r="J299" s="30"/>
      <c r="O299" s="30"/>
      <c r="P299" s="30"/>
      <c r="Q299" s="30"/>
      <c r="R299" s="30"/>
      <c r="S299" s="30"/>
      <c r="AP299" s="7"/>
      <c r="AQ299" s="7"/>
      <c r="AR299" s="7"/>
      <c r="AS299" s="7"/>
    </row>
    <row r="300" spans="1:61" x14ac:dyDescent="0.15">
      <c r="A300" s="3" t="s">
        <v>149</v>
      </c>
      <c r="B300" s="5" t="s">
        <v>50</v>
      </c>
      <c r="C300" s="5"/>
      <c r="D300" s="5" t="s">
        <v>51</v>
      </c>
      <c r="E300" s="36" t="s">
        <v>202</v>
      </c>
      <c r="H300" s="30"/>
      <c r="I300" s="30"/>
      <c r="J300" s="30"/>
      <c r="O300" s="30"/>
      <c r="P300" s="30"/>
      <c r="Q300" s="30"/>
      <c r="R300" s="30"/>
      <c r="S300" s="30"/>
      <c r="AP300" s="7"/>
      <c r="AQ300" s="7"/>
      <c r="AR300" s="7"/>
      <c r="AS300" s="7"/>
      <c r="BC300" s="7">
        <v>600</v>
      </c>
      <c r="BD300" s="7">
        <v>600</v>
      </c>
    </row>
    <row r="301" spans="1:61" x14ac:dyDescent="0.15">
      <c r="A301" s="13" t="s">
        <v>121</v>
      </c>
      <c r="B301" s="5" t="s">
        <v>50</v>
      </c>
      <c r="C301" s="5"/>
      <c r="D301" s="5" t="s">
        <v>51</v>
      </c>
      <c r="E301" s="36" t="s">
        <v>178</v>
      </c>
      <c r="H301" s="30"/>
      <c r="I301" s="30"/>
      <c r="J301" s="30"/>
      <c r="K301" s="33">
        <v>0.15000000000000002</v>
      </c>
      <c r="O301" s="30"/>
      <c r="P301" s="30"/>
      <c r="Q301" s="30"/>
      <c r="R301" s="30"/>
      <c r="S301" s="30"/>
      <c r="AP301" s="7"/>
      <c r="AQ301" s="7"/>
      <c r="AR301" s="7"/>
      <c r="AS301" s="7"/>
    </row>
    <row r="302" spans="1:61" x14ac:dyDescent="0.15">
      <c r="A302" s="29" t="s">
        <v>134</v>
      </c>
      <c r="B302" s="5" t="s">
        <v>50</v>
      </c>
      <c r="C302" s="5"/>
      <c r="D302" s="5" t="s">
        <v>52</v>
      </c>
      <c r="E302" s="36" t="s">
        <v>171</v>
      </c>
      <c r="H302" s="30">
        <v>0.30000000000000004</v>
      </c>
      <c r="I302" s="30"/>
      <c r="J302" s="30"/>
      <c r="O302" s="30"/>
      <c r="P302" s="30"/>
      <c r="Q302" s="30"/>
      <c r="R302" s="30"/>
      <c r="S302" s="30"/>
      <c r="AP302" s="7"/>
      <c r="AQ302" s="7"/>
      <c r="AR302" s="7"/>
      <c r="AS302" s="7"/>
    </row>
    <row r="303" spans="1:61" x14ac:dyDescent="0.15">
      <c r="A303" s="29" t="s">
        <v>150</v>
      </c>
      <c r="B303" s="5" t="s">
        <v>50</v>
      </c>
      <c r="C303" s="5"/>
      <c r="D303" s="5" t="s">
        <v>52</v>
      </c>
      <c r="E303" s="36" t="s">
        <v>203</v>
      </c>
      <c r="H303" s="30"/>
      <c r="I303" s="30"/>
      <c r="J303" s="30"/>
      <c r="O303" s="30"/>
      <c r="P303" s="30"/>
      <c r="Q303" s="30"/>
      <c r="R303" s="30"/>
      <c r="S303" s="30"/>
      <c r="AP303" s="7"/>
      <c r="AQ303" s="7"/>
      <c r="AR303" s="7"/>
      <c r="AS303" s="7"/>
      <c r="BC303" s="7">
        <v>2500</v>
      </c>
      <c r="BD303" s="7">
        <v>2500</v>
      </c>
    </row>
    <row r="304" spans="1:61" x14ac:dyDescent="0.15">
      <c r="A304" s="22" t="s">
        <v>158</v>
      </c>
      <c r="B304" s="5" t="s">
        <v>50</v>
      </c>
      <c r="C304" s="5"/>
      <c r="D304" s="5" t="s">
        <v>52</v>
      </c>
      <c r="E304" s="36" t="s">
        <v>215</v>
      </c>
      <c r="H304" s="30"/>
      <c r="I304" s="30"/>
      <c r="J304" s="30"/>
      <c r="N304" s="33">
        <v>0.04</v>
      </c>
      <c r="O304" s="30"/>
      <c r="Q304" s="30">
        <v>0.60000000000000009</v>
      </c>
      <c r="R304" s="30"/>
      <c r="S304" s="30"/>
      <c r="AP304" s="7"/>
      <c r="AQ304" s="7"/>
      <c r="AR304" s="7"/>
      <c r="AS304" s="7"/>
    </row>
    <row r="305" spans="1:61" x14ac:dyDescent="0.15">
      <c r="A305" s="13" t="s">
        <v>129</v>
      </c>
      <c r="B305" s="23" t="s">
        <v>50</v>
      </c>
      <c r="C305" s="23"/>
      <c r="D305" s="5" t="s">
        <v>52</v>
      </c>
      <c r="E305" s="36" t="s">
        <v>183</v>
      </c>
      <c r="H305" s="30"/>
      <c r="I305" s="30"/>
      <c r="J305" s="30"/>
      <c r="O305" s="30"/>
      <c r="P305" s="30"/>
      <c r="Q305" s="30"/>
      <c r="R305" s="30"/>
      <c r="S305" s="30"/>
      <c r="AP305" s="7"/>
      <c r="AQ305" s="7">
        <v>900</v>
      </c>
      <c r="AR305" s="7">
        <v>900</v>
      </c>
      <c r="AS305" s="7">
        <v>900</v>
      </c>
    </row>
    <row r="306" spans="1:61" x14ac:dyDescent="0.15">
      <c r="A306" s="13" t="s">
        <v>130</v>
      </c>
      <c r="B306" s="23" t="s">
        <v>50</v>
      </c>
      <c r="C306" s="23"/>
      <c r="D306" s="5" t="s">
        <v>52</v>
      </c>
      <c r="E306" s="36" t="s">
        <v>187</v>
      </c>
      <c r="H306" s="30"/>
      <c r="I306" s="30"/>
      <c r="J306" s="30"/>
      <c r="O306" s="30"/>
      <c r="P306" s="30"/>
      <c r="Q306" s="30"/>
      <c r="R306" s="30"/>
      <c r="S306" s="30"/>
      <c r="AP306" s="7"/>
      <c r="AQ306" s="7"/>
      <c r="AR306" s="7"/>
      <c r="AS306" s="7"/>
      <c r="AU306" s="7">
        <v>1100</v>
      </c>
      <c r="AV306" s="7">
        <v>1100</v>
      </c>
      <c r="AW306" s="7">
        <v>1100</v>
      </c>
    </row>
    <row r="307" spans="1:61" x14ac:dyDescent="0.15">
      <c r="A307" s="13" t="s">
        <v>131</v>
      </c>
      <c r="B307" s="23" t="s">
        <v>50</v>
      </c>
      <c r="C307" s="23"/>
      <c r="D307" s="5" t="s">
        <v>52</v>
      </c>
      <c r="E307" s="36" t="s">
        <v>191</v>
      </c>
      <c r="H307" s="30"/>
      <c r="I307" s="30"/>
      <c r="J307" s="30"/>
      <c r="O307" s="30"/>
      <c r="P307" s="30"/>
      <c r="Q307" s="30"/>
      <c r="R307" s="30"/>
      <c r="S307" s="30"/>
      <c r="AP307" s="7"/>
      <c r="AQ307" s="7"/>
      <c r="AR307" s="7"/>
      <c r="AS307" s="7"/>
      <c r="AY307" s="7">
        <v>800</v>
      </c>
      <c r="AZ307" s="7">
        <v>800</v>
      </c>
      <c r="BA307" s="7">
        <v>800</v>
      </c>
    </row>
    <row r="308" spans="1:61" x14ac:dyDescent="0.15">
      <c r="A308" s="13" t="s">
        <v>128</v>
      </c>
      <c r="B308" s="23" t="s">
        <v>50</v>
      </c>
      <c r="C308" s="23"/>
      <c r="D308" s="5" t="s">
        <v>52</v>
      </c>
      <c r="E308" s="36" t="s">
        <v>195</v>
      </c>
      <c r="H308" s="30"/>
      <c r="I308" s="30"/>
      <c r="J308" s="30"/>
      <c r="O308" s="30"/>
      <c r="P308" s="30"/>
      <c r="Q308" s="30"/>
      <c r="R308" s="30"/>
      <c r="S308" s="30"/>
      <c r="Z308" s="31">
        <v>1.0499999999999998</v>
      </c>
      <c r="AP308" s="7"/>
      <c r="AQ308" s="7"/>
      <c r="AR308" s="7"/>
      <c r="AS308" s="7"/>
    </row>
    <row r="309" spans="1:61" x14ac:dyDescent="0.15">
      <c r="A309" s="13" t="s">
        <v>146</v>
      </c>
      <c r="B309" s="23" t="s">
        <v>50</v>
      </c>
      <c r="C309" s="23"/>
      <c r="D309" s="5" t="s">
        <v>52</v>
      </c>
      <c r="E309" s="36" t="s">
        <v>199</v>
      </c>
      <c r="H309" s="30"/>
      <c r="I309" s="30"/>
      <c r="J309" s="30"/>
      <c r="O309" s="30"/>
      <c r="P309" s="30"/>
      <c r="Q309" s="30"/>
      <c r="R309" s="30"/>
      <c r="S309" s="30"/>
      <c r="AP309" s="7"/>
      <c r="AQ309" s="7"/>
      <c r="AR309" s="7"/>
      <c r="AS309" s="7"/>
      <c r="BE309" s="17">
        <v>12000</v>
      </c>
      <c r="BF309" s="19"/>
    </row>
    <row r="310" spans="1:61" x14ac:dyDescent="0.15">
      <c r="A310" s="13" t="s">
        <v>163</v>
      </c>
      <c r="B310" s="23" t="s">
        <v>50</v>
      </c>
      <c r="C310" s="23"/>
      <c r="D310" s="5" t="s">
        <v>52</v>
      </c>
      <c r="E310" s="36" t="s">
        <v>211</v>
      </c>
      <c r="H310" s="30"/>
      <c r="I310" s="30"/>
      <c r="J310" s="30"/>
      <c r="O310" s="30"/>
      <c r="P310" s="30"/>
      <c r="Q310" s="30"/>
      <c r="R310" s="30"/>
      <c r="S310" s="30"/>
      <c r="AM310" s="6">
        <v>500</v>
      </c>
      <c r="AN310" s="6">
        <v>500</v>
      </c>
      <c r="AO310" s="6">
        <v>500</v>
      </c>
      <c r="AP310" s="7"/>
      <c r="AQ310" s="7"/>
      <c r="AR310" s="7"/>
      <c r="AS310" s="7"/>
    </row>
    <row r="311" spans="1:61" x14ac:dyDescent="0.15">
      <c r="A311" s="13" t="s">
        <v>154</v>
      </c>
      <c r="B311" s="23" t="s">
        <v>50</v>
      </c>
      <c r="C311" s="23"/>
      <c r="D311" s="5" t="s">
        <v>52</v>
      </c>
      <c r="E311" s="36" t="s">
        <v>207</v>
      </c>
      <c r="H311" s="30"/>
      <c r="I311" s="30"/>
      <c r="J311" s="30"/>
      <c r="M311" s="33">
        <v>0.06</v>
      </c>
      <c r="O311" s="30"/>
      <c r="P311" s="30">
        <v>0.89999999999999991</v>
      </c>
      <c r="Q311" s="30"/>
      <c r="R311" s="30"/>
      <c r="S311" s="30"/>
      <c r="AP311" s="7"/>
      <c r="AQ311" s="7"/>
      <c r="AR311" s="7"/>
      <c r="AS311" s="7"/>
    </row>
    <row r="312" spans="1:61" x14ac:dyDescent="0.15">
      <c r="A312" s="13" t="s">
        <v>127</v>
      </c>
      <c r="B312" s="23" t="s">
        <v>50</v>
      </c>
      <c r="C312" s="23"/>
      <c r="D312" s="5" t="s">
        <v>52</v>
      </c>
      <c r="E312" s="36" t="s">
        <v>179</v>
      </c>
      <c r="H312" s="30"/>
      <c r="I312" s="30"/>
      <c r="J312" s="30"/>
      <c r="K312" s="33">
        <v>0.30000000000000004</v>
      </c>
      <c r="O312" s="30"/>
      <c r="P312" s="30"/>
      <c r="Q312" s="30"/>
      <c r="R312" s="30"/>
      <c r="S312" s="30"/>
      <c r="AP312" s="7"/>
      <c r="AQ312" s="7"/>
      <c r="AR312" s="7"/>
      <c r="AS312" s="7"/>
    </row>
    <row r="313" spans="1:61" x14ac:dyDescent="0.15">
      <c r="A313" s="13" t="s">
        <v>138</v>
      </c>
      <c r="B313" s="23" t="s">
        <v>50</v>
      </c>
      <c r="C313" s="23"/>
      <c r="D313" s="5" t="s">
        <v>52</v>
      </c>
      <c r="E313" s="36" t="s">
        <v>175</v>
      </c>
      <c r="H313" s="30"/>
      <c r="I313" s="30">
        <v>0.30000000000000004</v>
      </c>
      <c r="J313" s="30"/>
      <c r="O313" s="30"/>
      <c r="P313" s="30"/>
      <c r="Q313" s="30"/>
      <c r="R313" s="30"/>
      <c r="S313" s="30"/>
      <c r="AP313" s="7"/>
      <c r="AQ313" s="7"/>
      <c r="AR313" s="7"/>
      <c r="AS313" s="7"/>
    </row>
    <row r="314" spans="1:61" x14ac:dyDescent="0.15">
      <c r="A314" s="14" t="s">
        <v>142</v>
      </c>
      <c r="B314" s="24" t="s">
        <v>50</v>
      </c>
      <c r="C314" s="24"/>
      <c r="D314" s="15" t="s">
        <v>52</v>
      </c>
      <c r="E314" s="36" t="s">
        <v>167</v>
      </c>
      <c r="H314" s="30"/>
      <c r="I314" s="30"/>
      <c r="J314" s="30">
        <v>0.30000000000000004</v>
      </c>
      <c r="O314" s="30"/>
      <c r="P314" s="30"/>
      <c r="Q314" s="30"/>
      <c r="R314" s="30"/>
      <c r="S314" s="30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9"/>
      <c r="BH314" s="20"/>
      <c r="BI314" s="17"/>
    </row>
    <row r="315" spans="1:61" x14ac:dyDescent="0.15">
      <c r="A315" s="3" t="s">
        <v>151</v>
      </c>
      <c r="B315" s="5" t="s">
        <v>50</v>
      </c>
      <c r="C315" s="5"/>
      <c r="D315" s="15" t="s">
        <v>55</v>
      </c>
      <c r="E315" s="36" t="s">
        <v>204</v>
      </c>
      <c r="H315" s="30"/>
      <c r="I315" s="30"/>
      <c r="J315" s="30"/>
      <c r="O315" s="30"/>
      <c r="P315" s="30"/>
      <c r="Q315" s="30"/>
      <c r="R315" s="30"/>
      <c r="S315" s="30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C315" s="7">
        <v>10000</v>
      </c>
      <c r="BD315" s="7">
        <v>10000</v>
      </c>
      <c r="BE315" s="17"/>
      <c r="BF315" s="19"/>
      <c r="BH315" s="20"/>
      <c r="BI315" s="17"/>
    </row>
    <row r="316" spans="1:61" x14ac:dyDescent="0.15">
      <c r="A316" s="22" t="s">
        <v>159</v>
      </c>
      <c r="B316" s="5" t="s">
        <v>50</v>
      </c>
      <c r="C316" s="5"/>
      <c r="D316" s="5" t="s">
        <v>55</v>
      </c>
      <c r="E316" s="36" t="s">
        <v>216</v>
      </c>
      <c r="H316" s="30"/>
      <c r="I316" s="30"/>
      <c r="J316" s="30"/>
      <c r="N316" s="33">
        <v>7.0000000000000007E-2</v>
      </c>
      <c r="O316" s="30"/>
      <c r="Q316" s="30">
        <v>2</v>
      </c>
      <c r="R316" s="30"/>
      <c r="S316" s="30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9"/>
      <c r="BH316" s="20"/>
      <c r="BI316" s="17"/>
    </row>
    <row r="317" spans="1:61" x14ac:dyDescent="0.15">
      <c r="A317" s="13" t="s">
        <v>155</v>
      </c>
      <c r="B317" s="23" t="s">
        <v>50</v>
      </c>
      <c r="C317" s="23"/>
      <c r="D317" s="5" t="s">
        <v>55</v>
      </c>
      <c r="E317" s="36" t="s">
        <v>208</v>
      </c>
      <c r="H317" s="30"/>
      <c r="I317" s="30"/>
      <c r="J317" s="30"/>
      <c r="M317" s="33">
        <v>7.0000000000000007E-2</v>
      </c>
      <c r="O317" s="30"/>
      <c r="P317" s="30">
        <v>2</v>
      </c>
      <c r="Q317" s="30"/>
      <c r="R317" s="30"/>
      <c r="S317" s="30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9"/>
      <c r="BH317" s="20"/>
      <c r="BI317" s="17"/>
    </row>
    <row r="318" spans="1:61" x14ac:dyDescent="0.15">
      <c r="A318" s="23" t="s">
        <v>122</v>
      </c>
      <c r="B318" s="23" t="s">
        <v>50</v>
      </c>
      <c r="C318" s="23"/>
      <c r="D318" s="5" t="s">
        <v>55</v>
      </c>
      <c r="E318" s="36" t="s">
        <v>184</v>
      </c>
      <c r="H318" s="30"/>
      <c r="I318" s="30"/>
      <c r="J318" s="30"/>
      <c r="O318" s="30"/>
      <c r="P318" s="30"/>
      <c r="Q318" s="30"/>
      <c r="R318" s="30"/>
      <c r="S318" s="30"/>
      <c r="AP318" s="7"/>
      <c r="AQ318" s="7">
        <v>3500</v>
      </c>
      <c r="AR318" s="7">
        <v>3500</v>
      </c>
      <c r="AS318" s="7">
        <v>3500</v>
      </c>
    </row>
    <row r="319" spans="1:61" x14ac:dyDescent="0.15">
      <c r="A319" s="23" t="s">
        <v>123</v>
      </c>
      <c r="B319" s="23" t="s">
        <v>50</v>
      </c>
      <c r="C319" s="23"/>
      <c r="D319" s="5" t="s">
        <v>55</v>
      </c>
      <c r="E319" s="36" t="s">
        <v>188</v>
      </c>
      <c r="H319" s="30"/>
      <c r="I319" s="30"/>
      <c r="J319" s="30"/>
      <c r="O319" s="30"/>
      <c r="P319" s="30"/>
      <c r="Q319" s="30"/>
      <c r="R319" s="30"/>
      <c r="S319" s="30"/>
      <c r="AP319" s="7"/>
      <c r="AQ319" s="7"/>
      <c r="AR319" s="7"/>
      <c r="AS319" s="7"/>
      <c r="AU319" s="7">
        <v>3500</v>
      </c>
      <c r="AV319" s="7">
        <v>3500</v>
      </c>
      <c r="AW319" s="7">
        <v>3500</v>
      </c>
    </row>
    <row r="320" spans="1:61" x14ac:dyDescent="0.15">
      <c r="A320" s="23" t="s">
        <v>124</v>
      </c>
      <c r="B320" s="23" t="s">
        <v>50</v>
      </c>
      <c r="C320" s="23"/>
      <c r="D320" s="5" t="s">
        <v>55</v>
      </c>
      <c r="E320" s="36" t="s">
        <v>192</v>
      </c>
      <c r="H320" s="30"/>
      <c r="I320" s="30"/>
      <c r="J320" s="30"/>
      <c r="O320" s="30"/>
      <c r="P320" s="30"/>
      <c r="Q320" s="30"/>
      <c r="R320" s="30"/>
      <c r="S320" s="30"/>
      <c r="AP320" s="7"/>
      <c r="AQ320" s="7"/>
      <c r="AR320" s="7"/>
      <c r="AS320" s="7"/>
      <c r="AX320" s="17"/>
      <c r="AY320" s="7">
        <v>3500</v>
      </c>
      <c r="AZ320" s="7">
        <v>3500</v>
      </c>
      <c r="BA320" s="7">
        <v>3500</v>
      </c>
    </row>
    <row r="321" spans="1:61" x14ac:dyDescent="0.15">
      <c r="A321" s="5" t="s">
        <v>143</v>
      </c>
      <c r="B321" s="23" t="s">
        <v>50</v>
      </c>
      <c r="C321" s="23"/>
      <c r="D321" s="5" t="s">
        <v>55</v>
      </c>
      <c r="E321" s="36" t="s">
        <v>168</v>
      </c>
      <c r="H321" s="30"/>
      <c r="I321" s="30"/>
      <c r="J321" s="30">
        <v>0.60000000000000009</v>
      </c>
      <c r="O321" s="30"/>
      <c r="P321" s="30"/>
      <c r="Q321" s="30"/>
      <c r="R321" s="30"/>
      <c r="S321" s="30"/>
      <c r="AP321" s="7"/>
      <c r="AQ321" s="7"/>
      <c r="AR321" s="7"/>
      <c r="AS321" s="7"/>
    </row>
    <row r="322" spans="1:61" x14ac:dyDescent="0.15">
      <c r="A322" s="5" t="s">
        <v>161</v>
      </c>
      <c r="B322" s="23" t="s">
        <v>50</v>
      </c>
      <c r="C322" s="23"/>
      <c r="D322" s="5" t="s">
        <v>55</v>
      </c>
      <c r="E322" s="36" t="s">
        <v>212</v>
      </c>
      <c r="H322" s="30"/>
      <c r="I322" s="30"/>
      <c r="J322" s="30"/>
      <c r="O322" s="30"/>
      <c r="P322" s="30"/>
      <c r="Q322" s="30"/>
      <c r="R322" s="30"/>
      <c r="S322" s="30"/>
      <c r="AM322" s="7">
        <v>1600</v>
      </c>
      <c r="AN322" s="7">
        <v>1600</v>
      </c>
      <c r="AO322" s="7">
        <v>1600</v>
      </c>
      <c r="AP322" s="7"/>
    </row>
    <row r="323" spans="1:61" x14ac:dyDescent="0.15">
      <c r="A323" s="15" t="s">
        <v>135</v>
      </c>
      <c r="B323" s="23" t="s">
        <v>50</v>
      </c>
      <c r="C323" s="23"/>
      <c r="D323" s="5" t="s">
        <v>55</v>
      </c>
      <c r="E323" s="36" t="s">
        <v>172</v>
      </c>
      <c r="H323" s="30">
        <v>0.60000000000000009</v>
      </c>
      <c r="I323" s="30"/>
      <c r="J323" s="30"/>
      <c r="O323" s="30"/>
      <c r="P323" s="30"/>
      <c r="Q323" s="30"/>
      <c r="R323" s="30"/>
      <c r="S323" s="30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9"/>
      <c r="BH323" s="20"/>
      <c r="BI323" s="17"/>
    </row>
    <row r="324" spans="1:61" x14ac:dyDescent="0.15">
      <c r="A324" s="15" t="s">
        <v>125</v>
      </c>
      <c r="B324" s="23" t="s">
        <v>50</v>
      </c>
      <c r="C324" s="23"/>
      <c r="D324" s="5" t="s">
        <v>55</v>
      </c>
      <c r="E324" s="36" t="s">
        <v>196</v>
      </c>
      <c r="H324" s="30"/>
      <c r="I324" s="30"/>
      <c r="J324" s="30"/>
      <c r="O324" s="30"/>
      <c r="P324" s="30"/>
      <c r="Q324" s="30"/>
      <c r="R324" s="30"/>
      <c r="S324" s="30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9"/>
      <c r="BH324" s="20">
        <v>-0.1</v>
      </c>
      <c r="BI324" s="17"/>
    </row>
    <row r="325" spans="1:61" x14ac:dyDescent="0.15">
      <c r="A325" s="15" t="s">
        <v>147</v>
      </c>
      <c r="B325" s="23" t="s">
        <v>50</v>
      </c>
      <c r="C325" s="23"/>
      <c r="D325" s="5" t="s">
        <v>55</v>
      </c>
      <c r="E325" s="36" t="s">
        <v>200</v>
      </c>
      <c r="H325" s="30"/>
      <c r="I325" s="30"/>
      <c r="J325" s="30"/>
      <c r="O325" s="30"/>
      <c r="P325" s="30"/>
      <c r="Q325" s="30"/>
      <c r="R325" s="30"/>
      <c r="S325" s="30"/>
      <c r="T325" s="33">
        <v>0.05</v>
      </c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9"/>
      <c r="BH325" s="20"/>
      <c r="BI325" s="17"/>
    </row>
    <row r="326" spans="1:61" x14ac:dyDescent="0.15">
      <c r="A326" s="15" t="s">
        <v>126</v>
      </c>
      <c r="B326" s="23" t="s">
        <v>50</v>
      </c>
      <c r="C326" s="23"/>
      <c r="D326" s="5" t="s">
        <v>55</v>
      </c>
      <c r="E326" s="36" t="s">
        <v>180</v>
      </c>
      <c r="H326" s="30"/>
      <c r="I326" s="30"/>
      <c r="J326" s="30"/>
      <c r="K326" s="33">
        <v>0.60000000000000009</v>
      </c>
      <c r="O326" s="30"/>
      <c r="P326" s="30"/>
      <c r="Q326" s="30"/>
      <c r="R326" s="30"/>
      <c r="S326" s="30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9"/>
      <c r="BH326" s="20"/>
      <c r="BI326" s="17"/>
    </row>
    <row r="327" spans="1:61" x14ac:dyDescent="0.15">
      <c r="A327" s="15" t="s">
        <v>139</v>
      </c>
      <c r="B327" s="23" t="s">
        <v>50</v>
      </c>
      <c r="C327" s="23"/>
      <c r="D327" s="5" t="s">
        <v>55</v>
      </c>
      <c r="E327" s="36" t="s">
        <v>176</v>
      </c>
      <c r="H327" s="30"/>
      <c r="I327" s="30">
        <v>0.60000000000000009</v>
      </c>
      <c r="J327" s="30"/>
      <c r="O327" s="30"/>
      <c r="P327" s="30"/>
      <c r="Q327" s="30"/>
      <c r="R327" s="30"/>
      <c r="S327" s="30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9"/>
      <c r="BH327" s="20"/>
      <c r="BI327" s="17"/>
    </row>
    <row r="328" spans="1:61" x14ac:dyDescent="0.15">
      <c r="A328" s="29" t="s">
        <v>752</v>
      </c>
      <c r="B328" s="29" t="s">
        <v>594</v>
      </c>
      <c r="C328" s="4" t="s">
        <v>744</v>
      </c>
      <c r="D328" s="5" t="s">
        <v>718</v>
      </c>
      <c r="E328" s="4" t="s">
        <v>746</v>
      </c>
      <c r="AA328" s="31">
        <v>1</v>
      </c>
      <c r="AD328" s="31">
        <v>0.05</v>
      </c>
    </row>
    <row r="329" spans="1:61" x14ac:dyDescent="0.15">
      <c r="A329" s="29" t="s">
        <v>751</v>
      </c>
      <c r="B329" s="29" t="s">
        <v>594</v>
      </c>
      <c r="C329" s="4" t="s">
        <v>745</v>
      </c>
      <c r="D329" s="5" t="s">
        <v>509</v>
      </c>
      <c r="E329" s="4" t="s">
        <v>747</v>
      </c>
      <c r="AX329" s="7">
        <v>2000000</v>
      </c>
      <c r="BE329" s="7">
        <v>1000</v>
      </c>
    </row>
    <row r="330" spans="1:61" ht="94.5" x14ac:dyDescent="0.15">
      <c r="A330" s="59" t="s">
        <v>753</v>
      </c>
      <c r="B330" s="5" t="s">
        <v>46</v>
      </c>
      <c r="C330" s="59"/>
      <c r="D330" s="5" t="s">
        <v>755</v>
      </c>
      <c r="E330" s="36" t="s">
        <v>757</v>
      </c>
      <c r="G330" s="61" t="s">
        <v>768</v>
      </c>
      <c r="P330" s="33">
        <v>3</v>
      </c>
      <c r="Q330" s="33">
        <v>3</v>
      </c>
      <c r="R330" s="33">
        <v>3</v>
      </c>
      <c r="AL330" s="6">
        <v>70000000</v>
      </c>
    </row>
    <row r="331" spans="1:61" ht="40.5" x14ac:dyDescent="0.15">
      <c r="A331" s="60" t="s">
        <v>766</v>
      </c>
      <c r="B331" s="5" t="s">
        <v>756</v>
      </c>
      <c r="C331" s="59"/>
      <c r="D331" s="5" t="s">
        <v>755</v>
      </c>
      <c r="E331" s="36" t="s">
        <v>758</v>
      </c>
      <c r="G331" s="61" t="s">
        <v>765</v>
      </c>
      <c r="AE331" s="31">
        <v>0.5</v>
      </c>
    </row>
    <row r="332" spans="1:61" ht="14.25" x14ac:dyDescent="0.15">
      <c r="A332" s="60" t="s">
        <v>754</v>
      </c>
      <c r="B332" s="5" t="s">
        <v>756</v>
      </c>
      <c r="C332" s="59"/>
      <c r="D332" s="5" t="s">
        <v>718</v>
      </c>
      <c r="E332" s="36" t="s">
        <v>759</v>
      </c>
      <c r="G332" s="62" t="s">
        <v>764</v>
      </c>
      <c r="AF332" s="31">
        <v>0.02</v>
      </c>
    </row>
  </sheetData>
  <sortState xmlns:xlrd2="http://schemas.microsoft.com/office/spreadsheetml/2017/richdata2" ref="A5:BP273">
    <sortCondition ref="E5:E273"/>
  </sortState>
  <phoneticPr fontId="12" type="noConversion"/>
  <conditionalFormatting sqref="F3:G3">
    <cfRule type="duplicateValues" dxfId="28" priority="46"/>
  </conditionalFormatting>
  <conditionalFormatting sqref="A282:A327 A110:A111 A217:A247 A274:A276 A264:A272 A102:A103 A251:A261">
    <cfRule type="duplicateValues" dxfId="27" priority="25"/>
  </conditionalFormatting>
  <conditionalFormatting sqref="E277">
    <cfRule type="duplicateValues" dxfId="26" priority="24"/>
  </conditionalFormatting>
  <conditionalFormatting sqref="E299">
    <cfRule type="duplicateValues" dxfId="25" priority="23"/>
  </conditionalFormatting>
  <conditionalFormatting sqref="E302">
    <cfRule type="duplicateValues" dxfId="24" priority="22"/>
  </conditionalFormatting>
  <conditionalFormatting sqref="E323">
    <cfRule type="duplicateValues" dxfId="23" priority="21"/>
  </conditionalFormatting>
  <conditionalFormatting sqref="E278">
    <cfRule type="duplicateValues" dxfId="22" priority="20"/>
  </conditionalFormatting>
  <conditionalFormatting sqref="E298">
    <cfRule type="duplicateValues" dxfId="21" priority="19"/>
  </conditionalFormatting>
  <conditionalFormatting sqref="E313">
    <cfRule type="duplicateValues" dxfId="20" priority="18"/>
  </conditionalFormatting>
  <conditionalFormatting sqref="E327">
    <cfRule type="duplicateValues" dxfId="19" priority="17"/>
  </conditionalFormatting>
  <conditionalFormatting sqref="E279">
    <cfRule type="duplicateValues" dxfId="18" priority="16"/>
  </conditionalFormatting>
  <conditionalFormatting sqref="E301">
    <cfRule type="duplicateValues" dxfId="17" priority="15"/>
  </conditionalFormatting>
  <conditionalFormatting sqref="E312">
    <cfRule type="duplicateValues" dxfId="16" priority="14"/>
  </conditionalFormatting>
  <conditionalFormatting sqref="E326">
    <cfRule type="duplicateValues" dxfId="15" priority="13"/>
  </conditionalFormatting>
  <conditionalFormatting sqref="E280">
    <cfRule type="duplicateValues" dxfId="14" priority="12"/>
  </conditionalFormatting>
  <conditionalFormatting sqref="E293">
    <cfRule type="duplicateValues" dxfId="13" priority="11"/>
  </conditionalFormatting>
  <conditionalFormatting sqref="E305">
    <cfRule type="duplicateValues" dxfId="12" priority="10"/>
  </conditionalFormatting>
  <conditionalFormatting sqref="E318">
    <cfRule type="duplicateValues" dxfId="11" priority="9"/>
  </conditionalFormatting>
  <conditionalFormatting sqref="E281">
    <cfRule type="duplicateValues" dxfId="10" priority="8"/>
  </conditionalFormatting>
  <conditionalFormatting sqref="E294">
    <cfRule type="duplicateValues" dxfId="9" priority="7"/>
  </conditionalFormatting>
  <conditionalFormatting sqref="E306">
    <cfRule type="duplicateValues" dxfId="8" priority="6"/>
  </conditionalFormatting>
  <conditionalFormatting sqref="E319">
    <cfRule type="duplicateValues" dxfId="7" priority="5"/>
  </conditionalFormatting>
  <conditionalFormatting sqref="E324">
    <cfRule type="duplicateValues" dxfId="6" priority="4"/>
  </conditionalFormatting>
  <conditionalFormatting sqref="E303 E274:E276 E325 E300 E314:E315 E295:E297 E307:E311 E320:E322 E282:E292 E317 E221:E272">
    <cfRule type="duplicateValues" dxfId="5" priority="73"/>
  </conditionalFormatting>
  <conditionalFormatting sqref="E304">
    <cfRule type="duplicateValues" dxfId="4" priority="3"/>
  </conditionalFormatting>
  <conditionalFormatting sqref="E316">
    <cfRule type="duplicateValues" dxfId="3" priority="2"/>
  </conditionalFormatting>
  <conditionalFormatting sqref="A280:A281 A262:A263 A273 A328:A329 A1:A101 A104:A109 A112:A216 A333:A1048576">
    <cfRule type="duplicateValues" dxfId="2" priority="161"/>
  </conditionalFormatting>
  <conditionalFormatting sqref="E328:E329 E273 E1:E101 E117:E220 E333:E1048576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0</xdr:col>
                    <xdr:colOff>781050</xdr:colOff>
                    <xdr:row>0</xdr:row>
                    <xdr:rowOff>0</xdr:rowOff>
                  </from>
                  <to>
                    <xdr:col>1</xdr:col>
                    <xdr:colOff>685800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60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61</v>
      </c>
      <c r="L322" s="1"/>
      <c r="M322" s="1"/>
    </row>
    <row r="323" spans="7:13" ht="14.25" x14ac:dyDescent="0.15">
      <c r="G323" s="1" t="s">
        <v>62</v>
      </c>
      <c r="H323" s="1"/>
      <c r="I323" s="1"/>
      <c r="J323" s="1"/>
      <c r="K323" s="1" t="s">
        <v>63</v>
      </c>
      <c r="L323" s="1"/>
      <c r="M323" s="1"/>
    </row>
    <row r="324" spans="7:13" ht="14.25" x14ac:dyDescent="0.15">
      <c r="G324" s="1" t="s">
        <v>64</v>
      </c>
      <c r="H324" s="1"/>
      <c r="I324" s="1"/>
      <c r="J324" s="1"/>
      <c r="K324" s="1" t="s">
        <v>65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66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68</v>
      </c>
    </row>
    <row r="341" spans="7:13" x14ac:dyDescent="0.15">
      <c r="G341" s="2" t="s">
        <v>69</v>
      </c>
    </row>
    <row r="343" spans="7:13" x14ac:dyDescent="0.15">
      <c r="G343" s="2" t="s">
        <v>70</v>
      </c>
    </row>
    <row r="344" spans="7:13" x14ac:dyDescent="0.15">
      <c r="G344" s="2" t="s">
        <v>71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2020-04-26T13:41:58Z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