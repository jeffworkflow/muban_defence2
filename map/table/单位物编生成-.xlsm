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ACFB8851-C650-4456-AD5D-465AA6BF64C5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自定义lni!$A$3:$AB$61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1" i="29" l="1"/>
  <c r="L60" i="29"/>
  <c r="L4" i="29"/>
  <c r="L12" i="29"/>
  <c r="L95" i="29" l="1"/>
  <c r="L94" i="29"/>
  <c r="L93" i="29"/>
  <c r="L92" i="29"/>
  <c r="P58" i="29" l="1"/>
  <c r="N58" i="29"/>
  <c r="O28" i="29"/>
  <c r="W91" i="29"/>
  <c r="W90" i="29"/>
  <c r="W89" i="29"/>
  <c r="W88" i="29"/>
  <c r="W87" i="29"/>
  <c r="T87" i="29"/>
  <c r="T68" i="29"/>
  <c r="T67" i="29"/>
  <c r="T66" i="29"/>
  <c r="T62" i="29"/>
  <c r="T63" i="29" l="1"/>
  <c r="T69" i="29"/>
  <c r="T64" i="29" l="1"/>
  <c r="T65" i="29"/>
  <c r="T70" i="29"/>
  <c r="T71" i="29" l="1"/>
  <c r="T88" i="29"/>
  <c r="T72" i="29" l="1"/>
  <c r="T73" i="29" l="1"/>
  <c r="T74" i="29" l="1"/>
  <c r="T75" i="29" l="1"/>
  <c r="T89" i="29" l="1"/>
  <c r="T76" i="29"/>
  <c r="T77" i="29" l="1"/>
  <c r="T78" i="29" l="1"/>
  <c r="T79" i="29" l="1"/>
  <c r="T80" i="29" l="1"/>
  <c r="T81" i="29" l="1"/>
  <c r="T90" i="29" l="1"/>
  <c r="T91" i="29"/>
  <c r="T82" i="29"/>
  <c r="T83" i="29" l="1"/>
  <c r="T84" i="29" l="1"/>
  <c r="T86" i="29" l="1"/>
  <c r="T85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P28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L59" i="29"/>
  <c r="L58" i="29"/>
  <c r="R57" i="29"/>
  <c r="S57" i="29"/>
  <c r="T57" i="29"/>
  <c r="U57" i="29"/>
  <c r="V57" i="29"/>
  <c r="W57" i="29"/>
  <c r="X57" i="29"/>
  <c r="Y57" i="29"/>
  <c r="Z57" i="29"/>
  <c r="AA57" i="29"/>
  <c r="Q57" i="29"/>
  <c r="O57" i="29"/>
  <c r="O58" i="29" s="1"/>
  <c r="P57" i="29"/>
  <c r="P59" i="29" s="1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R54" i="29"/>
  <c r="S54" i="29"/>
  <c r="T54" i="29"/>
  <c r="U54" i="29"/>
  <c r="V54" i="29"/>
  <c r="W54" i="29"/>
  <c r="X54" i="29"/>
  <c r="Y54" i="29"/>
  <c r="Z54" i="29"/>
  <c r="AA54" i="29"/>
  <c r="Q54" i="29"/>
  <c r="O54" i="29"/>
  <c r="P54" i="29"/>
  <c r="N54" i="29"/>
  <c r="O50" i="29"/>
  <c r="O51" i="29" s="1"/>
  <c r="O52" i="29" s="1"/>
  <c r="O53" i="29" s="1"/>
  <c r="P50" i="29"/>
  <c r="P51" i="29" s="1"/>
  <c r="P52" i="29" s="1"/>
  <c r="P53" i="29" s="1"/>
  <c r="N50" i="29"/>
  <c r="N51" i="29" s="1"/>
  <c r="N52" i="29" s="1"/>
  <c r="N53" i="29" s="1"/>
  <c r="N28" i="29"/>
  <c r="N33" i="29" s="1"/>
  <c r="L13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P15" i="29" l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N59" i="29"/>
  <c r="N60" i="29"/>
  <c r="N61" i="29" s="1"/>
  <c r="O59" i="29"/>
  <c r="O60" i="29"/>
  <c r="O61" i="29" s="1"/>
  <c r="N29" i="29"/>
  <c r="N34" i="29" s="1"/>
  <c r="P60" i="29"/>
  <c r="P61" i="29" s="1"/>
  <c r="P33" i="29"/>
  <c r="P29" i="29"/>
  <c r="N30" i="29" l="1"/>
  <c r="N35" i="29"/>
  <c r="N31" i="29"/>
  <c r="P34" i="29"/>
  <c r="P30" i="29"/>
  <c r="O33" i="29"/>
  <c r="O29" i="29"/>
  <c r="P35" i="29" l="1"/>
  <c r="P31" i="29"/>
  <c r="O34" i="29"/>
  <c r="O30" i="29"/>
  <c r="N36" i="29"/>
  <c r="N32" i="29"/>
  <c r="N37" i="29" s="1"/>
  <c r="P36" i="29" l="1"/>
  <c r="P32" i="29"/>
  <c r="P37" i="29" s="1"/>
  <c r="O35" i="29"/>
  <c r="O31" i="29"/>
  <c r="O36" i="29" l="1"/>
  <c r="O32" i="29"/>
  <c r="O37" i="29" s="1"/>
</calcChain>
</file>

<file path=xl/sharedStrings.xml><?xml version="1.0" encoding="utf-8"?>
<sst xmlns="http://schemas.openxmlformats.org/spreadsheetml/2006/main" count="752" uniqueCount="348">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</sst>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5"/>
  <sheetViews>
    <sheetView workbookViewId="0">
      <pane xSplit="1" ySplit="3" topLeftCell="B4" activePane="bottomRight" state="frozen"/>
      <selection pane="topRight"/>
      <selection pane="bottomLeft"/>
      <selection pane="bottomRight" activeCell="D73" sqref="D73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81</v>
      </c>
      <c r="B28" s="13" t="s">
        <v>82</v>
      </c>
      <c r="C28" s="35" t="s">
        <v>29</v>
      </c>
      <c r="D28" s="3" t="s">
        <v>37</v>
      </c>
      <c r="E28" s="9"/>
      <c r="F28" s="9"/>
      <c r="G28" s="9">
        <v>1.5</v>
      </c>
      <c r="I28" s="9">
        <v>60</v>
      </c>
      <c r="J28" s="9"/>
      <c r="K28" s="9"/>
      <c r="L28" s="9"/>
    </row>
    <row r="29" spans="1:12" ht="15" x14ac:dyDescent="0.15">
      <c r="A29" s="6" t="s">
        <v>83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1.55</v>
      </c>
      <c r="I29" s="9">
        <v>60</v>
      </c>
      <c r="J29" s="9"/>
      <c r="K29" s="9"/>
      <c r="L29" s="9"/>
    </row>
    <row r="30" spans="1:12" ht="15" x14ac:dyDescent="0.15">
      <c r="A30" s="6" t="s">
        <v>85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1.6</v>
      </c>
      <c r="I30" s="9">
        <v>60</v>
      </c>
      <c r="J30" s="9"/>
      <c r="K30" s="9"/>
      <c r="L30" s="9"/>
    </row>
    <row r="31" spans="1:12" ht="15" x14ac:dyDescent="0.15">
      <c r="A31" s="6" t="s">
        <v>87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1.65</v>
      </c>
      <c r="I31" s="9">
        <v>60</v>
      </c>
      <c r="J31" s="9"/>
      <c r="K31" s="9"/>
      <c r="L31" s="9"/>
    </row>
    <row r="32" spans="1:12" ht="15" x14ac:dyDescent="0.15">
      <c r="A32" s="6" t="s">
        <v>89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1.7</v>
      </c>
      <c r="I32" s="9">
        <v>60</v>
      </c>
      <c r="J32" s="9"/>
      <c r="K32" s="9"/>
      <c r="L32" s="9"/>
    </row>
    <row r="33" spans="1:12" ht="15" x14ac:dyDescent="0.15">
      <c r="A33" s="6" t="s">
        <v>91</v>
      </c>
      <c r="B33" s="13" t="s">
        <v>92</v>
      </c>
      <c r="C33" s="35" t="s">
        <v>29</v>
      </c>
      <c r="D33" s="3" t="s">
        <v>40</v>
      </c>
      <c r="E33" s="9"/>
      <c r="F33" s="9"/>
      <c r="G33" s="9">
        <v>1.5</v>
      </c>
      <c r="I33" s="9">
        <v>60</v>
      </c>
      <c r="J33" s="9"/>
      <c r="K33" s="9"/>
      <c r="L33" s="9"/>
    </row>
    <row r="34" spans="1:12" ht="15" x14ac:dyDescent="0.15">
      <c r="A34" s="6" t="s">
        <v>93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1.55</v>
      </c>
      <c r="I34" s="9">
        <v>60</v>
      </c>
      <c r="J34" s="9"/>
      <c r="K34" s="9"/>
      <c r="L34" s="9"/>
    </row>
    <row r="35" spans="1:12" ht="15" x14ac:dyDescent="0.15">
      <c r="A35" s="6" t="s">
        <v>95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1.6</v>
      </c>
      <c r="I35" s="9">
        <v>60</v>
      </c>
      <c r="J35" s="9"/>
      <c r="K35" s="9"/>
      <c r="L35" s="9"/>
    </row>
    <row r="36" spans="1:12" ht="15" x14ac:dyDescent="0.15">
      <c r="A36" s="6" t="s">
        <v>97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1.65</v>
      </c>
      <c r="I36" s="9">
        <v>60</v>
      </c>
      <c r="J36" s="9"/>
      <c r="K36" s="9"/>
      <c r="L36" s="9"/>
    </row>
    <row r="37" spans="1:12" ht="15" x14ac:dyDescent="0.15">
      <c r="A37" s="6" t="s">
        <v>99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1.7</v>
      </c>
      <c r="I37" s="9">
        <v>60</v>
      </c>
      <c r="J37" s="9"/>
      <c r="K37" s="9"/>
      <c r="L37" s="9"/>
    </row>
    <row r="38" spans="1:12" ht="15" x14ac:dyDescent="0.15">
      <c r="A38" s="12" t="s">
        <v>101</v>
      </c>
      <c r="B38" s="13" t="s">
        <v>102</v>
      </c>
      <c r="C38" s="12" t="s">
        <v>29</v>
      </c>
      <c r="D38" s="6"/>
      <c r="F38" s="3"/>
      <c r="G38" s="6">
        <v>0.8</v>
      </c>
      <c r="I38" s="9">
        <v>10</v>
      </c>
      <c r="J38" s="9"/>
      <c r="K38" s="9"/>
      <c r="L38" s="9"/>
    </row>
    <row r="39" spans="1:12" ht="15" x14ac:dyDescent="0.15">
      <c r="A39" s="12" t="s">
        <v>103</v>
      </c>
      <c r="B39" s="13" t="s">
        <v>104</v>
      </c>
      <c r="C39" s="12" t="s">
        <v>29</v>
      </c>
      <c r="D39" s="6" t="s">
        <v>105</v>
      </c>
      <c r="F39" s="3"/>
      <c r="G39" s="6">
        <v>0.7</v>
      </c>
      <c r="I39" s="9">
        <v>10</v>
      </c>
      <c r="J39" s="9"/>
      <c r="K39" s="9"/>
      <c r="L39" s="9"/>
    </row>
    <row r="40" spans="1:12" ht="15" x14ac:dyDescent="0.15">
      <c r="A40" s="12" t="s">
        <v>106</v>
      </c>
      <c r="B40" s="13" t="s">
        <v>107</v>
      </c>
      <c r="C40" s="12" t="s">
        <v>29</v>
      </c>
      <c r="D40" s="6" t="s">
        <v>105</v>
      </c>
      <c r="F40" s="3"/>
      <c r="G40" s="6">
        <v>0.8</v>
      </c>
      <c r="I40" s="9">
        <v>10</v>
      </c>
      <c r="J40" s="9"/>
      <c r="K40" s="9"/>
      <c r="L40" s="9"/>
    </row>
    <row r="41" spans="1:12" ht="15" x14ac:dyDescent="0.15">
      <c r="A41" s="12" t="s">
        <v>108</v>
      </c>
      <c r="B41" s="13" t="s">
        <v>109</v>
      </c>
      <c r="C41" s="12" t="s">
        <v>29</v>
      </c>
      <c r="D41" s="6" t="s">
        <v>105</v>
      </c>
      <c r="F41" s="3"/>
      <c r="G41" s="6">
        <v>1</v>
      </c>
      <c r="I41" s="9">
        <v>10</v>
      </c>
      <c r="J41" s="9"/>
      <c r="K41" s="9"/>
      <c r="L41" s="9"/>
    </row>
    <row r="42" spans="1:12" ht="15" x14ac:dyDescent="0.15">
      <c r="A42" s="12" t="s">
        <v>110</v>
      </c>
      <c r="B42" s="13" t="s">
        <v>111</v>
      </c>
      <c r="C42" s="12" t="s">
        <v>112</v>
      </c>
      <c r="D42" s="6"/>
      <c r="F42" s="3"/>
      <c r="G42" s="6">
        <v>0.7</v>
      </c>
      <c r="I42" s="9">
        <v>10</v>
      </c>
      <c r="J42" s="9"/>
      <c r="K42" s="9"/>
      <c r="L42" s="9"/>
    </row>
    <row r="43" spans="1:12" ht="15" x14ac:dyDescent="0.15">
      <c r="A43" s="12" t="s">
        <v>113</v>
      </c>
      <c r="B43" s="13" t="s">
        <v>114</v>
      </c>
      <c r="C43" s="12" t="s">
        <v>112</v>
      </c>
      <c r="D43" s="6"/>
      <c r="F43" s="3"/>
      <c r="G43" s="6">
        <v>0.8</v>
      </c>
      <c r="I43" s="9">
        <v>10</v>
      </c>
      <c r="J43" s="9"/>
      <c r="K43" s="9"/>
      <c r="L43" s="9"/>
    </row>
    <row r="44" spans="1:12" ht="15" x14ac:dyDescent="0.15">
      <c r="A44" s="12" t="s">
        <v>115</v>
      </c>
      <c r="B44" s="13" t="s">
        <v>116</v>
      </c>
      <c r="C44" s="12" t="s">
        <v>112</v>
      </c>
      <c r="D44" s="6"/>
      <c r="F44" s="3"/>
      <c r="G44" s="6">
        <v>0.85</v>
      </c>
      <c r="I44" s="9">
        <v>10</v>
      </c>
      <c r="J44" s="9"/>
      <c r="K44" s="9"/>
      <c r="L44" s="9"/>
    </row>
    <row r="45" spans="1:12" ht="15" x14ac:dyDescent="0.15">
      <c r="A45" s="12" t="s">
        <v>117</v>
      </c>
      <c r="B45" s="13" t="s">
        <v>118</v>
      </c>
      <c r="C45" s="12" t="s">
        <v>112</v>
      </c>
      <c r="D45" s="6"/>
      <c r="F45" s="3"/>
      <c r="G45" s="6">
        <v>0.9</v>
      </c>
      <c r="I45" s="9">
        <v>10</v>
      </c>
      <c r="J45" s="9"/>
      <c r="K45" s="9"/>
      <c r="L45" s="9"/>
    </row>
    <row r="46" spans="1:12" ht="15" x14ac:dyDescent="0.15">
      <c r="A46" s="12" t="s">
        <v>119</v>
      </c>
      <c r="B46" s="13" t="s">
        <v>120</v>
      </c>
      <c r="C46" s="12" t="s">
        <v>121</v>
      </c>
      <c r="D46" s="6"/>
      <c r="F46" s="3"/>
      <c r="G46" s="6">
        <v>0.7</v>
      </c>
      <c r="I46" s="9">
        <v>10</v>
      </c>
      <c r="J46" s="9"/>
      <c r="K46" s="9"/>
      <c r="L46" s="9"/>
    </row>
    <row r="47" spans="1:12" ht="15" x14ac:dyDescent="0.15">
      <c r="A47" s="12" t="s">
        <v>122</v>
      </c>
      <c r="B47" s="13" t="s">
        <v>123</v>
      </c>
      <c r="C47" s="12" t="s">
        <v>121</v>
      </c>
      <c r="D47" s="6"/>
      <c r="F47" s="3"/>
      <c r="G47" s="6">
        <v>0.8</v>
      </c>
      <c r="I47" s="9">
        <v>10</v>
      </c>
      <c r="J47" s="9"/>
      <c r="K47" s="9"/>
      <c r="L47" s="9"/>
    </row>
    <row r="48" spans="1:12" ht="15" x14ac:dyDescent="0.15">
      <c r="A48" s="12" t="s">
        <v>124</v>
      </c>
      <c r="B48" s="13" t="s">
        <v>125</v>
      </c>
      <c r="C48" s="12" t="s">
        <v>121</v>
      </c>
      <c r="D48" s="36"/>
      <c r="F48" s="3"/>
      <c r="G48" s="6">
        <v>0.85</v>
      </c>
      <c r="I48" s="9">
        <v>10</v>
      </c>
      <c r="J48" s="9"/>
      <c r="K48" s="9"/>
      <c r="L48" s="9"/>
    </row>
    <row r="49" spans="1:12" ht="15" x14ac:dyDescent="0.15">
      <c r="A49" s="12" t="s">
        <v>227</v>
      </c>
      <c r="B49" s="13" t="s">
        <v>126</v>
      </c>
      <c r="C49" s="12" t="s">
        <v>29</v>
      </c>
      <c r="D49" s="36" t="s">
        <v>232</v>
      </c>
      <c r="F49" s="3"/>
      <c r="G49" s="9">
        <v>1.4</v>
      </c>
      <c r="H49" s="9"/>
      <c r="I49" s="9">
        <v>10</v>
      </c>
      <c r="J49" s="9"/>
      <c r="K49" s="9"/>
      <c r="L49" s="9"/>
    </row>
    <row r="50" spans="1:12" ht="15" x14ac:dyDescent="0.15">
      <c r="A50" s="12" t="s">
        <v>228</v>
      </c>
      <c r="B50" s="13" t="s">
        <v>127</v>
      </c>
      <c r="C50" s="12" t="s">
        <v>29</v>
      </c>
      <c r="D50" s="36" t="s">
        <v>232</v>
      </c>
      <c r="F50" s="3"/>
      <c r="G50" s="9">
        <v>1.45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229</v>
      </c>
      <c r="B51" s="13" t="s">
        <v>128</v>
      </c>
      <c r="C51" s="12" t="s">
        <v>29</v>
      </c>
      <c r="D51" s="36" t="s">
        <v>232</v>
      </c>
      <c r="F51" s="3"/>
      <c r="G51" s="9">
        <v>1.5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230</v>
      </c>
      <c r="B52" s="13" t="s">
        <v>129</v>
      </c>
      <c r="C52" s="12" t="s">
        <v>29</v>
      </c>
      <c r="D52" s="36" t="s">
        <v>232</v>
      </c>
      <c r="F52" s="3"/>
      <c r="G52" s="9">
        <v>1.55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231</v>
      </c>
      <c r="B53" s="13" t="s">
        <v>130</v>
      </c>
      <c r="C53" s="12" t="s">
        <v>29</v>
      </c>
      <c r="D53" s="36" t="s">
        <v>232</v>
      </c>
      <c r="E53" s="9"/>
      <c r="F53" s="9"/>
      <c r="G53" s="9">
        <v>1.6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234</v>
      </c>
      <c r="B54" s="13" t="s">
        <v>131</v>
      </c>
      <c r="C54" s="12" t="s">
        <v>240</v>
      </c>
      <c r="D54" s="36"/>
      <c r="E54" s="9"/>
      <c r="F54" s="9"/>
      <c r="G54" s="9">
        <v>1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235</v>
      </c>
      <c r="B55" s="13" t="s">
        <v>132</v>
      </c>
      <c r="C55" s="12" t="s">
        <v>238</v>
      </c>
      <c r="D55" s="36"/>
      <c r="E55" s="9"/>
      <c r="F55" s="9"/>
      <c r="G55" s="9">
        <v>1</v>
      </c>
      <c r="I55" s="9">
        <v>10</v>
      </c>
      <c r="J55" s="9"/>
      <c r="K55" s="9"/>
      <c r="L55" s="9"/>
    </row>
    <row r="56" spans="1:12" ht="15" x14ac:dyDescent="0.15">
      <c r="A56" s="12" t="s">
        <v>236</v>
      </c>
      <c r="B56" s="13" t="s">
        <v>133</v>
      </c>
      <c r="C56" s="12" t="s">
        <v>239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237</v>
      </c>
      <c r="B57" s="13" t="s">
        <v>134</v>
      </c>
      <c r="C57" s="12" t="s">
        <v>239</v>
      </c>
      <c r="D57" s="36"/>
      <c r="E57" s="9"/>
      <c r="F57" s="9"/>
      <c r="G57" s="9">
        <v>1.2</v>
      </c>
      <c r="I57" s="9">
        <v>10</v>
      </c>
      <c r="J57" s="9"/>
      <c r="K57" s="9"/>
      <c r="L57" s="9"/>
    </row>
    <row r="58" spans="1:12" ht="15" x14ac:dyDescent="0.15">
      <c r="A58" s="12" t="s">
        <v>241</v>
      </c>
      <c r="B58" s="13" t="s">
        <v>135</v>
      </c>
      <c r="C58" s="12" t="s">
        <v>29</v>
      </c>
      <c r="D58" s="36" t="s">
        <v>245</v>
      </c>
      <c r="E58" s="9"/>
      <c r="F58" s="9"/>
      <c r="G58" s="9">
        <v>1</v>
      </c>
      <c r="I58" s="9">
        <v>60</v>
      </c>
      <c r="J58" s="9"/>
      <c r="K58" s="9"/>
      <c r="L58" s="9"/>
    </row>
    <row r="59" spans="1:12" ht="15" x14ac:dyDescent="0.15">
      <c r="A59" s="12" t="s">
        <v>242</v>
      </c>
      <c r="B59" s="13" t="s">
        <v>136</v>
      </c>
      <c r="C59" s="12" t="s">
        <v>29</v>
      </c>
      <c r="D59" s="36" t="s">
        <v>246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243</v>
      </c>
      <c r="B60" s="13" t="s">
        <v>137</v>
      </c>
      <c r="C60" s="12" t="s">
        <v>121</v>
      </c>
      <c r="D60" s="36" t="s">
        <v>247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244</v>
      </c>
      <c r="B61" s="13" t="s">
        <v>138</v>
      </c>
      <c r="C61" s="12" t="s">
        <v>29</v>
      </c>
      <c r="D61" s="36" t="s">
        <v>139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303</v>
      </c>
      <c r="B62" s="13" t="s">
        <v>261</v>
      </c>
      <c r="C62" s="35" t="s">
        <v>304</v>
      </c>
      <c r="D62" s="9"/>
      <c r="E62" s="9"/>
      <c r="F62" s="9"/>
      <c r="G62" s="9">
        <v>1</v>
      </c>
      <c r="H62" s="9"/>
      <c r="I62" s="9">
        <v>10</v>
      </c>
    </row>
    <row r="63" spans="1:12" ht="15" x14ac:dyDescent="0.15">
      <c r="A63" s="12" t="s">
        <v>248</v>
      </c>
      <c r="B63" s="13" t="s">
        <v>262</v>
      </c>
      <c r="C63" s="35" t="s">
        <v>291</v>
      </c>
      <c r="D63" s="9"/>
      <c r="F63" s="3"/>
      <c r="G63" s="9">
        <v>1</v>
      </c>
      <c r="I63" s="9">
        <v>10</v>
      </c>
    </row>
    <row r="64" spans="1:12" ht="15" x14ac:dyDescent="0.15">
      <c r="A64" s="12" t="s">
        <v>309</v>
      </c>
      <c r="B64" s="13" t="s">
        <v>263</v>
      </c>
      <c r="C64" s="35" t="s">
        <v>308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310</v>
      </c>
      <c r="B65" s="13" t="s">
        <v>264</v>
      </c>
      <c r="C65" s="35" t="s">
        <v>311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249</v>
      </c>
      <c r="B66" s="13" t="s">
        <v>265</v>
      </c>
      <c r="C66" s="35" t="s">
        <v>292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305</v>
      </c>
      <c r="B67" s="13" t="s">
        <v>266</v>
      </c>
      <c r="C67" s="35" t="s">
        <v>346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250</v>
      </c>
      <c r="B68" s="13" t="s">
        <v>267</v>
      </c>
      <c r="C68" s="35" t="s">
        <v>347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251</v>
      </c>
      <c r="B69" s="13" t="s">
        <v>268</v>
      </c>
      <c r="C69" s="35" t="s">
        <v>293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252</v>
      </c>
      <c r="B70" s="13" t="s">
        <v>269</v>
      </c>
      <c r="C70" s="35" t="s">
        <v>294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313</v>
      </c>
      <c r="B71" s="13" t="s">
        <v>270</v>
      </c>
      <c r="C71" s="35" t="s">
        <v>312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307</v>
      </c>
      <c r="B72" s="13" t="s">
        <v>271</v>
      </c>
      <c r="C72" s="35" t="s">
        <v>306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253</v>
      </c>
      <c r="B73" s="13" t="s">
        <v>272</v>
      </c>
      <c r="C73" s="35" t="s">
        <v>295</v>
      </c>
      <c r="D73" s="9"/>
      <c r="F73" s="3"/>
      <c r="G73" s="9">
        <v>1</v>
      </c>
      <c r="I73" s="9">
        <v>10</v>
      </c>
    </row>
    <row r="74" spans="1:9" ht="15" x14ac:dyDescent="0.15">
      <c r="A74" s="12" t="s">
        <v>254</v>
      </c>
      <c r="B74" s="13" t="s">
        <v>273</v>
      </c>
      <c r="C74" s="35" t="s">
        <v>296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255</v>
      </c>
      <c r="B75" s="13" t="s">
        <v>274</v>
      </c>
      <c r="C75" s="35" t="s">
        <v>297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314</v>
      </c>
      <c r="B76" s="13" t="s">
        <v>275</v>
      </c>
      <c r="C76" s="35" t="s">
        <v>315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256</v>
      </c>
      <c r="B77" s="13" t="s">
        <v>276</v>
      </c>
      <c r="C77" s="35" t="s">
        <v>298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257</v>
      </c>
      <c r="B78" s="13" t="s">
        <v>277</v>
      </c>
      <c r="C78" s="35" t="s">
        <v>299</v>
      </c>
      <c r="D78" s="9"/>
      <c r="F78" s="3"/>
      <c r="G78" s="9">
        <v>0.8</v>
      </c>
      <c r="I78" s="9">
        <v>10</v>
      </c>
    </row>
    <row r="79" spans="1:9" ht="15" x14ac:dyDescent="0.15">
      <c r="A79" s="12" t="s">
        <v>316</v>
      </c>
      <c r="B79" s="13" t="s">
        <v>278</v>
      </c>
      <c r="C79" s="35" t="s">
        <v>317</v>
      </c>
      <c r="D79" s="9"/>
      <c r="F79" s="3"/>
      <c r="G79" s="9">
        <v>0.7</v>
      </c>
      <c r="I79" s="9">
        <v>10</v>
      </c>
    </row>
    <row r="80" spans="1:9" ht="15" x14ac:dyDescent="0.15">
      <c r="A80" s="12" t="s">
        <v>258</v>
      </c>
      <c r="B80" s="13" t="s">
        <v>279</v>
      </c>
      <c r="C80" s="35" t="s">
        <v>300</v>
      </c>
      <c r="D80" s="9"/>
      <c r="F80" s="3"/>
      <c r="G80" s="9">
        <v>0.8</v>
      </c>
      <c r="I80" s="9">
        <v>10</v>
      </c>
    </row>
    <row r="81" spans="1:9" ht="15" x14ac:dyDescent="0.15">
      <c r="A81" s="12" t="s">
        <v>319</v>
      </c>
      <c r="B81" s="13" t="s">
        <v>280</v>
      </c>
      <c r="C81" s="35" t="s">
        <v>318</v>
      </c>
      <c r="D81" s="9"/>
      <c r="F81" s="3"/>
      <c r="G81" s="9">
        <v>1</v>
      </c>
      <c r="I81" s="9">
        <v>10</v>
      </c>
    </row>
    <row r="82" spans="1:9" ht="15" x14ac:dyDescent="0.15">
      <c r="A82" s="12" t="s">
        <v>259</v>
      </c>
      <c r="B82" s="13" t="s">
        <v>281</v>
      </c>
      <c r="C82" s="35" t="s">
        <v>301</v>
      </c>
      <c r="D82" s="9"/>
      <c r="F82" s="3"/>
      <c r="G82" s="9">
        <v>0.5</v>
      </c>
      <c r="I82" s="9">
        <v>10</v>
      </c>
    </row>
    <row r="83" spans="1:9" ht="15" x14ac:dyDescent="0.15">
      <c r="A83" s="12" t="s">
        <v>320</v>
      </c>
      <c r="B83" s="13" t="s">
        <v>282</v>
      </c>
      <c r="C83" s="35" t="s">
        <v>321</v>
      </c>
      <c r="D83" s="9"/>
      <c r="F83" s="3"/>
      <c r="G83" s="9">
        <v>0.8</v>
      </c>
      <c r="I83" s="9">
        <v>10</v>
      </c>
    </row>
    <row r="84" spans="1:9" ht="15" x14ac:dyDescent="0.15">
      <c r="A84" s="12" t="s">
        <v>260</v>
      </c>
      <c r="B84" s="13" t="s">
        <v>283</v>
      </c>
      <c r="C84" s="35" t="s">
        <v>302</v>
      </c>
      <c r="D84" s="9"/>
      <c r="F84" s="3"/>
      <c r="G84" s="9">
        <v>0.7</v>
      </c>
      <c r="I84" s="9">
        <v>10</v>
      </c>
    </row>
    <row r="85" spans="1:9" ht="15" x14ac:dyDescent="0.15">
      <c r="A85" s="12" t="s">
        <v>323</v>
      </c>
      <c r="B85" s="13" t="s">
        <v>284</v>
      </c>
      <c r="C85" s="35" t="s">
        <v>322</v>
      </c>
      <c r="D85" s="9"/>
      <c r="F85" s="3"/>
      <c r="G85" s="9">
        <v>0.8</v>
      </c>
      <c r="I85" s="9">
        <v>10</v>
      </c>
    </row>
    <row r="86" spans="1:9" ht="15" x14ac:dyDescent="0.15">
      <c r="A86" s="12" t="s">
        <v>324</v>
      </c>
      <c r="B86" s="13" t="s">
        <v>285</v>
      </c>
      <c r="C86" s="35" t="s">
        <v>345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326</v>
      </c>
      <c r="B87" s="13" t="s">
        <v>286</v>
      </c>
      <c r="C87" s="35" t="s">
        <v>29</v>
      </c>
      <c r="D87" s="6" t="s">
        <v>325</v>
      </c>
      <c r="F87" s="3"/>
      <c r="G87" s="6">
        <v>1.5</v>
      </c>
      <c r="I87" s="6">
        <v>60</v>
      </c>
    </row>
    <row r="88" spans="1:9" ht="15" x14ac:dyDescent="0.15">
      <c r="A88" s="12" t="s">
        <v>332</v>
      </c>
      <c r="B88" s="13" t="s">
        <v>287</v>
      </c>
      <c r="C88" s="35" t="s">
        <v>29</v>
      </c>
      <c r="D88" s="44" t="s">
        <v>327</v>
      </c>
      <c r="F88" s="3"/>
      <c r="G88" s="44">
        <v>2.2000000000000002</v>
      </c>
      <c r="I88" s="6">
        <v>60</v>
      </c>
    </row>
    <row r="89" spans="1:9" ht="15" x14ac:dyDescent="0.15">
      <c r="A89" s="45" t="s">
        <v>333</v>
      </c>
      <c r="B89" s="13" t="s">
        <v>288</v>
      </c>
      <c r="C89" s="35" t="s">
        <v>29</v>
      </c>
      <c r="D89" s="6" t="s">
        <v>328</v>
      </c>
      <c r="F89" s="3"/>
      <c r="G89" s="44">
        <v>2.2000000000000002</v>
      </c>
      <c r="I89" s="6">
        <v>60</v>
      </c>
    </row>
    <row r="90" spans="1:9" ht="15" x14ac:dyDescent="0.15">
      <c r="A90" s="43" t="s">
        <v>330</v>
      </c>
      <c r="B90" s="13" t="s">
        <v>289</v>
      </c>
      <c r="C90" s="35" t="s">
        <v>29</v>
      </c>
      <c r="D90" s="44" t="s">
        <v>329</v>
      </c>
      <c r="F90" s="3"/>
      <c r="G90" s="44">
        <v>4.8</v>
      </c>
      <c r="I90" s="6">
        <v>60</v>
      </c>
    </row>
    <row r="91" spans="1:9" ht="15" x14ac:dyDescent="0.15">
      <c r="A91" s="43" t="s">
        <v>334</v>
      </c>
      <c r="B91" s="13" t="s">
        <v>290</v>
      </c>
      <c r="C91" s="35" t="s">
        <v>29</v>
      </c>
      <c r="D91" s="6" t="s">
        <v>331</v>
      </c>
      <c r="F91" s="3"/>
      <c r="G91" s="6">
        <v>2</v>
      </c>
      <c r="I91" s="6">
        <v>60</v>
      </c>
    </row>
    <row r="92" spans="1:9" ht="15" x14ac:dyDescent="0.15">
      <c r="A92" s="47" t="s">
        <v>335</v>
      </c>
      <c r="B92" s="13" t="s">
        <v>339</v>
      </c>
      <c r="C92" s="35" t="s">
        <v>29</v>
      </c>
      <c r="D92" s="3" t="s">
        <v>343</v>
      </c>
      <c r="G92" s="44">
        <v>0.7</v>
      </c>
      <c r="I92" s="6">
        <v>60</v>
      </c>
    </row>
    <row r="93" spans="1:9" ht="15" x14ac:dyDescent="0.15">
      <c r="A93" s="47" t="s">
        <v>336</v>
      </c>
      <c r="B93" s="13" t="s">
        <v>340</v>
      </c>
      <c r="C93" s="35" t="s">
        <v>29</v>
      </c>
      <c r="D93" s="3" t="s">
        <v>342</v>
      </c>
      <c r="G93" s="44">
        <v>0.8</v>
      </c>
      <c r="I93" s="6">
        <v>60</v>
      </c>
    </row>
    <row r="94" spans="1:9" ht="15" x14ac:dyDescent="0.15">
      <c r="A94" s="47" t="s">
        <v>337</v>
      </c>
      <c r="B94" s="13" t="s">
        <v>341</v>
      </c>
      <c r="C94" s="35" t="s">
        <v>29</v>
      </c>
      <c r="D94" s="3" t="s">
        <v>342</v>
      </c>
      <c r="G94" s="44">
        <v>0.9</v>
      </c>
      <c r="I94" s="6">
        <v>60</v>
      </c>
    </row>
    <row r="95" spans="1:9" ht="15" x14ac:dyDescent="0.15">
      <c r="A95" s="47" t="s">
        <v>338</v>
      </c>
      <c r="B95" s="13" t="s">
        <v>344</v>
      </c>
      <c r="C95" s="35" t="s">
        <v>29</v>
      </c>
      <c r="D95" s="3" t="s">
        <v>342</v>
      </c>
      <c r="G95">
        <v>1</v>
      </c>
      <c r="I95" s="6">
        <v>60</v>
      </c>
    </row>
  </sheetData>
  <phoneticPr fontId="9" type="noConversion"/>
  <conditionalFormatting sqref="D4:D7">
    <cfRule type="duplicateValues" dxfId="3" priority="4"/>
  </conditionalFormatting>
  <conditionalFormatting sqref="D14:D27">
    <cfRule type="duplicateValues" dxfId="2" priority="3"/>
  </conditionalFormatting>
  <conditionalFormatting sqref="D38:D61">
    <cfRule type="duplicateValues" dxfId="1" priority="2"/>
  </conditionalFormatting>
  <conditionalFormatting sqref="D62:D9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5"/>
  <sheetViews>
    <sheetView tabSelected="1" workbookViewId="0">
      <pane ySplit="3" topLeftCell="A4" activePane="bottomLeft" state="frozen"/>
      <selection pane="bottomLeft" activeCell="G14" sqref="G14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59.2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'"&amp;A4&amp;"*15',1,nil,1 },
{'zxzw2', '"&amp;A4&amp;"*15',1,nil,1 },
{'zxzw3', '"&amp;A4&amp;"*15',1,nil,1 }
}"</f>
        <v>{{'zxzw1', '血魔*15',1,nil,1 },
{'zxzw2', '血魔*15',1,nil,1 },
{'zxzw3', '血魔*15',1,nil,1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7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81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N14*1.25</f>
        <v>50000</v>
      </c>
      <c r="O28" s="27">
        <f t="shared" ref="O28:P28" si="20">O14*1.25</f>
        <v>4.375</v>
      </c>
      <c r="P28" s="27">
        <f t="shared" si="20"/>
        <v>187500</v>
      </c>
      <c r="Q28" s="27">
        <v>100</v>
      </c>
      <c r="R28" s="27">
        <v>350</v>
      </c>
      <c r="S28" s="31">
        <v>1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83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N28*2</f>
        <v>100000</v>
      </c>
      <c r="O29" s="27">
        <f t="shared" ref="O29:P32" si="21">O28*2</f>
        <v>8.75</v>
      </c>
      <c r="P29" s="27">
        <f t="shared" si="21"/>
        <v>375000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85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200000</v>
      </c>
      <c r="O30" s="27">
        <f t="shared" si="21"/>
        <v>17.5</v>
      </c>
      <c r="P30" s="27">
        <f t="shared" si="21"/>
        <v>750000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87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 t="shared" ref="N31:N32" si="22">N30*2</f>
        <v>400000</v>
      </c>
      <c r="O31" s="27">
        <f t="shared" si="21"/>
        <v>35</v>
      </c>
      <c r="P31" s="27">
        <f t="shared" si="21"/>
        <v>1500000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89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si="22"/>
        <v>800000</v>
      </c>
      <c r="O32" s="27">
        <f t="shared" si="21"/>
        <v>70</v>
      </c>
      <c r="P32" s="27">
        <f t="shared" si="21"/>
        <v>3000000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91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>N28</f>
        <v>50000</v>
      </c>
      <c r="O33" s="27">
        <f t="shared" ref="O33:P33" si="23">O28</f>
        <v>4.375</v>
      </c>
      <c r="P33" s="27">
        <f t="shared" si="23"/>
        <v>187500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93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 t="shared" ref="N34:P37" si="24">N29</f>
        <v>100000</v>
      </c>
      <c r="O34" s="27">
        <f t="shared" si="24"/>
        <v>8.75</v>
      </c>
      <c r="P34" s="27">
        <f t="shared" si="24"/>
        <v>375000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95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si="24"/>
        <v>200000</v>
      </c>
      <c r="O35" s="27">
        <f t="shared" si="24"/>
        <v>17.5</v>
      </c>
      <c r="P35" s="27">
        <f t="shared" si="24"/>
        <v>750000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97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400000</v>
      </c>
      <c r="O36" s="27">
        <f t="shared" si="24"/>
        <v>35</v>
      </c>
      <c r="P36" s="27">
        <f t="shared" si="24"/>
        <v>1500000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99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800000</v>
      </c>
      <c r="O37" s="27">
        <f t="shared" si="24"/>
        <v>70</v>
      </c>
      <c r="P37" s="27">
        <f t="shared" si="24"/>
        <v>3000000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12" t="s">
        <v>101</v>
      </c>
      <c r="B38" s="13" t="s">
        <v>102</v>
      </c>
      <c r="C38" s="7" t="s">
        <v>224</v>
      </c>
      <c r="D38" s="1"/>
      <c r="E38" s="1"/>
      <c r="F38" s="14">
        <v>10</v>
      </c>
      <c r="G38" s="14"/>
      <c r="H38" s="14"/>
      <c r="I38" s="14">
        <v>500</v>
      </c>
      <c r="J38" s="24">
        <v>0.1</v>
      </c>
      <c r="K38" s="21" t="s">
        <v>225</v>
      </c>
      <c r="L38" s="1"/>
      <c r="M38" s="26"/>
      <c r="N38" s="27">
        <v>60</v>
      </c>
      <c r="O38" s="27">
        <v>3.375</v>
      </c>
      <c r="P38" s="27">
        <v>3000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10</v>
      </c>
      <c r="X38" s="15">
        <v>20</v>
      </c>
      <c r="Y38" s="15">
        <v>100</v>
      </c>
      <c r="Z38" s="15">
        <v>0</v>
      </c>
      <c r="AA38" s="15">
        <v>0</v>
      </c>
    </row>
    <row r="39" spans="1:27" ht="15" x14ac:dyDescent="0.15">
      <c r="A39" s="12" t="s">
        <v>103</v>
      </c>
      <c r="B39" s="13" t="s">
        <v>104</v>
      </c>
      <c r="C39" s="7" t="s">
        <v>224</v>
      </c>
      <c r="D39" s="1"/>
      <c r="E39" s="1"/>
      <c r="F39" s="14">
        <v>500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60000</v>
      </c>
      <c r="O39" s="27">
        <v>16.875</v>
      </c>
      <c r="P39" s="27">
        <v>240000</v>
      </c>
      <c r="Q39" s="27">
        <v>100</v>
      </c>
      <c r="R39" s="27">
        <v>360</v>
      </c>
      <c r="S39" s="31">
        <v>1</v>
      </c>
      <c r="T39" s="27">
        <v>200</v>
      </c>
      <c r="U39" s="29">
        <v>0</v>
      </c>
      <c r="V39" s="27">
        <v>200</v>
      </c>
      <c r="W39" s="27">
        <v>30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106</v>
      </c>
      <c r="B40" s="13" t="s">
        <v>107</v>
      </c>
      <c r="C40" s="7" t="s">
        <v>224</v>
      </c>
      <c r="D40" s="1"/>
      <c r="E40" s="1"/>
      <c r="F40" s="14">
        <v>1750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240000</v>
      </c>
      <c r="O40" s="27">
        <v>42.1875</v>
      </c>
      <c r="P40" s="27">
        <v>1200000</v>
      </c>
      <c r="Q40" s="27">
        <v>1000</v>
      </c>
      <c r="R40" s="27">
        <v>370</v>
      </c>
      <c r="S40" s="31">
        <v>1</v>
      </c>
      <c r="T40" s="27">
        <v>800</v>
      </c>
      <c r="U40" s="29">
        <v>0</v>
      </c>
      <c r="V40" s="27">
        <v>200</v>
      </c>
      <c r="W40" s="27">
        <v>50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108</v>
      </c>
      <c r="B41" s="13" t="s">
        <v>109</v>
      </c>
      <c r="C41" s="7" t="s">
        <v>224</v>
      </c>
      <c r="D41" s="1"/>
      <c r="E41" s="1"/>
      <c r="F41" s="14">
        <v>5000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1200000</v>
      </c>
      <c r="O41" s="27">
        <v>63.28125</v>
      </c>
      <c r="P41" s="27">
        <v>4800000</v>
      </c>
      <c r="Q41" s="27">
        <v>10000</v>
      </c>
      <c r="R41" s="27">
        <v>380</v>
      </c>
      <c r="S41" s="31">
        <v>1</v>
      </c>
      <c r="T41" s="27">
        <v>2640</v>
      </c>
      <c r="U41" s="29">
        <v>0</v>
      </c>
      <c r="V41" s="27">
        <v>200</v>
      </c>
      <c r="W41" s="27">
        <v>70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110</v>
      </c>
      <c r="B42" s="13" t="s">
        <v>111</v>
      </c>
      <c r="C42" s="7" t="s">
        <v>224</v>
      </c>
      <c r="D42" s="1"/>
      <c r="E42" s="1"/>
      <c r="F42" s="15"/>
      <c r="G42" s="17">
        <v>1.25</v>
      </c>
      <c r="H42" s="15"/>
      <c r="I42" s="14">
        <v>500</v>
      </c>
      <c r="J42" s="24">
        <v>0.1</v>
      </c>
      <c r="K42" s="21" t="s">
        <v>225</v>
      </c>
      <c r="L42" s="1"/>
      <c r="M42" s="26"/>
      <c r="N42" s="27">
        <v>6000000</v>
      </c>
      <c r="O42" s="27">
        <v>189.84375</v>
      </c>
      <c r="P42" s="27">
        <v>9600000</v>
      </c>
      <c r="Q42" s="27">
        <v>10000</v>
      </c>
      <c r="R42" s="27">
        <v>390</v>
      </c>
      <c r="S42" s="31">
        <v>1</v>
      </c>
      <c r="T42" s="27">
        <v>5940</v>
      </c>
      <c r="U42" s="29">
        <v>0</v>
      </c>
      <c r="V42" s="27">
        <v>200</v>
      </c>
      <c r="W42" s="27">
        <v>90</v>
      </c>
      <c r="X42" s="27">
        <v>20</v>
      </c>
      <c r="Y42" s="27">
        <v>500</v>
      </c>
      <c r="Z42" s="15">
        <v>0</v>
      </c>
      <c r="AA42" s="15">
        <v>0</v>
      </c>
    </row>
    <row r="43" spans="1:27" ht="14.25" customHeight="1" x14ac:dyDescent="0.15">
      <c r="A43" s="12" t="s">
        <v>113</v>
      </c>
      <c r="B43" s="13" t="s">
        <v>114</v>
      </c>
      <c r="C43" s="7" t="s">
        <v>224</v>
      </c>
      <c r="D43" s="1"/>
      <c r="E43" s="1"/>
      <c r="F43" s="15"/>
      <c r="G43" s="18">
        <v>3</v>
      </c>
      <c r="H43" s="14"/>
      <c r="I43" s="14">
        <v>500</v>
      </c>
      <c r="J43" s="24">
        <v>0.1</v>
      </c>
      <c r="K43" s="21" t="s">
        <v>225</v>
      </c>
      <c r="L43" s="1"/>
      <c r="M43" s="26"/>
      <c r="N43" s="27">
        <v>24000000</v>
      </c>
      <c r="O43" s="27">
        <v>759.375</v>
      </c>
      <c r="P43" s="27">
        <v>38400000</v>
      </c>
      <c r="Q43" s="27">
        <v>10000</v>
      </c>
      <c r="R43" s="27">
        <v>400</v>
      </c>
      <c r="S43" s="31">
        <v>0.9</v>
      </c>
      <c r="T43" s="27">
        <v>10810.8</v>
      </c>
      <c r="U43" s="29">
        <v>0</v>
      </c>
      <c r="V43" s="27">
        <v>200</v>
      </c>
      <c r="W43" s="27">
        <v>150</v>
      </c>
      <c r="X43" s="27">
        <v>20</v>
      </c>
      <c r="Y43" s="27">
        <v>1000</v>
      </c>
      <c r="Z43" s="15">
        <v>0</v>
      </c>
      <c r="AA43" s="15">
        <v>0</v>
      </c>
    </row>
    <row r="44" spans="1:27" ht="14.25" customHeight="1" x14ac:dyDescent="0.15">
      <c r="A44" s="12" t="s">
        <v>115</v>
      </c>
      <c r="B44" s="13" t="s">
        <v>116</v>
      </c>
      <c r="C44" s="7" t="s">
        <v>224</v>
      </c>
      <c r="D44" s="1"/>
      <c r="E44" s="1"/>
      <c r="F44" s="15"/>
      <c r="G44" s="18">
        <v>7.5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100860000</v>
      </c>
      <c r="O44" s="27">
        <v>3191.2734375</v>
      </c>
      <c r="P44" s="27">
        <v>161376000</v>
      </c>
      <c r="Q44" s="27">
        <v>10000</v>
      </c>
      <c r="R44" s="27">
        <v>410</v>
      </c>
      <c r="S44" s="31">
        <v>0.9</v>
      </c>
      <c r="T44" s="27">
        <v>16864.848000000002</v>
      </c>
      <c r="U44" s="29">
        <v>0</v>
      </c>
      <c r="V44" s="27">
        <v>200</v>
      </c>
      <c r="W44" s="27">
        <v>150</v>
      </c>
      <c r="X44" s="27">
        <v>20</v>
      </c>
      <c r="Y44" s="27">
        <v>1500</v>
      </c>
      <c r="Z44" s="15">
        <v>0</v>
      </c>
      <c r="AA44" s="15">
        <v>0</v>
      </c>
    </row>
    <row r="45" spans="1:27" ht="15" x14ac:dyDescent="0.15">
      <c r="A45" s="12" t="s">
        <v>117</v>
      </c>
      <c r="B45" s="13" t="s">
        <v>118</v>
      </c>
      <c r="C45" s="7" t="s">
        <v>224</v>
      </c>
      <c r="D45" s="1"/>
      <c r="E45" s="1"/>
      <c r="F45" s="15"/>
      <c r="G45" s="18">
        <v>15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423864150</v>
      </c>
      <c r="O45" s="27">
        <v>13411.3266210937</v>
      </c>
      <c r="P45" s="27">
        <v>678182640</v>
      </c>
      <c r="Q45" s="27">
        <v>10000</v>
      </c>
      <c r="R45" s="27">
        <v>420</v>
      </c>
      <c r="S45" s="31">
        <v>0.9</v>
      </c>
      <c r="T45" s="27">
        <v>24285.381119999998</v>
      </c>
      <c r="U45" s="29">
        <v>0</v>
      </c>
      <c r="V45" s="27">
        <v>200</v>
      </c>
      <c r="W45" s="27">
        <v>150</v>
      </c>
      <c r="X45" s="27">
        <v>20</v>
      </c>
      <c r="Y45" s="27">
        <v>2500</v>
      </c>
      <c r="Z45" s="15">
        <v>0</v>
      </c>
      <c r="AA45" s="15">
        <v>0</v>
      </c>
    </row>
    <row r="46" spans="1:27" ht="15" x14ac:dyDescent="0.15">
      <c r="A46" s="12" t="s">
        <v>119</v>
      </c>
      <c r="B46" s="13" t="s">
        <v>120</v>
      </c>
      <c r="C46" s="7" t="s">
        <v>224</v>
      </c>
      <c r="D46" s="1"/>
      <c r="E46" s="1"/>
      <c r="F46" s="15"/>
      <c r="G46" s="14"/>
      <c r="H46" s="14">
        <v>5</v>
      </c>
      <c r="I46" s="14">
        <v>500</v>
      </c>
      <c r="J46" s="24">
        <v>0.1</v>
      </c>
      <c r="K46" s="21" t="s">
        <v>225</v>
      </c>
      <c r="L46" s="1"/>
      <c r="M46" s="26"/>
      <c r="N46" s="27">
        <v>12000000</v>
      </c>
      <c r="O46" s="27">
        <v>379.6875</v>
      </c>
      <c r="P46" s="27">
        <v>19200000</v>
      </c>
      <c r="Q46" s="27">
        <v>1000</v>
      </c>
      <c r="R46" s="27">
        <v>370</v>
      </c>
      <c r="S46" s="31">
        <v>1</v>
      </c>
      <c r="T46" s="27">
        <v>800</v>
      </c>
      <c r="U46" s="29">
        <v>0</v>
      </c>
      <c r="V46" s="27">
        <v>200</v>
      </c>
      <c r="W46" s="27">
        <v>100</v>
      </c>
      <c r="X46" s="27">
        <v>20</v>
      </c>
      <c r="Y46" s="27">
        <v>750</v>
      </c>
      <c r="Z46" s="27">
        <v>0</v>
      </c>
      <c r="AA46" s="27">
        <v>0</v>
      </c>
    </row>
    <row r="47" spans="1:27" ht="15" x14ac:dyDescent="0.15">
      <c r="A47" s="12" t="s">
        <v>122</v>
      </c>
      <c r="B47" s="13" t="s">
        <v>123</v>
      </c>
      <c r="C47" s="7" t="s">
        <v>224</v>
      </c>
      <c r="D47" s="1"/>
      <c r="E47" s="1"/>
      <c r="F47" s="15"/>
      <c r="G47" s="14"/>
      <c r="H47" s="14">
        <v>20</v>
      </c>
      <c r="I47" s="14">
        <v>500</v>
      </c>
      <c r="J47" s="24">
        <v>0.1</v>
      </c>
      <c r="K47" s="21" t="s">
        <v>225</v>
      </c>
      <c r="L47" s="1"/>
      <c r="M47" s="26"/>
      <c r="N47" s="27">
        <v>49200000</v>
      </c>
      <c r="O47" s="27">
        <v>1556.71875</v>
      </c>
      <c r="P47" s="27">
        <v>78720000</v>
      </c>
      <c r="Q47" s="27">
        <v>10000</v>
      </c>
      <c r="R47" s="27">
        <v>400</v>
      </c>
      <c r="S47" s="31">
        <v>0.9</v>
      </c>
      <c r="T47" s="27">
        <v>10810.8</v>
      </c>
      <c r="U47" s="29">
        <v>0</v>
      </c>
      <c r="V47" s="27">
        <v>200</v>
      </c>
      <c r="W47" s="27">
        <v>150</v>
      </c>
      <c r="X47" s="27">
        <v>20</v>
      </c>
      <c r="Y47" s="27">
        <v>1250</v>
      </c>
      <c r="Z47" s="27">
        <v>0</v>
      </c>
      <c r="AA47" s="27">
        <v>0</v>
      </c>
    </row>
    <row r="48" spans="1:27" ht="14.25" customHeight="1" x14ac:dyDescent="0.15">
      <c r="A48" s="12" t="s">
        <v>124</v>
      </c>
      <c r="B48" s="13" t="s">
        <v>125</v>
      </c>
      <c r="C48" s="7" t="s">
        <v>224</v>
      </c>
      <c r="D48" s="1"/>
      <c r="E48" s="1"/>
      <c r="F48" s="15"/>
      <c r="G48" s="14"/>
      <c r="H48" s="14">
        <v>50</v>
      </c>
      <c r="I48" s="14">
        <v>500</v>
      </c>
      <c r="J48" s="24">
        <v>0.1</v>
      </c>
      <c r="K48" s="21" t="s">
        <v>225</v>
      </c>
      <c r="L48" s="1"/>
      <c r="M48" s="26"/>
      <c r="N48" s="27">
        <v>206763000</v>
      </c>
      <c r="O48" s="27">
        <v>6542.1105468750002</v>
      </c>
      <c r="P48" s="27">
        <v>330820800</v>
      </c>
      <c r="Q48" s="27">
        <v>10000</v>
      </c>
      <c r="R48" s="27">
        <v>445</v>
      </c>
      <c r="S48" s="31">
        <v>0.9</v>
      </c>
      <c r="T48" s="27">
        <v>76376.552207155197</v>
      </c>
      <c r="U48" s="29">
        <v>0</v>
      </c>
      <c r="V48" s="27">
        <v>200</v>
      </c>
      <c r="W48" s="27">
        <v>200</v>
      </c>
      <c r="X48" s="27">
        <v>20</v>
      </c>
      <c r="Y48" s="27">
        <v>2000</v>
      </c>
      <c r="Z48" s="27">
        <v>0</v>
      </c>
      <c r="AA48" s="27">
        <v>0</v>
      </c>
    </row>
    <row r="49" spans="1:27" ht="37.5" customHeight="1" x14ac:dyDescent="0.15">
      <c r="A49" s="12" t="s">
        <v>227</v>
      </c>
      <c r="B49" s="13" t="s">
        <v>126</v>
      </c>
      <c r="C49" s="7" t="s">
        <v>226</v>
      </c>
      <c r="D49" s="1"/>
      <c r="E49" s="1"/>
      <c r="F49" s="15"/>
      <c r="G49" s="14"/>
      <c r="H49" s="14"/>
      <c r="I49" s="14">
        <v>500</v>
      </c>
      <c r="J49" s="24">
        <v>0.1</v>
      </c>
      <c r="K49" s="21"/>
      <c r="L49" s="25"/>
      <c r="M49" s="26"/>
      <c r="N49" s="27">
        <v>0</v>
      </c>
      <c r="O49" s="27">
        <v>1000</v>
      </c>
      <c r="P49" s="27">
        <v>100000000</v>
      </c>
      <c r="Q49" s="27">
        <v>10000</v>
      </c>
      <c r="R49" s="27">
        <v>0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14.25" customHeight="1" x14ac:dyDescent="0.15">
      <c r="A50" s="12" t="s">
        <v>233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1"/>
      <c r="M50" s="26"/>
      <c r="N50" s="27">
        <f>N49*5</f>
        <v>0</v>
      </c>
      <c r="O50" s="27">
        <f>O49*5</f>
        <v>5000</v>
      </c>
      <c r="P50" s="27">
        <f>P49*5</f>
        <v>500000000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229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 t="shared" ref="N51:P53" si="25">N50*3</f>
        <v>0</v>
      </c>
      <c r="O51" s="27">
        <f t="shared" si="25"/>
        <v>15000</v>
      </c>
      <c r="P51" s="27">
        <f t="shared" si="25"/>
        <v>1500000000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230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si="25"/>
        <v>0</v>
      </c>
      <c r="O52" s="27">
        <f t="shared" si="25"/>
        <v>45000</v>
      </c>
      <c r="P52" s="27">
        <f t="shared" si="25"/>
        <v>4500000000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231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135000</v>
      </c>
      <c r="P53" s="27">
        <f t="shared" si="25"/>
        <v>13500000000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234</v>
      </c>
      <c r="B54" s="13" t="s">
        <v>131</v>
      </c>
      <c r="C54" s="7" t="s">
        <v>224</v>
      </c>
      <c r="D54" s="1"/>
      <c r="E54" s="1"/>
      <c r="F54" s="15"/>
      <c r="G54" s="14"/>
      <c r="H54" s="14"/>
      <c r="I54" s="14">
        <v>500</v>
      </c>
      <c r="J54" s="24">
        <v>0.1</v>
      </c>
      <c r="K54" s="21" t="s">
        <v>225</v>
      </c>
      <c r="L54" s="1"/>
      <c r="M54" s="26"/>
      <c r="N54" s="27">
        <f>N39*1.2</f>
        <v>72000</v>
      </c>
      <c r="O54" s="27">
        <f t="shared" ref="O54:P54" si="26">O39*1.2</f>
        <v>20.25</v>
      </c>
      <c r="P54" s="27">
        <f t="shared" si="26"/>
        <v>288000</v>
      </c>
      <c r="Q54" s="27">
        <f>Q39</f>
        <v>100</v>
      </c>
      <c r="R54" s="27">
        <f t="shared" ref="R54:AA54" si="27">R39</f>
        <v>360</v>
      </c>
      <c r="S54" s="27">
        <f t="shared" si="27"/>
        <v>1</v>
      </c>
      <c r="T54" s="27">
        <f t="shared" si="27"/>
        <v>200</v>
      </c>
      <c r="U54" s="27">
        <f t="shared" si="27"/>
        <v>0</v>
      </c>
      <c r="V54" s="27">
        <f t="shared" si="27"/>
        <v>200</v>
      </c>
      <c r="W54" s="27">
        <f t="shared" si="27"/>
        <v>30</v>
      </c>
      <c r="X54" s="27">
        <f t="shared" si="27"/>
        <v>20</v>
      </c>
      <c r="Y54" s="27">
        <f t="shared" si="27"/>
        <v>100</v>
      </c>
      <c r="Z54" s="27">
        <f t="shared" si="27"/>
        <v>0</v>
      </c>
      <c r="AA54" s="27">
        <f t="shared" si="27"/>
        <v>0</v>
      </c>
    </row>
    <row r="55" spans="1:27" ht="14.25" customHeight="1" x14ac:dyDescent="0.15">
      <c r="A55" s="12" t="s">
        <v>235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N42*1.2</f>
        <v>7200000</v>
      </c>
      <c r="O55" s="27">
        <f t="shared" ref="O55:P55" si="28">O42*1.2</f>
        <v>227.8125</v>
      </c>
      <c r="P55" s="27">
        <f t="shared" si="28"/>
        <v>11520000</v>
      </c>
      <c r="Q55" s="27">
        <f>Q42</f>
        <v>10000</v>
      </c>
      <c r="R55" s="27">
        <f t="shared" ref="R55:AA55" si="29">R42</f>
        <v>390</v>
      </c>
      <c r="S55" s="27">
        <f t="shared" si="29"/>
        <v>1</v>
      </c>
      <c r="T55" s="27">
        <f t="shared" si="29"/>
        <v>5940</v>
      </c>
      <c r="U55" s="27">
        <f t="shared" si="29"/>
        <v>0</v>
      </c>
      <c r="V55" s="27">
        <f t="shared" si="29"/>
        <v>200</v>
      </c>
      <c r="W55" s="27">
        <f t="shared" si="29"/>
        <v>90</v>
      </c>
      <c r="X55" s="27">
        <f t="shared" si="29"/>
        <v>20</v>
      </c>
      <c r="Y55" s="27">
        <f t="shared" si="29"/>
        <v>500</v>
      </c>
      <c r="Z55" s="27">
        <f t="shared" si="29"/>
        <v>0</v>
      </c>
      <c r="AA55" s="27">
        <f t="shared" si="29"/>
        <v>0</v>
      </c>
    </row>
    <row r="56" spans="1:27" ht="14.25" customHeight="1" x14ac:dyDescent="0.15">
      <c r="A56" s="12" t="s">
        <v>236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N48*1.2</f>
        <v>248115600</v>
      </c>
      <c r="O56" s="27">
        <f t="shared" ref="O56:P56" si="30">O48*1.2</f>
        <v>7850.5326562499995</v>
      </c>
      <c r="P56" s="27">
        <f t="shared" si="30"/>
        <v>396984960</v>
      </c>
      <c r="Q56" s="27">
        <f>Q48</f>
        <v>10000</v>
      </c>
      <c r="R56" s="27">
        <f t="shared" ref="R56:AA56" si="31">R48</f>
        <v>445</v>
      </c>
      <c r="S56" s="27">
        <f t="shared" si="31"/>
        <v>0.9</v>
      </c>
      <c r="T56" s="27">
        <f t="shared" si="31"/>
        <v>76376.552207155197</v>
      </c>
      <c r="U56" s="27">
        <f t="shared" si="31"/>
        <v>0</v>
      </c>
      <c r="V56" s="27">
        <f t="shared" si="31"/>
        <v>200</v>
      </c>
      <c r="W56" s="27">
        <f t="shared" si="31"/>
        <v>200</v>
      </c>
      <c r="X56" s="27">
        <f t="shared" si="31"/>
        <v>20</v>
      </c>
      <c r="Y56" s="27">
        <f t="shared" si="31"/>
        <v>2000</v>
      </c>
      <c r="Z56" s="27">
        <f t="shared" si="31"/>
        <v>0</v>
      </c>
      <c r="AA56" s="27">
        <f t="shared" si="31"/>
        <v>0</v>
      </c>
    </row>
    <row r="57" spans="1:27" ht="14.25" customHeight="1" x14ac:dyDescent="0.15">
      <c r="A57" s="12" t="s">
        <v>237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N45*1.5</f>
        <v>635796225</v>
      </c>
      <c r="O57" s="27">
        <f t="shared" ref="O57:P57" si="32">O45*1.5</f>
        <v>20116.98993164055</v>
      </c>
      <c r="P57" s="27">
        <f t="shared" si="32"/>
        <v>1017273960</v>
      </c>
      <c r="Q57" s="27">
        <f>Q45</f>
        <v>10000</v>
      </c>
      <c r="R57" s="27">
        <f t="shared" ref="R57:AA57" si="33">R45</f>
        <v>420</v>
      </c>
      <c r="S57" s="27">
        <f t="shared" si="33"/>
        <v>0.9</v>
      </c>
      <c r="T57" s="27">
        <f t="shared" si="33"/>
        <v>24285.381119999998</v>
      </c>
      <c r="U57" s="27">
        <f t="shared" si="33"/>
        <v>0</v>
      </c>
      <c r="V57" s="27">
        <f t="shared" si="33"/>
        <v>200</v>
      </c>
      <c r="W57" s="27">
        <f t="shared" si="33"/>
        <v>150</v>
      </c>
      <c r="X57" s="27">
        <f t="shared" si="33"/>
        <v>20</v>
      </c>
      <c r="Y57" s="27">
        <f t="shared" si="33"/>
        <v>2500</v>
      </c>
      <c r="Z57" s="27">
        <f t="shared" si="33"/>
        <v>0</v>
      </c>
      <c r="AA57" s="27">
        <f t="shared" si="33"/>
        <v>0</v>
      </c>
    </row>
    <row r="58" spans="1:27" ht="14.25" customHeight="1" x14ac:dyDescent="0.15">
      <c r="A58" s="12" t="s">
        <v>241</v>
      </c>
      <c r="B58" s="13" t="s">
        <v>135</v>
      </c>
      <c r="C58" s="7" t="s">
        <v>226</v>
      </c>
      <c r="D58" s="1"/>
      <c r="E58" s="1"/>
      <c r="F58" s="15"/>
      <c r="G58" s="14"/>
      <c r="H58" s="14"/>
      <c r="I58" s="14">
        <v>500</v>
      </c>
      <c r="J58" s="24">
        <v>0.1</v>
      </c>
      <c r="K58" s="21"/>
      <c r="L58" s="28" t="str">
        <f>"{'sylz1', '"&amp;A58&amp;"*1',80,270,10,12,'三眼赤痕*1' }"</f>
        <v>{'sylz1', '三眼老祖*1',80,270,10,12,'三眼赤痕*1' }</v>
      </c>
      <c r="M58" s="26"/>
      <c r="N58" s="27">
        <f>N57*3</f>
        <v>1907388675</v>
      </c>
      <c r="O58" s="27">
        <f t="shared" ref="O58" si="34">O57*5</f>
        <v>100584.94965820275</v>
      </c>
      <c r="P58" s="27">
        <f>P57*4</f>
        <v>4069095840</v>
      </c>
      <c r="Q58" s="27">
        <v>10000</v>
      </c>
      <c r="R58" s="27">
        <v>420</v>
      </c>
      <c r="S58" s="27">
        <v>0.9</v>
      </c>
      <c r="T58" s="27">
        <v>24285.381119999998</v>
      </c>
      <c r="U58" s="27">
        <v>0</v>
      </c>
      <c r="V58" s="27">
        <v>200</v>
      </c>
      <c r="W58" s="27">
        <v>150</v>
      </c>
      <c r="X58" s="27">
        <v>20</v>
      </c>
      <c r="Y58" s="27">
        <v>2500</v>
      </c>
      <c r="Z58" s="27">
        <v>5</v>
      </c>
      <c r="AA58" s="27">
        <v>2500</v>
      </c>
    </row>
    <row r="59" spans="1:27" ht="14.25" customHeight="1" x14ac:dyDescent="0.15">
      <c r="A59" s="12" t="s">
        <v>242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"{'bhhl1', '"&amp;A59&amp;"*1',80,270,10,12,'火龙气息*1' }"</f>
        <v>{'bhhl1', '八荒火龙*1',80,270,10,12,'火龙气息*1' }</v>
      </c>
      <c r="M59" s="26"/>
      <c r="N59" s="27">
        <f>N58*1.1</f>
        <v>2098127542.5000002</v>
      </c>
      <c r="O59" s="27">
        <f t="shared" ref="O59:P59" si="35">O58*1.1</f>
        <v>110643.44462402303</v>
      </c>
      <c r="P59" s="27">
        <f t="shared" si="35"/>
        <v>4476005424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243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"{'yijie1', '"&amp;A60&amp;"*1',80,270,10,12,'地魂融血丹*1' }"</f>
        <v>{'yijie1', '一姐*1',80,270,10,12,'地魂融血丹*1' }</v>
      </c>
      <c r="M60" s="26"/>
      <c r="N60" s="27">
        <f>N58*1.5</f>
        <v>2861083012.5</v>
      </c>
      <c r="O60" s="27">
        <f t="shared" ref="O60:P60" si="36">O58*1.5</f>
        <v>150877.42448730412</v>
      </c>
      <c r="P60" s="27">
        <f t="shared" si="36"/>
        <v>6103643760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244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"{'yandi1', '"&amp;A61&amp;"*1',80,270,10,12,'天魂融血丹*1' }"</f>
        <v>{'yandi1', '炎帝*1',80,270,10,12,'天魂融血丹*1' }</v>
      </c>
      <c r="M61" s="26"/>
      <c r="N61" s="27">
        <f>N60*1.1</f>
        <v>3147191313.7500005</v>
      </c>
      <c r="O61" s="27">
        <f t="shared" ref="O61:P61" si="37">O60*1.1</f>
        <v>165965.16693603454</v>
      </c>
      <c r="P61" s="27">
        <f t="shared" si="37"/>
        <v>6714008136.000001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5" x14ac:dyDescent="0.15">
      <c r="A62" s="12" t="s">
        <v>303</v>
      </c>
      <c r="B62" s="13" t="s">
        <v>261</v>
      </c>
      <c r="C62" s="16" t="s">
        <v>224</v>
      </c>
      <c r="D62" s="4"/>
      <c r="E62" s="4">
        <v>1</v>
      </c>
      <c r="F62" s="14">
        <v>500</v>
      </c>
      <c r="G62" s="14"/>
      <c r="H62" s="14"/>
      <c r="I62" s="14">
        <v>500</v>
      </c>
      <c r="J62" s="21">
        <v>0.16600000000000001</v>
      </c>
      <c r="K62" s="21"/>
      <c r="L62" s="26"/>
      <c r="M62" s="5"/>
      <c r="N62" s="41">
        <v>25000</v>
      </c>
      <c r="O62" s="41">
        <v>16.875</v>
      </c>
      <c r="P62" s="41">
        <v>171875</v>
      </c>
      <c r="Q62" s="41">
        <v>100</v>
      </c>
      <c r="R62" s="41">
        <v>350</v>
      </c>
      <c r="S62" s="42">
        <v>1</v>
      </c>
      <c r="T62" s="41">
        <f t="shared" ref="T62:T91" si="38">P62*0.0001</f>
        <v>17.1875</v>
      </c>
      <c r="U62" s="41">
        <v>0</v>
      </c>
      <c r="V62" s="1">
        <v>200</v>
      </c>
      <c r="W62" s="1">
        <v>10</v>
      </c>
      <c r="X62" s="1">
        <v>20</v>
      </c>
      <c r="Y62" s="1">
        <v>200</v>
      </c>
      <c r="Z62" s="1">
        <v>0</v>
      </c>
      <c r="AA62" s="1">
        <v>0</v>
      </c>
    </row>
    <row r="63" spans="1:27" ht="15" x14ac:dyDescent="0.15">
      <c r="A63" s="12" t="s">
        <v>248</v>
      </c>
      <c r="B63" s="13" t="s">
        <v>262</v>
      </c>
      <c r="C63" s="16" t="s">
        <v>224</v>
      </c>
      <c r="D63" s="1"/>
      <c r="E63" s="1">
        <v>2</v>
      </c>
      <c r="F63" s="14">
        <v>500</v>
      </c>
      <c r="G63" s="14"/>
      <c r="H63" s="14"/>
      <c r="I63" s="14">
        <v>500</v>
      </c>
      <c r="J63" s="21">
        <v>0.33300000000000002</v>
      </c>
      <c r="K63" s="21"/>
      <c r="L63" s="26"/>
      <c r="M63" s="5"/>
      <c r="N63" s="41">
        <v>250000</v>
      </c>
      <c r="O63" s="41">
        <v>33.75</v>
      </c>
      <c r="P63" s="41">
        <v>1562500</v>
      </c>
      <c r="Q63" s="41">
        <v>100</v>
      </c>
      <c r="R63" s="41">
        <v>360</v>
      </c>
      <c r="S63" s="42">
        <v>1</v>
      </c>
      <c r="T63" s="41">
        <f t="shared" si="38"/>
        <v>156.25</v>
      </c>
      <c r="U63" s="41">
        <v>0</v>
      </c>
      <c r="V63" s="1">
        <v>200</v>
      </c>
      <c r="W63" s="1">
        <v>20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309</v>
      </c>
      <c r="B64" s="13" t="s">
        <v>263</v>
      </c>
      <c r="C64" s="16" t="s">
        <v>224</v>
      </c>
      <c r="D64" s="1"/>
      <c r="E64" s="4">
        <v>3</v>
      </c>
      <c r="F64" s="14">
        <v>500</v>
      </c>
      <c r="G64" s="14"/>
      <c r="H64" s="14"/>
      <c r="I64" s="14">
        <v>500</v>
      </c>
      <c r="J64" s="21">
        <v>0.5</v>
      </c>
      <c r="K64" s="21"/>
      <c r="L64" s="26"/>
      <c r="M64" s="5"/>
      <c r="N64" s="41">
        <v>500000</v>
      </c>
      <c r="O64" s="41">
        <v>67.5</v>
      </c>
      <c r="P64" s="41">
        <v>3125000</v>
      </c>
      <c r="Q64" s="41">
        <v>100</v>
      </c>
      <c r="R64" s="41">
        <v>370</v>
      </c>
      <c r="S64" s="42">
        <v>1</v>
      </c>
      <c r="T64" s="41">
        <f t="shared" si="38"/>
        <v>312.5</v>
      </c>
      <c r="U64" s="41">
        <v>0</v>
      </c>
      <c r="V64" s="1">
        <v>200</v>
      </c>
      <c r="W64" s="1">
        <v>30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310</v>
      </c>
      <c r="B65" s="13" t="s">
        <v>264</v>
      </c>
      <c r="C65" s="16" t="s">
        <v>224</v>
      </c>
      <c r="D65" s="1"/>
      <c r="E65" s="1">
        <v>4</v>
      </c>
      <c r="F65" s="14">
        <v>500</v>
      </c>
      <c r="G65" s="14"/>
      <c r="H65" s="14"/>
      <c r="I65" s="14">
        <v>500</v>
      </c>
      <c r="J65" s="21">
        <v>0.66</v>
      </c>
      <c r="K65" s="21"/>
      <c r="L65" s="26"/>
      <c r="M65" s="5"/>
      <c r="N65" s="41">
        <v>1000000</v>
      </c>
      <c r="O65" s="41">
        <v>135</v>
      </c>
      <c r="P65" s="41">
        <v>6250000</v>
      </c>
      <c r="Q65" s="41">
        <v>1000</v>
      </c>
      <c r="R65" s="41">
        <v>380</v>
      </c>
      <c r="S65" s="42">
        <v>1</v>
      </c>
      <c r="T65" s="41">
        <f t="shared" si="38"/>
        <v>625</v>
      </c>
      <c r="U65" s="41">
        <v>0</v>
      </c>
      <c r="V65" s="1">
        <v>200</v>
      </c>
      <c r="W65" s="1">
        <v>40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249</v>
      </c>
      <c r="B66" s="13" t="s">
        <v>265</v>
      </c>
      <c r="C66" s="16" t="s">
        <v>224</v>
      </c>
      <c r="D66" s="1"/>
      <c r="E66" s="4">
        <v>5</v>
      </c>
      <c r="F66" s="14">
        <v>500</v>
      </c>
      <c r="G66" s="14"/>
      <c r="H66" s="14"/>
      <c r="I66" s="14">
        <v>500</v>
      </c>
      <c r="J66" s="21">
        <v>0.83</v>
      </c>
      <c r="K66" s="21"/>
      <c r="L66" s="26"/>
      <c r="M66" s="5"/>
      <c r="N66" s="27">
        <v>5000000</v>
      </c>
      <c r="O66" s="27">
        <v>270</v>
      </c>
      <c r="P66" s="27">
        <v>10000000</v>
      </c>
      <c r="Q66" s="41">
        <v>1000</v>
      </c>
      <c r="R66" s="41">
        <v>390</v>
      </c>
      <c r="S66" s="42">
        <v>1</v>
      </c>
      <c r="T66" s="41">
        <f t="shared" si="38"/>
        <v>1000</v>
      </c>
      <c r="U66" s="41">
        <v>0</v>
      </c>
      <c r="V66" s="1">
        <v>200</v>
      </c>
      <c r="W66" s="1">
        <v>50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305</v>
      </c>
      <c r="B67" s="13" t="s">
        <v>266</v>
      </c>
      <c r="C67" s="16" t="s">
        <v>224</v>
      </c>
      <c r="D67" s="1"/>
      <c r="E67" s="1">
        <v>6</v>
      </c>
      <c r="F67" s="14">
        <v>500</v>
      </c>
      <c r="G67" s="14"/>
      <c r="H67" s="14"/>
      <c r="I67" s="14">
        <v>500</v>
      </c>
      <c r="J67" s="21">
        <v>1</v>
      </c>
      <c r="K67" s="21"/>
      <c r="L67" s="26"/>
      <c r="M67" s="5"/>
      <c r="N67" s="41">
        <v>10000000</v>
      </c>
      <c r="O67" s="41">
        <v>540</v>
      </c>
      <c r="P67" s="41">
        <v>22000000</v>
      </c>
      <c r="Q67" s="41">
        <v>10000</v>
      </c>
      <c r="R67" s="41">
        <v>400</v>
      </c>
      <c r="S67" s="42">
        <v>1</v>
      </c>
      <c r="T67" s="41">
        <f t="shared" si="38"/>
        <v>2200</v>
      </c>
      <c r="U67" s="41">
        <v>0</v>
      </c>
      <c r="V67" s="1">
        <v>200</v>
      </c>
      <c r="W67" s="1">
        <v>60</v>
      </c>
      <c r="X67" s="1">
        <v>20</v>
      </c>
      <c r="Y67" s="1">
        <v>500</v>
      </c>
      <c r="Z67" s="1">
        <v>0</v>
      </c>
      <c r="AA67" s="1">
        <v>0</v>
      </c>
    </row>
    <row r="68" spans="1:27" ht="15" x14ac:dyDescent="0.15">
      <c r="A68" s="12" t="s">
        <v>250</v>
      </c>
      <c r="B68" s="13" t="s">
        <v>267</v>
      </c>
      <c r="C68" s="16" t="s">
        <v>224</v>
      </c>
      <c r="D68" s="1"/>
      <c r="E68" s="4">
        <v>7</v>
      </c>
      <c r="F68" s="14">
        <v>500</v>
      </c>
      <c r="G68" s="14"/>
      <c r="H68" s="14"/>
      <c r="I68" s="14">
        <v>500</v>
      </c>
      <c r="J68" s="21">
        <v>1.1599999999999999</v>
      </c>
      <c r="K68" s="21"/>
      <c r="L68" s="26"/>
      <c r="M68" s="5"/>
      <c r="N68" s="41">
        <v>15000000</v>
      </c>
      <c r="O68" s="41">
        <v>810</v>
      </c>
      <c r="P68" s="41">
        <v>33000000</v>
      </c>
      <c r="Q68" s="41">
        <v>10000</v>
      </c>
      <c r="R68" s="41">
        <v>410</v>
      </c>
      <c r="S68" s="42">
        <v>1</v>
      </c>
      <c r="T68" s="41">
        <f t="shared" si="38"/>
        <v>3300</v>
      </c>
      <c r="U68" s="41">
        <v>0</v>
      </c>
      <c r="V68" s="1">
        <v>200</v>
      </c>
      <c r="W68" s="1">
        <v>70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251</v>
      </c>
      <c r="B69" s="13" t="s">
        <v>268</v>
      </c>
      <c r="C69" s="16" t="s">
        <v>224</v>
      </c>
      <c r="D69" s="1"/>
      <c r="E69" s="1">
        <v>8</v>
      </c>
      <c r="F69" s="14">
        <v>500</v>
      </c>
      <c r="G69" s="14"/>
      <c r="H69" s="14"/>
      <c r="I69" s="14">
        <v>500</v>
      </c>
      <c r="J69" s="21">
        <v>1.33</v>
      </c>
      <c r="K69" s="21"/>
      <c r="L69" s="26"/>
      <c r="M69" s="5"/>
      <c r="N69" s="41">
        <v>22500000</v>
      </c>
      <c r="O69" s="41">
        <v>1215</v>
      </c>
      <c r="P69" s="41">
        <v>49500000</v>
      </c>
      <c r="Q69" s="41">
        <v>10000</v>
      </c>
      <c r="R69" s="41">
        <v>420</v>
      </c>
      <c r="S69" s="42">
        <v>1</v>
      </c>
      <c r="T69" s="41">
        <f t="shared" si="38"/>
        <v>4950</v>
      </c>
      <c r="U69" s="41">
        <v>0</v>
      </c>
      <c r="V69" s="1">
        <v>200</v>
      </c>
      <c r="W69" s="1">
        <v>80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252</v>
      </c>
      <c r="B70" s="13" t="s">
        <v>269</v>
      </c>
      <c r="C70" s="16" t="s">
        <v>224</v>
      </c>
      <c r="D70" s="1"/>
      <c r="E70" s="4">
        <v>9</v>
      </c>
      <c r="F70" s="14">
        <v>500</v>
      </c>
      <c r="G70" s="14"/>
      <c r="H70" s="14"/>
      <c r="I70" s="14">
        <v>500</v>
      </c>
      <c r="J70" s="21">
        <v>1.5</v>
      </c>
      <c r="K70" s="21"/>
      <c r="L70" s="26"/>
      <c r="M70" s="5"/>
      <c r="N70" s="41">
        <v>33750000</v>
      </c>
      <c r="O70" s="41">
        <v>1822.5</v>
      </c>
      <c r="P70" s="41">
        <v>74250000</v>
      </c>
      <c r="Q70" s="41">
        <v>10000</v>
      </c>
      <c r="R70" s="41">
        <v>430</v>
      </c>
      <c r="S70" s="42">
        <v>1</v>
      </c>
      <c r="T70" s="41">
        <f t="shared" si="38"/>
        <v>7425</v>
      </c>
      <c r="U70" s="41">
        <v>0</v>
      </c>
      <c r="V70" s="1">
        <v>200</v>
      </c>
      <c r="W70" s="1">
        <v>90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313</v>
      </c>
      <c r="B71" s="13" t="s">
        <v>270</v>
      </c>
      <c r="C71" s="16" t="s">
        <v>224</v>
      </c>
      <c r="D71" s="1"/>
      <c r="E71" s="1">
        <v>10</v>
      </c>
      <c r="F71" s="14">
        <v>500</v>
      </c>
      <c r="G71" s="14"/>
      <c r="H71" s="14"/>
      <c r="I71" s="14">
        <v>500</v>
      </c>
      <c r="J71" s="21">
        <v>1.66</v>
      </c>
      <c r="K71" s="21"/>
      <c r="L71" s="26"/>
      <c r="M71" s="5"/>
      <c r="N71" s="41">
        <v>47250000</v>
      </c>
      <c r="O71" s="41">
        <v>2551.5</v>
      </c>
      <c r="P71" s="41">
        <v>103950000</v>
      </c>
      <c r="Q71" s="41">
        <v>10000</v>
      </c>
      <c r="R71" s="41">
        <v>440</v>
      </c>
      <c r="S71" s="42">
        <v>0.9</v>
      </c>
      <c r="T71" s="41">
        <f t="shared" si="38"/>
        <v>10395</v>
      </c>
      <c r="U71" s="41">
        <v>0</v>
      </c>
      <c r="V71" s="1">
        <v>200</v>
      </c>
      <c r="W71" s="1">
        <v>100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307</v>
      </c>
      <c r="B72" s="13" t="s">
        <v>271</v>
      </c>
      <c r="C72" s="16" t="s">
        <v>224</v>
      </c>
      <c r="D72" s="1"/>
      <c r="E72" s="4">
        <v>11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61425000</v>
      </c>
      <c r="O72" s="41">
        <v>3316.9500000000003</v>
      </c>
      <c r="P72" s="41">
        <v>135135000</v>
      </c>
      <c r="Q72" s="41">
        <v>10000</v>
      </c>
      <c r="R72" s="41">
        <v>450</v>
      </c>
      <c r="S72" s="42">
        <v>0.9</v>
      </c>
      <c r="T72" s="41">
        <f t="shared" si="38"/>
        <v>13513.5</v>
      </c>
      <c r="U72" s="41">
        <v>0</v>
      </c>
      <c r="V72" s="1">
        <v>200</v>
      </c>
      <c r="W72" s="1">
        <v>150</v>
      </c>
      <c r="X72" s="1">
        <v>20</v>
      </c>
      <c r="Y72" s="1">
        <v>1500</v>
      </c>
      <c r="Z72" s="1">
        <v>5</v>
      </c>
      <c r="AA72" s="1">
        <v>50</v>
      </c>
    </row>
    <row r="73" spans="1:27" ht="15" x14ac:dyDescent="0.15">
      <c r="A73" s="12" t="s">
        <v>253</v>
      </c>
      <c r="B73" s="13" t="s">
        <v>272</v>
      </c>
      <c r="C73" s="16" t="s">
        <v>224</v>
      </c>
      <c r="D73" s="1"/>
      <c r="E73" s="1">
        <v>12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79852500</v>
      </c>
      <c r="O73" s="41">
        <v>4312.0349999999999</v>
      </c>
      <c r="P73" s="41">
        <v>175675500</v>
      </c>
      <c r="Q73" s="41">
        <v>10000</v>
      </c>
      <c r="R73" s="41">
        <v>460</v>
      </c>
      <c r="S73" s="42">
        <v>0.9</v>
      </c>
      <c r="T73" s="41">
        <f t="shared" si="38"/>
        <v>17567.55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254</v>
      </c>
      <c r="B74" s="13" t="s">
        <v>273</v>
      </c>
      <c r="C74" s="16" t="s">
        <v>224</v>
      </c>
      <c r="D74" s="1"/>
      <c r="E74" s="4">
        <v>13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95823000</v>
      </c>
      <c r="O74" s="41">
        <v>5174.4419999999991</v>
      </c>
      <c r="P74" s="41">
        <v>210810600</v>
      </c>
      <c r="Q74" s="41">
        <v>10000</v>
      </c>
      <c r="R74" s="41">
        <v>470</v>
      </c>
      <c r="S74" s="42">
        <v>0.9</v>
      </c>
      <c r="T74" s="41">
        <f t="shared" si="38"/>
        <v>21081.06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4.25" customHeight="1" x14ac:dyDescent="0.15">
      <c r="A75" s="12" t="s">
        <v>255</v>
      </c>
      <c r="B75" s="13" t="s">
        <v>274</v>
      </c>
      <c r="C75" s="16" t="s">
        <v>224</v>
      </c>
      <c r="D75" s="1"/>
      <c r="E75" s="1">
        <v>14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114987600</v>
      </c>
      <c r="O75" s="41">
        <v>6209.3303999999989</v>
      </c>
      <c r="P75" s="41">
        <v>252972720</v>
      </c>
      <c r="Q75" s="41">
        <v>10000</v>
      </c>
      <c r="R75" s="41">
        <v>480</v>
      </c>
      <c r="S75" s="42">
        <v>0.9</v>
      </c>
      <c r="T75" s="41">
        <f t="shared" si="38"/>
        <v>25297.272000000001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5" x14ac:dyDescent="0.15">
      <c r="A76" s="12" t="s">
        <v>314</v>
      </c>
      <c r="B76" s="13" t="s">
        <v>275</v>
      </c>
      <c r="C76" s="16" t="s">
        <v>224</v>
      </c>
      <c r="D76" s="1"/>
      <c r="E76" s="4">
        <v>15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137985120</v>
      </c>
      <c r="O76" s="41">
        <v>7451.1964799999987</v>
      </c>
      <c r="P76" s="41">
        <v>303567264</v>
      </c>
      <c r="Q76" s="41">
        <v>10000</v>
      </c>
      <c r="R76" s="41">
        <v>490</v>
      </c>
      <c r="S76" s="42">
        <v>0.9</v>
      </c>
      <c r="T76" s="41">
        <f t="shared" si="38"/>
        <v>30356.726400000003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256</v>
      </c>
      <c r="B77" s="13" t="s">
        <v>276</v>
      </c>
      <c r="C77" s="16" t="s">
        <v>224</v>
      </c>
      <c r="D77" s="1"/>
      <c r="E77" s="1">
        <v>16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193179167.99999997</v>
      </c>
      <c r="O77" s="41">
        <v>10431.675071999998</v>
      </c>
      <c r="P77" s="41">
        <v>424994169.5999999</v>
      </c>
      <c r="Q77" s="41">
        <v>10000</v>
      </c>
      <c r="R77" s="41">
        <v>500</v>
      </c>
      <c r="S77" s="42">
        <v>0.9</v>
      </c>
      <c r="T77" s="41">
        <f t="shared" si="38"/>
        <v>42499.416959999995</v>
      </c>
      <c r="U77" s="41">
        <v>0</v>
      </c>
      <c r="V77" s="1">
        <v>200</v>
      </c>
      <c r="W77" s="1">
        <v>200</v>
      </c>
      <c r="X77" s="1">
        <v>20</v>
      </c>
      <c r="Y77" s="1">
        <v>3500</v>
      </c>
      <c r="Z77" s="1">
        <v>10</v>
      </c>
      <c r="AA77" s="1">
        <v>100</v>
      </c>
    </row>
    <row r="78" spans="1:27" ht="15" x14ac:dyDescent="0.15">
      <c r="A78" s="12" t="s">
        <v>257</v>
      </c>
      <c r="B78" s="13" t="s">
        <v>277</v>
      </c>
      <c r="C78" s="16" t="s">
        <v>224</v>
      </c>
      <c r="D78" s="1"/>
      <c r="E78" s="4">
        <v>17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251132918.39999998</v>
      </c>
      <c r="O78" s="41">
        <v>13561.177593599998</v>
      </c>
      <c r="P78" s="41">
        <v>552492420.4799999</v>
      </c>
      <c r="Q78" s="41">
        <v>10000</v>
      </c>
      <c r="R78" s="41">
        <v>510</v>
      </c>
      <c r="S78" s="42">
        <v>0.9</v>
      </c>
      <c r="T78" s="41">
        <f t="shared" si="38"/>
        <v>55249.242047999993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316</v>
      </c>
      <c r="B79" s="13" t="s">
        <v>278</v>
      </c>
      <c r="C79" s="16" t="s">
        <v>224</v>
      </c>
      <c r="D79" s="1"/>
      <c r="E79" s="1">
        <v>18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301359502.07999992</v>
      </c>
      <c r="O79" s="41">
        <v>16273.413112319999</v>
      </c>
      <c r="P79" s="41">
        <v>662990904.57599986</v>
      </c>
      <c r="Q79" s="41">
        <v>10000</v>
      </c>
      <c r="R79" s="41">
        <v>520</v>
      </c>
      <c r="S79" s="42">
        <v>0.9</v>
      </c>
      <c r="T79" s="41">
        <f t="shared" si="38"/>
        <v>66299.090457599988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258</v>
      </c>
      <c r="B80" s="13" t="s">
        <v>279</v>
      </c>
      <c r="C80" s="16" t="s">
        <v>224</v>
      </c>
      <c r="D80" s="1"/>
      <c r="E80" s="4">
        <v>19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361631402.49599993</v>
      </c>
      <c r="O80" s="41">
        <v>19528.095734783998</v>
      </c>
      <c r="P80" s="41">
        <v>795589085.49119973</v>
      </c>
      <c r="Q80" s="41">
        <v>10000</v>
      </c>
      <c r="R80" s="41">
        <v>530</v>
      </c>
      <c r="S80" s="42">
        <v>0.9</v>
      </c>
      <c r="T80" s="41">
        <f t="shared" si="38"/>
        <v>79558.90854911998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319</v>
      </c>
      <c r="B81" s="13" t="s">
        <v>280</v>
      </c>
      <c r="C81" s="16" t="s">
        <v>224</v>
      </c>
      <c r="D81" s="1"/>
      <c r="E81" s="1">
        <v>20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433957682.99519992</v>
      </c>
      <c r="O81" s="41">
        <v>23433.714881740794</v>
      </c>
      <c r="P81" s="41">
        <v>954706902.58943975</v>
      </c>
      <c r="Q81" s="41">
        <v>10000</v>
      </c>
      <c r="R81" s="41">
        <v>540</v>
      </c>
      <c r="S81" s="42">
        <v>0.9</v>
      </c>
      <c r="T81" s="41">
        <f t="shared" si="38"/>
        <v>95470.690258943985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259</v>
      </c>
      <c r="B82" s="13" t="s">
        <v>281</v>
      </c>
      <c r="C82" s="16" t="s">
        <v>224</v>
      </c>
      <c r="D82" s="1"/>
      <c r="E82" s="4">
        <v>21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607540756.19327986</v>
      </c>
      <c r="O82" s="41">
        <v>32807.200834437113</v>
      </c>
      <c r="P82" s="41">
        <v>1336589663.6252155</v>
      </c>
      <c r="Q82" s="41">
        <v>10000</v>
      </c>
      <c r="R82" s="41">
        <v>550</v>
      </c>
      <c r="S82" s="42">
        <v>0.75</v>
      </c>
      <c r="T82" s="41">
        <f t="shared" si="38"/>
        <v>133658.96636252155</v>
      </c>
      <c r="U82" s="41">
        <v>0</v>
      </c>
      <c r="V82" s="1">
        <v>200</v>
      </c>
      <c r="W82" s="1">
        <v>300</v>
      </c>
      <c r="X82" s="1">
        <v>20</v>
      </c>
      <c r="Y82" s="1">
        <v>7500</v>
      </c>
      <c r="Z82" s="1">
        <v>20</v>
      </c>
      <c r="AA82" s="1">
        <v>200</v>
      </c>
    </row>
    <row r="83" spans="1:27" ht="15" x14ac:dyDescent="0.15">
      <c r="A83" s="12" t="s">
        <v>320</v>
      </c>
      <c r="B83" s="13" t="s">
        <v>282</v>
      </c>
      <c r="C83" s="16" t="s">
        <v>224</v>
      </c>
      <c r="D83" s="1"/>
      <c r="E83" s="1">
        <v>22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789802983.05126381</v>
      </c>
      <c r="O83" s="41">
        <v>42649.36108476825</v>
      </c>
      <c r="P83" s="41">
        <v>1737566562.7127802</v>
      </c>
      <c r="Q83" s="41">
        <v>10000</v>
      </c>
      <c r="R83" s="41">
        <v>560</v>
      </c>
      <c r="S83" s="42">
        <v>0.75</v>
      </c>
      <c r="T83" s="41">
        <f t="shared" si="38"/>
        <v>173756.65627127804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260</v>
      </c>
      <c r="B84" s="13" t="s">
        <v>283</v>
      </c>
      <c r="C84" s="16" t="s">
        <v>224</v>
      </c>
      <c r="D84" s="1"/>
      <c r="E84" s="4">
        <v>23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1026743877.966643</v>
      </c>
      <c r="O84" s="41">
        <v>55444.169410198723</v>
      </c>
      <c r="P84" s="41">
        <v>2258836531.5266142</v>
      </c>
      <c r="Q84" s="41">
        <v>10000</v>
      </c>
      <c r="R84" s="41">
        <v>570</v>
      </c>
      <c r="S84" s="42">
        <v>0.75</v>
      </c>
      <c r="T84" s="41">
        <f t="shared" si="38"/>
        <v>225883.65315266143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323</v>
      </c>
      <c r="B85" s="13" t="s">
        <v>284</v>
      </c>
      <c r="C85" s="16" t="s">
        <v>224</v>
      </c>
      <c r="D85" s="1"/>
      <c r="E85" s="1">
        <v>24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1334767041.356636</v>
      </c>
      <c r="O85" s="41">
        <v>72077.420233258337</v>
      </c>
      <c r="P85" s="41">
        <v>2936487490.9845991</v>
      </c>
      <c r="Q85" s="41">
        <v>10000</v>
      </c>
      <c r="R85" s="41">
        <v>580</v>
      </c>
      <c r="S85" s="42">
        <v>0.75</v>
      </c>
      <c r="T85" s="41">
        <f t="shared" si="38"/>
        <v>293648.7490984599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324</v>
      </c>
      <c r="B86" s="13" t="s">
        <v>285</v>
      </c>
      <c r="C86" s="16" t="s">
        <v>224</v>
      </c>
      <c r="D86" s="1"/>
      <c r="E86" s="4">
        <v>25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1601720449.6279631</v>
      </c>
      <c r="O86" s="41">
        <v>86492.904279910013</v>
      </c>
      <c r="P86" s="41">
        <v>3523784989.1815186</v>
      </c>
      <c r="Q86" s="41">
        <v>10000</v>
      </c>
      <c r="R86" s="41">
        <v>590</v>
      </c>
      <c r="S86" s="42">
        <v>0.75</v>
      </c>
      <c r="T86" s="41">
        <f t="shared" si="38"/>
        <v>352378.49891815189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326</v>
      </c>
      <c r="B87" s="13" t="s">
        <v>286</v>
      </c>
      <c r="C87" s="16" t="s">
        <v>226</v>
      </c>
      <c r="D87" s="1"/>
      <c r="E87" s="14">
        <v>5</v>
      </c>
      <c r="F87" s="14">
        <v>500</v>
      </c>
      <c r="G87" s="14"/>
      <c r="H87" s="14"/>
      <c r="I87" s="14">
        <v>500</v>
      </c>
      <c r="J87" s="21">
        <v>100</v>
      </c>
      <c r="K87" s="21"/>
      <c r="L87" s="26"/>
      <c r="M87" s="5"/>
      <c r="N87" s="1">
        <v>25000000</v>
      </c>
      <c r="O87" s="1">
        <v>1350</v>
      </c>
      <c r="P87" s="1">
        <v>50000000</v>
      </c>
      <c r="Q87" s="41">
        <v>10000</v>
      </c>
      <c r="R87" s="41">
        <v>375</v>
      </c>
      <c r="S87" s="42">
        <v>1</v>
      </c>
      <c r="T87" s="41">
        <f t="shared" si="38"/>
        <v>5000</v>
      </c>
      <c r="U87" s="41">
        <v>0</v>
      </c>
      <c r="V87" s="1">
        <v>200</v>
      </c>
      <c r="W87" s="1">
        <f>W66*5</f>
        <v>250</v>
      </c>
      <c r="X87" s="1">
        <v>20</v>
      </c>
      <c r="Y87" s="1">
        <v>2700</v>
      </c>
      <c r="Z87" s="1">
        <v>0</v>
      </c>
      <c r="AA87" s="1">
        <v>0</v>
      </c>
    </row>
    <row r="88" spans="1:27" ht="15" x14ac:dyDescent="0.15">
      <c r="A88" s="12" t="s">
        <v>332</v>
      </c>
      <c r="B88" s="13" t="s">
        <v>287</v>
      </c>
      <c r="C88" s="16" t="s">
        <v>226</v>
      </c>
      <c r="D88" s="1"/>
      <c r="E88" s="14">
        <v>10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236250000</v>
      </c>
      <c r="O88" s="1">
        <v>12757.5</v>
      </c>
      <c r="P88" s="1">
        <v>519750000</v>
      </c>
      <c r="Q88" s="41">
        <v>10000</v>
      </c>
      <c r="R88" s="41">
        <v>450</v>
      </c>
      <c r="S88" s="42">
        <v>0.9</v>
      </c>
      <c r="T88" s="41">
        <f t="shared" si="38"/>
        <v>51975</v>
      </c>
      <c r="U88" s="41">
        <v>0</v>
      </c>
      <c r="V88" s="1">
        <v>200</v>
      </c>
      <c r="W88" s="1">
        <f>W71*5</f>
        <v>500</v>
      </c>
      <c r="X88" s="1">
        <v>20</v>
      </c>
      <c r="Y88" s="1">
        <v>6912</v>
      </c>
      <c r="Z88" s="1">
        <v>0</v>
      </c>
      <c r="AA88" s="1">
        <v>0</v>
      </c>
    </row>
    <row r="89" spans="1:27" ht="15" x14ac:dyDescent="0.15">
      <c r="A89" s="45" t="s">
        <v>333</v>
      </c>
      <c r="B89" s="13" t="s">
        <v>288</v>
      </c>
      <c r="C89" s="16" t="s">
        <v>226</v>
      </c>
      <c r="D89" s="1"/>
      <c r="E89" s="14">
        <v>15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689925600</v>
      </c>
      <c r="O89" s="1">
        <v>37255.982399999994</v>
      </c>
      <c r="P89" s="1">
        <v>1517836320</v>
      </c>
      <c r="Q89" s="41">
        <v>10000</v>
      </c>
      <c r="R89" s="41">
        <v>525</v>
      </c>
      <c r="S89" s="42">
        <v>0.8</v>
      </c>
      <c r="T89" s="41">
        <f t="shared" si="38"/>
        <v>151783.63200000001</v>
      </c>
      <c r="U89" s="41">
        <v>0</v>
      </c>
      <c r="V89" s="1">
        <v>200</v>
      </c>
      <c r="W89" s="1">
        <f>W76*5</f>
        <v>750</v>
      </c>
      <c r="X89" s="1">
        <v>20</v>
      </c>
      <c r="Y89" s="1">
        <v>13500</v>
      </c>
      <c r="Z89" s="1">
        <v>5</v>
      </c>
      <c r="AA89" s="1">
        <v>50</v>
      </c>
    </row>
    <row r="90" spans="1:27" ht="15" x14ac:dyDescent="0.15">
      <c r="A90" s="43" t="s">
        <v>330</v>
      </c>
      <c r="B90" s="13" t="s">
        <v>289</v>
      </c>
      <c r="C90" s="16" t="s">
        <v>226</v>
      </c>
      <c r="D90" s="1"/>
      <c r="E90" s="14">
        <v>20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2169788414.9759998</v>
      </c>
      <c r="O90" s="1">
        <v>117168.57440870398</v>
      </c>
      <c r="P90" s="1">
        <v>4773534512.9471989</v>
      </c>
      <c r="Q90" s="41">
        <v>10000</v>
      </c>
      <c r="R90" s="41">
        <v>600</v>
      </c>
      <c r="S90" s="42">
        <v>0.6</v>
      </c>
      <c r="T90" s="41">
        <f t="shared" si="38"/>
        <v>477353.45129471988</v>
      </c>
      <c r="U90" s="41">
        <v>0</v>
      </c>
      <c r="V90" s="1">
        <v>200</v>
      </c>
      <c r="W90" s="1">
        <f>W81*5</f>
        <v>1000</v>
      </c>
      <c r="X90" s="1">
        <v>20</v>
      </c>
      <c r="Y90" s="1">
        <v>25000</v>
      </c>
      <c r="Z90" s="1">
        <v>20</v>
      </c>
      <c r="AA90" s="1">
        <v>500</v>
      </c>
    </row>
    <row r="91" spans="1:27" ht="15" x14ac:dyDescent="0.15">
      <c r="A91" s="43" t="s">
        <v>334</v>
      </c>
      <c r="B91" s="13" t="s">
        <v>290</v>
      </c>
      <c r="C91" s="16" t="s">
        <v>226</v>
      </c>
      <c r="D91" s="1"/>
      <c r="E91" s="14">
        <v>25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3905619146.9567995</v>
      </c>
      <c r="O91" s="1">
        <v>210903.43393566716</v>
      </c>
      <c r="P91" s="1">
        <v>8592362123.3049583</v>
      </c>
      <c r="Q91" s="41">
        <v>10000</v>
      </c>
      <c r="R91" s="1">
        <v>675</v>
      </c>
      <c r="S91" s="42">
        <v>0.5</v>
      </c>
      <c r="T91" s="41">
        <f t="shared" si="38"/>
        <v>859236.21233049582</v>
      </c>
      <c r="U91" s="41">
        <v>100</v>
      </c>
      <c r="V91" s="1">
        <v>200</v>
      </c>
      <c r="W91" s="1">
        <f>W86*5</f>
        <v>1500</v>
      </c>
      <c r="X91" s="1">
        <v>20</v>
      </c>
      <c r="Y91" s="1">
        <v>50000</v>
      </c>
      <c r="Z91" s="1">
        <v>20</v>
      </c>
      <c r="AA91" s="1">
        <v>500</v>
      </c>
    </row>
    <row r="92" spans="1:27" s="46" customFormat="1" ht="15" x14ac:dyDescent="0.15">
      <c r="A92" s="47" t="s">
        <v>335</v>
      </c>
      <c r="B92" s="13" t="s">
        <v>339</v>
      </c>
      <c r="C92" s="48" t="s">
        <v>226</v>
      </c>
      <c r="D92" s="49"/>
      <c r="E92" s="49"/>
      <c r="F92" s="50">
        <v>500</v>
      </c>
      <c r="G92" s="50"/>
      <c r="H92" s="50"/>
      <c r="I92" s="50">
        <v>500</v>
      </c>
      <c r="J92" s="49">
        <v>0.1</v>
      </c>
      <c r="K92" s="51"/>
      <c r="L92" s="28" t="str">
        <f>"{'ronglian11', '"&amp;A92&amp;"*1',80,270,10,12,'一号熔炼石*1' }"</f>
        <v>{'ronglian11', '熔炼石boss1*1',80,270,10,12,'一号熔炼石*1' }</v>
      </c>
      <c r="N92" s="52">
        <v>39062500</v>
      </c>
      <c r="O92" s="52">
        <v>632.8125</v>
      </c>
      <c r="P92" s="52">
        <v>78125000</v>
      </c>
      <c r="Q92" s="52">
        <v>3000</v>
      </c>
      <c r="R92" s="52">
        <v>365</v>
      </c>
      <c r="S92" s="53">
        <v>0.75</v>
      </c>
      <c r="T92" s="52">
        <v>400</v>
      </c>
      <c r="U92" s="52">
        <v>0</v>
      </c>
      <c r="V92" s="52">
        <v>200</v>
      </c>
      <c r="W92" s="52">
        <v>100</v>
      </c>
      <c r="X92" s="49">
        <v>20</v>
      </c>
      <c r="Y92" s="49">
        <v>1382.4</v>
      </c>
      <c r="Z92" s="49">
        <v>0</v>
      </c>
      <c r="AA92" s="49">
        <v>0</v>
      </c>
    </row>
    <row r="93" spans="1:27" s="46" customFormat="1" ht="15" x14ac:dyDescent="0.15">
      <c r="A93" s="47" t="s">
        <v>336</v>
      </c>
      <c r="B93" s="13" t="s">
        <v>340</v>
      </c>
      <c r="C93" s="48" t="s">
        <v>226</v>
      </c>
      <c r="D93" s="49"/>
      <c r="E93" s="49"/>
      <c r="F93" s="50">
        <v>500</v>
      </c>
      <c r="G93" s="50"/>
      <c r="H93" s="50"/>
      <c r="I93" s="50">
        <v>500</v>
      </c>
      <c r="J93" s="49">
        <v>0.1</v>
      </c>
      <c r="K93" s="51"/>
      <c r="L93" s="28" t="str">
        <f>"{'ronglian22', '"&amp;A93&amp;"*1',80,270,10,12,'二号熔炼石*1' }"</f>
        <v>{'ronglian22', '熔炼石boss2*1',80,270,10,12,'二号熔炼石*1' }</v>
      </c>
      <c r="N93" s="52">
        <v>182617187.5</v>
      </c>
      <c r="O93" s="52">
        <v>3214.0625</v>
      </c>
      <c r="P93" s="52">
        <v>365234375</v>
      </c>
      <c r="Q93" s="52">
        <v>30000</v>
      </c>
      <c r="R93" s="52">
        <v>385</v>
      </c>
      <c r="S93" s="53">
        <v>0.75</v>
      </c>
      <c r="T93" s="52">
        <v>3960</v>
      </c>
      <c r="U93" s="52">
        <v>0</v>
      </c>
      <c r="V93" s="52">
        <v>200</v>
      </c>
      <c r="W93" s="52">
        <v>200</v>
      </c>
      <c r="X93" s="49">
        <v>20</v>
      </c>
      <c r="Y93" s="49">
        <v>2534.4</v>
      </c>
      <c r="Z93" s="49">
        <v>0</v>
      </c>
      <c r="AA93" s="49">
        <v>0</v>
      </c>
    </row>
    <row r="94" spans="1:27" s="46" customFormat="1" ht="15" x14ac:dyDescent="0.15">
      <c r="A94" s="47" t="s">
        <v>337</v>
      </c>
      <c r="B94" s="13" t="s">
        <v>341</v>
      </c>
      <c r="C94" s="48" t="s">
        <v>226</v>
      </c>
      <c r="D94" s="49"/>
      <c r="E94" s="49"/>
      <c r="F94" s="50">
        <v>500</v>
      </c>
      <c r="G94" s="50"/>
      <c r="H94" s="50"/>
      <c r="I94" s="50">
        <v>500</v>
      </c>
      <c r="J94" s="49">
        <v>0.1</v>
      </c>
      <c r="K94" s="51"/>
      <c r="L94" s="28" t="str">
        <f>"{'ronglian33', '"&amp;A94&amp;"*1',80,270,10,12,'三号熔炼石*1' }"</f>
        <v>{'ronglian33', '熔炼石boss3*1',80,270,10,12,'三号熔炼石*1' }</v>
      </c>
      <c r="N94" s="52">
        <v>1260041062.5</v>
      </c>
      <c r="O94" s="52">
        <v>22176.722699999998</v>
      </c>
      <c r="P94" s="52">
        <v>2520082125</v>
      </c>
      <c r="Q94" s="52">
        <v>30000</v>
      </c>
      <c r="R94" s="52">
        <v>410</v>
      </c>
      <c r="S94" s="53">
        <v>0.75</v>
      </c>
      <c r="T94" s="52">
        <v>16864.848000000002</v>
      </c>
      <c r="U94" s="52">
        <v>0</v>
      </c>
      <c r="V94" s="52">
        <v>200</v>
      </c>
      <c r="W94" s="52">
        <v>300</v>
      </c>
      <c r="X94" s="49">
        <v>20</v>
      </c>
      <c r="Y94" s="49">
        <v>3600</v>
      </c>
      <c r="Z94" s="49">
        <v>10</v>
      </c>
      <c r="AA94" s="49">
        <v>250</v>
      </c>
    </row>
    <row r="95" spans="1:27" s="46" customFormat="1" ht="15" x14ac:dyDescent="0.15">
      <c r="A95" s="47" t="s">
        <v>338</v>
      </c>
      <c r="B95" s="13" t="s">
        <v>344</v>
      </c>
      <c r="C95" s="48" t="s">
        <v>226</v>
      </c>
      <c r="D95" s="49"/>
      <c r="E95" s="49"/>
      <c r="F95" s="50">
        <v>500</v>
      </c>
      <c r="G95" s="50"/>
      <c r="H95" s="50"/>
      <c r="I95" s="50">
        <v>500</v>
      </c>
      <c r="J95" s="49">
        <v>0.1</v>
      </c>
      <c r="K95" s="51"/>
      <c r="L95" s="28" t="str">
        <f>"{'ronglian44', '"&amp;A95&amp;"*1',80,270,10,12,'四号熔炼石*1' }"</f>
        <v>{'ronglian44', '熔炼石boss4*1',80,270,10,12,'四号熔炼石*1' }</v>
      </c>
      <c r="N95" s="52">
        <v>2772090337.5</v>
      </c>
      <c r="O95" s="52">
        <v>48788.789940000002</v>
      </c>
      <c r="P95" s="52">
        <v>5544180675</v>
      </c>
      <c r="Q95" s="52">
        <v>30000</v>
      </c>
      <c r="R95" s="52">
        <v>440</v>
      </c>
      <c r="S95" s="53">
        <v>0.75</v>
      </c>
      <c r="T95" s="52">
        <v>63647.126839295997</v>
      </c>
      <c r="U95" s="52">
        <v>0</v>
      </c>
      <c r="V95" s="52">
        <v>200</v>
      </c>
      <c r="W95" s="52">
        <v>500</v>
      </c>
      <c r="X95" s="49">
        <v>20</v>
      </c>
      <c r="Y95" s="49">
        <v>5529.6</v>
      </c>
      <c r="Z95" s="49">
        <v>20</v>
      </c>
      <c r="AA95" s="49">
        <v>500</v>
      </c>
    </row>
  </sheetData>
  <phoneticPr fontId="9" type="noConversion"/>
  <pageMargins left="0.7" right="0.7" top="0.75" bottom="0.75" header="0.3" footer="0.3"/>
  <ignoredErrors>
    <ignoredError sqref="N28:P28 N60:P6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2019-12-26T06:15:21Z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