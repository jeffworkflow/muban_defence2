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D2BC9F78-A248-45D8-A0D2-3381CE206C77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2" i="29" l="1"/>
  <c r="Q12" i="29"/>
  <c r="AB182" i="29" l="1"/>
  <c r="P182" i="29"/>
  <c r="P12" i="29"/>
  <c r="Q72" i="29" l="1"/>
  <c r="R72" i="29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X217" i="29"/>
  <c r="Y217" i="29"/>
  <c r="Z217" i="29"/>
  <c r="AA217" i="29"/>
  <c r="S218" i="29"/>
  <c r="T218" i="29"/>
  <c r="W218" i="29"/>
  <c r="X218" i="29"/>
  <c r="Y218" i="29"/>
  <c r="Z218" i="29"/>
  <c r="AA218" i="29"/>
  <c r="S219" i="29"/>
  <c r="T219" i="29"/>
  <c r="W219" i="29"/>
  <c r="X219" i="29"/>
  <c r="Y219" i="29"/>
  <c r="Z219" i="29"/>
  <c r="AA219" i="29"/>
  <c r="S220" i="29"/>
  <c r="T220" i="29"/>
  <c r="W220" i="29"/>
  <c r="X220" i="29"/>
  <c r="Y220" i="29"/>
  <c r="Z220" i="29"/>
  <c r="AA220" i="29"/>
  <c r="S221" i="29"/>
  <c r="T221" i="29"/>
  <c r="W221" i="29"/>
  <c r="X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198" i="29"/>
  <c r="X199" i="29"/>
  <c r="X200" i="29"/>
  <c r="X201" i="29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66" i="29"/>
  <c r="V67" i="29"/>
  <c r="V68" i="29"/>
  <c r="V69" i="29"/>
  <c r="V70" i="29"/>
  <c r="V71" i="29"/>
  <c r="V72" i="29"/>
  <c r="V88" i="29"/>
  <c r="V93" i="29"/>
  <c r="V94" i="29"/>
  <c r="V95" i="29"/>
  <c r="V96" i="29"/>
  <c r="V97" i="29"/>
  <c r="V180" i="29"/>
  <c r="V181" i="29"/>
  <c r="V8" i="29"/>
  <c r="P92" i="29"/>
  <c r="Q96" i="29"/>
  <c r="R96" i="29"/>
  <c r="P96" i="29"/>
  <c r="Q95" i="29"/>
  <c r="R95" i="29"/>
  <c r="P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N99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N141" i="29"/>
  <c r="N160" i="29"/>
  <c r="N168" i="29"/>
  <c r="N167" i="29"/>
  <c r="N166" i="29"/>
  <c r="N165" i="29"/>
  <c r="N163" i="29"/>
  <c r="N162" i="29"/>
  <c r="N161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N109" i="29"/>
  <c r="X119" i="29"/>
  <c r="X118" i="29"/>
  <c r="X117" i="29"/>
  <c r="X116" i="29"/>
  <c r="X115" i="29"/>
  <c r="X114" i="29"/>
  <c r="X113" i="29"/>
  <c r="X112" i="29"/>
  <c r="AA111" i="29"/>
  <c r="X111" i="29"/>
  <c r="AA110" i="29"/>
  <c r="X110" i="29"/>
  <c r="N106" i="29"/>
  <c r="N104" i="29"/>
  <c r="N102" i="29"/>
  <c r="N100" i="29"/>
  <c r="N98" i="29"/>
  <c r="N105" i="29"/>
  <c r="N101" i="29"/>
  <c r="N108" i="29"/>
  <c r="AD109" i="29"/>
  <c r="AC109" i="29"/>
  <c r="AA109" i="29"/>
  <c r="X109" i="29"/>
  <c r="W109" i="29"/>
  <c r="AD108" i="29"/>
  <c r="AC108" i="29"/>
  <c r="Y108" i="29"/>
  <c r="X108" i="29"/>
  <c r="W108" i="29"/>
  <c r="T108" i="29"/>
  <c r="N107" i="29"/>
  <c r="AD107" i="29"/>
  <c r="AC107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A101" i="29"/>
  <c r="AD105" i="29"/>
  <c r="AC105" i="29"/>
  <c r="AA105" i="29"/>
  <c r="X105" i="29"/>
  <c r="W105" i="29"/>
  <c r="T105" i="29"/>
  <c r="AD104" i="29"/>
  <c r="AC104" i="29"/>
  <c r="Y104" i="29"/>
  <c r="X104" i="29"/>
  <c r="W104" i="29"/>
  <c r="T104" i="29"/>
  <c r="N103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N96" i="29"/>
  <c r="N95" i="29"/>
  <c r="N94" i="29"/>
  <c r="N93" i="29"/>
  <c r="N62" i="29"/>
  <c r="N61" i="29"/>
  <c r="N60" i="29"/>
  <c r="N59" i="29"/>
  <c r="N13" i="29"/>
  <c r="N12" i="29"/>
  <c r="N11" i="29"/>
  <c r="N10" i="29"/>
  <c r="N9" i="29"/>
  <c r="N8" i="29"/>
  <c r="AB191" i="29" l="1"/>
  <c r="AB210" i="29"/>
  <c r="P88" i="29"/>
  <c r="P68" i="29"/>
  <c r="Q88" i="29"/>
  <c r="Q68" i="29"/>
  <c r="R65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R61" i="29"/>
  <c r="R60" i="29"/>
  <c r="R35" i="29"/>
  <c r="Q89" i="29"/>
  <c r="P75" i="29"/>
  <c r="P76" i="29" s="1"/>
  <c r="P77" i="29" s="1"/>
  <c r="P78" i="29" s="1"/>
  <c r="P89" i="29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P90" i="29"/>
  <c r="AB194" i="29" l="1"/>
  <c r="AB213" i="29"/>
  <c r="R88" i="29"/>
  <c r="R68" i="29"/>
  <c r="Q79" i="29"/>
  <c r="Q80" i="29" s="1"/>
  <c r="Q81" i="29" s="1"/>
  <c r="Q91" i="29" s="1"/>
  <c r="Q90" i="29"/>
  <c r="P91" i="29"/>
  <c r="P82" i="29"/>
  <c r="Q6" i="29"/>
  <c r="P7" i="29"/>
  <c r="Q7" i="29"/>
  <c r="AB195" i="29" l="1"/>
  <c r="AB214" i="29"/>
  <c r="R69" i="29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N4" i="29"/>
  <c r="AB196" i="29" l="1"/>
  <c r="AB215" i="29"/>
  <c r="R70" i="29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AB198" i="29" l="1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P99" i="29" s="1"/>
  <c r="Q37" i="29"/>
  <c r="R76" i="29" l="1"/>
  <c r="V76" i="29" s="1"/>
  <c r="P98" i="29"/>
  <c r="P100" i="29" s="1"/>
  <c r="P102" i="29" s="1"/>
  <c r="P104" i="29" s="1"/>
  <c r="P106" i="29" s="1"/>
  <c r="P108" i="29" s="1"/>
  <c r="P101" i="29"/>
  <c r="P103" i="29" s="1"/>
  <c r="P105" i="29" s="1"/>
  <c r="P107" i="29" s="1"/>
  <c r="P109" i="29" s="1"/>
  <c r="P110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R99" i="29" s="1"/>
  <c r="V99" i="29" s="1"/>
  <c r="Q38" i="29"/>
  <c r="R77" i="29" l="1"/>
  <c r="V77" i="29" s="1"/>
  <c r="R98" i="29"/>
  <c r="R101" i="29"/>
  <c r="P13" i="29"/>
  <c r="Q99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0" i="29" s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10" i="29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<sst xmlns="http://schemas.openxmlformats.org/spreadsheetml/2006/main" count="1847" uniqueCount="662">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</sst>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1"/>
  <sheetViews>
    <sheetView workbookViewId="0">
      <pane xSplit="1" ySplit="3" topLeftCell="B13" activePane="bottomRight" state="frozen"/>
      <selection pane="topRight"/>
      <selection pane="bottomLeft"/>
      <selection pane="bottomRight" activeCell="D39" sqref="D39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1"/>
  <sheetViews>
    <sheetView tabSelected="1" topLeftCell="A67" zoomScaleNormal="100" workbookViewId="0">
      <pane xSplit="1" topLeftCell="O1" activePane="topRight" state="frozen"/>
      <selection pane="topRight" activeCell="Z91" sqref="Z91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6.0999999999999999E-2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 t="s">
        <v>221</v>
      </c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 t="s">
        <v>221</v>
      </c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6.0999999999999999E-2</v>
      </c>
      <c r="L8" s="24"/>
      <c r="M8" s="21" t="s">
        <v>221</v>
      </c>
      <c r="N8" s="28" t="str">
        <f>"{'sylh1', '"&amp;A8&amp;"*1',8,270,10,12,'烧火棍*1' }"</f>
        <v>{'sylh1', '三眼灵猴*1',8,270,10,12,'烧火棍*1'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6.0999999999999999E-2</v>
      </c>
      <c r="L9" s="24"/>
      <c r="M9" s="21" t="s">
        <v>221</v>
      </c>
      <c r="N9" s="28" t="str">
        <f>"{'yanhuang1', '"&amp;A9&amp;"*1',8,270,10,12,'赤炎甲*1' }"</f>
        <v>{'yanhuang1', '焰皇*1',8,270,10,12,'赤炎甲*1'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6.0999999999999999E-2</v>
      </c>
      <c r="L10" s="24"/>
      <c r="M10" s="21" t="s">
        <v>221</v>
      </c>
      <c r="N10" s="28" t="str">
        <f>"{'miyiyang1', '"&amp;A10&amp;"*1',8,270,10,12,'谜一样的箱子*1' }"</f>
        <v>{'miyiyang1', '灵魂*1',8,270,10,12,'谜一样的箱子*1'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6.0999999999999999E-2</v>
      </c>
      <c r="L11" s="24"/>
      <c r="M11" s="21" t="s">
        <v>221</v>
      </c>
      <c r="N11" s="28" t="str">
        <f>"{'tianshu1', '"&amp;A11&amp;"*1',8,270,10,12,'谜一样的天书*1' }"</f>
        <v>{'tianshu1', '熊猫人*1',8,270,10,12,'谜一样的天书*1'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6.0999999999999999E-2</v>
      </c>
      <c r="L12" s="24"/>
      <c r="M12" s="21" t="s">
        <v>221</v>
      </c>
      <c r="N12" s="28" t="str">
        <f>"{'jingpo1', '"&amp;A12&amp;"*1',8,270,10,12,'圣龙精魄碎片一*1' }"</f>
        <v>{'jingpo1', '九幽地冥蟒*1',8,270,10,12,'圣龙精魄碎片一*1' }</v>
      </c>
      <c r="O12" s="26"/>
      <c r="P12" s="27">
        <f>P38*1.35</f>
        <v>51321600</v>
      </c>
      <c r="Q12" s="27">
        <f>Q38*1.1</f>
        <v>748.07040000000018</v>
      </c>
      <c r="R12" s="27">
        <f>R38*1.1</f>
        <v>26716800.000000007</v>
      </c>
      <c r="S12" s="27">
        <v>100</v>
      </c>
      <c r="T12" s="27">
        <v>350</v>
      </c>
      <c r="U12" s="18">
        <v>1</v>
      </c>
      <c r="V12" s="27">
        <f t="shared" si="2"/>
        <v>133584.00000000003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6.0999999999999999E-2</v>
      </c>
      <c r="L13" s="24"/>
      <c r="M13" s="21" t="s">
        <v>221</v>
      </c>
      <c r="N13" s="28" t="str">
        <f>"{'jingpo2', '"&amp;A13&amp;"*1',8,270,10,12,'圣龙精魄碎片二*1' }"</f>
        <v>{'jingpo2', '九幽雀*1',8,270,10,12,'圣龙精魄碎片二*1' }</v>
      </c>
      <c r="O13" s="26"/>
      <c r="P13" s="27">
        <f>P12</f>
        <v>51321600</v>
      </c>
      <c r="Q13" s="27">
        <f t="shared" ref="Q13:R13" si="4">Q12</f>
        <v>748.07040000000018</v>
      </c>
      <c r="R13" s="27">
        <f t="shared" si="4"/>
        <v>26716800.000000007</v>
      </c>
      <c r="S13" s="27">
        <v>100</v>
      </c>
      <c r="T13" s="27">
        <v>350</v>
      </c>
      <c r="U13" s="18">
        <v>1</v>
      </c>
      <c r="V13" s="27">
        <f t="shared" si="2"/>
        <v>133584.00000000003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6.0999999999999999E-2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6.0999999999999999E-2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6.0999999999999999E-2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6.0999999999999999E-2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6.0999999999999999E-2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6.0999999999999999E-2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6.0999999999999999E-2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6.0999999999999999E-2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6.0999999999999999E-2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6.0999999999999999E-2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6.0999999999999999E-2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6.0999999999999999E-2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6.0999999999999999E-2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6.0999999999999999E-2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6.0999999999999999E-2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6.0999999999999999E-2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6.0999999999999999E-2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6.0999999999999999E-2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6.0999999999999999E-2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6.0999999999999999E-2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6.0999999999999999E-2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6.0999999999999999E-2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6.0999999999999999E-2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6.0999999999999999E-2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6.0999999999999999E-2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6.0999999999999999E-2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6.0999999999999999E-2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6.0999999999999999E-2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6.0999999999999999E-2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6.0999999999999999E-2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6.0999999999999999E-2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6.0999999999999999E-2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6.0999999999999999E-2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6.0999999999999999E-2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6.0999999999999999E-2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6.0999999999999999E-2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6.0999999999999999E-2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6.0999999999999999E-2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6.0999999999999999E-2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6.0999999999999999E-2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6.0999999999999999E-2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6.0999999999999999E-2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6.0999999999999999E-2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6.0999999999999999E-2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6.0999999999999999E-2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6.0999999999999999E-2</v>
      </c>
      <c r="L59" s="24"/>
      <c r="M59" s="21" t="s">
        <v>221</v>
      </c>
      <c r="N59" s="28" t="str">
        <f>"{'sylz1', '"&amp;A59&amp;"*1',8,270,10,12,'三眼赤痕*1' }"</f>
        <v>{'sylz1', '三眼老祖*1',8,270,10,12,'三眼赤痕*1'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6.0999999999999999E-2</v>
      </c>
      <c r="L60" s="24"/>
      <c r="M60" s="21" t="s">
        <v>221</v>
      </c>
      <c r="N60" s="28" t="str">
        <f>"{'bhhl1', '"&amp;A60&amp;"*1',8,270,10,12,'火龙气息*1' }"</f>
        <v>{'bhhl1', '八荒火龙*1',8,270,10,12,'火龙气息*1'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6.0999999999999999E-2</v>
      </c>
      <c r="L61" s="24"/>
      <c r="M61" s="21" t="s">
        <v>221</v>
      </c>
      <c r="N61" s="28" t="str">
        <f>"{'yijie1', '"&amp;A61&amp;"*1',8,270,10,12,'地魂融血丹*1' }"</f>
        <v>{'yijie1', '一姐*1',8,270,10,12,'地魂融血丹*1'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6.0999999999999999E-2</v>
      </c>
      <c r="L62" s="24"/>
      <c r="M62" s="21" t="s">
        <v>221</v>
      </c>
      <c r="N62" s="28" t="str">
        <f>"{'yandi1', '"&amp;A62&amp;"*1',8,270,10,12,'天魂融血丹*1' }"</f>
        <v>{'yandi1', '炎帝*1',8,270,10,12,'天魂融血丹*1'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6.0999999999999999E-2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</f>
        <v>3437500</v>
      </c>
      <c r="S65" s="27">
        <v>100</v>
      </c>
      <c r="T65" s="41">
        <v>370</v>
      </c>
      <c r="U65" s="57">
        <v>1</v>
      </c>
      <c r="V65" s="27">
        <f t="shared" si="2"/>
        <v>17187.5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8593750</v>
      </c>
      <c r="S66" s="27">
        <v>100</v>
      </c>
      <c r="T66" s="41">
        <v>380</v>
      </c>
      <c r="U66" s="57">
        <v>1</v>
      </c>
      <c r="V66" s="27">
        <f t="shared" si="2"/>
        <v>42968.75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21484375</v>
      </c>
      <c r="S67" s="27">
        <v>100</v>
      </c>
      <c r="T67" s="41">
        <v>390</v>
      </c>
      <c r="U67" s="57">
        <v>1</v>
      </c>
      <c r="V67" s="27">
        <f t="shared" si="2"/>
        <v>107421.875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38671875</v>
      </c>
      <c r="S68" s="27">
        <v>100</v>
      </c>
      <c r="T68" s="41">
        <v>400</v>
      </c>
      <c r="U68" s="57">
        <v>0.9</v>
      </c>
      <c r="V68" s="27">
        <f t="shared" si="2"/>
        <v>193359.375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69609375</v>
      </c>
      <c r="S69" s="27">
        <v>100</v>
      </c>
      <c r="T69" s="41">
        <v>410</v>
      </c>
      <c r="U69" s="57">
        <v>0.9</v>
      </c>
      <c r="V69" s="27">
        <f t="shared" si="2"/>
        <v>348046.875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104414062.5</v>
      </c>
      <c r="S70" s="27">
        <v>100</v>
      </c>
      <c r="T70" s="41">
        <v>420</v>
      </c>
      <c r="U70" s="57">
        <v>0.9</v>
      </c>
      <c r="V70" s="27">
        <f t="shared" si="2"/>
        <v>522070.3125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156621093.75</v>
      </c>
      <c r="S71" s="27">
        <v>100</v>
      </c>
      <c r="T71" s="41">
        <v>430</v>
      </c>
      <c r="U71" s="57">
        <v>0.9</v>
      </c>
      <c r="V71" s="27">
        <f t="shared" si="2"/>
        <v>783105.46875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234931640.625</v>
      </c>
      <c r="S72" s="27">
        <v>100</v>
      </c>
      <c r="T72" s="41">
        <v>440</v>
      </c>
      <c r="U72" s="57">
        <v>0.9</v>
      </c>
      <c r="V72" s="27">
        <f t="shared" si="2"/>
        <v>1174658.203125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352397460.9375</v>
      </c>
      <c r="S73" s="27">
        <v>100</v>
      </c>
      <c r="T73" s="41">
        <v>450</v>
      </c>
      <c r="U73" s="57">
        <v>0.8</v>
      </c>
      <c r="V73" s="27">
        <f t="shared" ref="V73:V136" si="40">R73*0.005</f>
        <v>1761987.3046875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458116699.21875</v>
      </c>
      <c r="S74" s="27">
        <v>100</v>
      </c>
      <c r="T74" s="41">
        <v>460</v>
      </c>
      <c r="U74" s="57">
        <v>0.8</v>
      </c>
      <c r="V74" s="27">
        <f t="shared" si="40"/>
        <v>2290583.49609375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549740039.0625</v>
      </c>
      <c r="S75" s="27">
        <v>100</v>
      </c>
      <c r="T75" s="41">
        <v>470</v>
      </c>
      <c r="U75" s="57">
        <v>0.8</v>
      </c>
      <c r="V75" s="27">
        <f t="shared" si="40"/>
        <v>2748700.1953125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659688046.875</v>
      </c>
      <c r="S76" s="27">
        <v>100</v>
      </c>
      <c r="T76" s="41">
        <v>480</v>
      </c>
      <c r="U76" s="57">
        <v>0.8</v>
      </c>
      <c r="V76" s="27">
        <f t="shared" si="40"/>
        <v>3298440.234375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791625656.25</v>
      </c>
      <c r="S77" s="27">
        <v>100</v>
      </c>
      <c r="T77" s="41">
        <v>490</v>
      </c>
      <c r="U77" s="57">
        <v>0.8</v>
      </c>
      <c r="V77" s="27">
        <f t="shared" si="40"/>
        <v>3958128.28125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1187438484.375</v>
      </c>
      <c r="S78" s="27">
        <v>100</v>
      </c>
      <c r="T78" s="41">
        <v>500</v>
      </c>
      <c r="U78" s="57">
        <v>0.7</v>
      </c>
      <c r="V78" s="27">
        <f t="shared" si="40"/>
        <v>5937192.421875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1543670029.6875</v>
      </c>
      <c r="S79" s="27">
        <v>100</v>
      </c>
      <c r="T79" s="41">
        <v>510</v>
      </c>
      <c r="U79" s="57">
        <v>0.7</v>
      </c>
      <c r="V79" s="27">
        <f t="shared" si="40"/>
        <v>7718350.1484375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1852404035.625</v>
      </c>
      <c r="S80" s="27">
        <v>100</v>
      </c>
      <c r="T80" s="41">
        <v>520</v>
      </c>
      <c r="U80" s="57">
        <v>0.7</v>
      </c>
      <c r="V80" s="27">
        <f t="shared" si="40"/>
        <v>9262020.1781249996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2222884842.75</v>
      </c>
      <c r="S81" s="27">
        <v>100</v>
      </c>
      <c r="T81" s="41">
        <v>530</v>
      </c>
      <c r="U81" s="57">
        <v>0.7</v>
      </c>
      <c r="V81" s="27">
        <f t="shared" si="40"/>
        <v>11114424.213750001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2667461811.2999997</v>
      </c>
      <c r="S82" s="27">
        <v>100</v>
      </c>
      <c r="T82" s="41">
        <v>540</v>
      </c>
      <c r="U82" s="57">
        <v>0.7</v>
      </c>
      <c r="V82" s="27">
        <f t="shared" si="40"/>
        <v>13337309.056499999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5334923622.5999994</v>
      </c>
      <c r="S83" s="27">
        <v>100</v>
      </c>
      <c r="T83" s="41">
        <v>550</v>
      </c>
      <c r="U83" s="57">
        <v>0.6</v>
      </c>
      <c r="V83" s="27">
        <f t="shared" si="40"/>
        <v>26674618.112999998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5868415984.8599997</v>
      </c>
      <c r="S84" s="27">
        <v>100</v>
      </c>
      <c r="T84" s="41">
        <v>560</v>
      </c>
      <c r="U84" s="57">
        <v>0.6</v>
      </c>
      <c r="V84" s="27">
        <f t="shared" si="40"/>
        <v>29342079.9243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6455257583.3459997</v>
      </c>
      <c r="S85" s="27">
        <v>100</v>
      </c>
      <c r="T85" s="41">
        <v>570</v>
      </c>
      <c r="U85" s="57">
        <v>0.6</v>
      </c>
      <c r="V85" s="27">
        <f t="shared" si="40"/>
        <v>32276287.916729998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7100783341.6806002</v>
      </c>
      <c r="S86" s="27">
        <v>100</v>
      </c>
      <c r="T86" s="41">
        <v>580</v>
      </c>
      <c r="U86" s="57">
        <v>0.6</v>
      </c>
      <c r="V86" s="27">
        <f t="shared" si="40"/>
        <v>35503916.708402999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7810861675.8486605</v>
      </c>
      <c r="S87" s="27">
        <v>100</v>
      </c>
      <c r="T87" s="41">
        <v>590</v>
      </c>
      <c r="U87" s="57">
        <v>0.6</v>
      </c>
      <c r="V87" s="27">
        <f t="shared" si="40"/>
        <v>39054308.379243307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P67*12</f>
        <v>93750000</v>
      </c>
      <c r="Q88" s="1">
        <f>Q67*4.5</f>
        <v>2966.30859375</v>
      </c>
      <c r="R88" s="1">
        <f>R67*4.5</f>
        <v>96679687.5</v>
      </c>
      <c r="S88" s="27">
        <v>100</v>
      </c>
      <c r="T88" s="41">
        <v>375</v>
      </c>
      <c r="U88" s="57">
        <v>1</v>
      </c>
      <c r="V88" s="27">
        <f t="shared" si="40"/>
        <v>483398.4375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3500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P72*5</f>
        <v>369140625</v>
      </c>
      <c r="Q89" s="1">
        <f t="shared" ref="Q89:R89" si="49">Q72*5</f>
        <v>36040.6494140625</v>
      </c>
      <c r="R89" s="1">
        <f t="shared" si="49"/>
        <v>1174658203.125</v>
      </c>
      <c r="S89" s="27">
        <v>100</v>
      </c>
      <c r="T89" s="41">
        <v>450</v>
      </c>
      <c r="U89" s="57">
        <v>0.85</v>
      </c>
      <c r="V89" s="27">
        <f t="shared" si="40"/>
        <v>5873291.015625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9000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P77*5</f>
        <v>1658475000</v>
      </c>
      <c r="Q90" s="1">
        <f t="shared" ref="Q90:R90" si="50">Q77*5</f>
        <v>121442.572265625</v>
      </c>
      <c r="R90" s="1">
        <f t="shared" si="50"/>
        <v>3958128281.25</v>
      </c>
      <c r="S90" s="27">
        <v>100</v>
      </c>
      <c r="T90" s="41">
        <v>525</v>
      </c>
      <c r="U90" s="57">
        <v>0.7</v>
      </c>
      <c r="V90" s="27">
        <f t="shared" si="40"/>
        <v>19790641.40625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13500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P81*5</f>
        <v>6209330400</v>
      </c>
      <c r="Q91" s="1">
        <f t="shared" ref="Q91:R91" si="51">Q81*5</f>
        <v>341010.74292187497</v>
      </c>
      <c r="R91" s="1">
        <f t="shared" si="51"/>
        <v>11114424213.75</v>
      </c>
      <c r="S91" s="27">
        <v>100</v>
      </c>
      <c r="T91" s="41">
        <v>600</v>
      </c>
      <c r="U91" s="57">
        <v>0.6</v>
      </c>
      <c r="V91" s="27">
        <f t="shared" si="40"/>
        <v>55572121.068750001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23432585027.545982</v>
      </c>
      <c r="S92" s="27">
        <v>100</v>
      </c>
      <c r="T92" s="1">
        <v>675</v>
      </c>
      <c r="U92" s="57">
        <v>0.5</v>
      </c>
      <c r="V92" s="27">
        <f t="shared" si="40"/>
        <v>117162925.13772991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45000</v>
      </c>
      <c r="AC92" s="1">
        <v>20</v>
      </c>
      <c r="AD92" s="1">
        <v>500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6.0999999999999999E-2</v>
      </c>
      <c r="L93" s="24"/>
      <c r="M93" s="21" t="s">
        <v>221</v>
      </c>
      <c r="N93" s="28" t="str">
        <f>"{'ronglian11', '"&amp;A93&amp;"*1',8,270,10,12,'一号熔炼石*1' }"</f>
        <v>{'ronglian11', '熔炼石boss1*1',8,270,10,12,'一号熔炼石*1'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6.0999999999999999E-2</v>
      </c>
      <c r="L94" s="24"/>
      <c r="M94" s="21" t="s">
        <v>221</v>
      </c>
      <c r="N94" s="28" t="str">
        <f>"{'ronglian22', '"&amp;A94&amp;"*1',8,270,10,12,'二号熔炼石*1' }"</f>
        <v>{'ronglian22', '熔炼石boss2*1',8,270,10,12,'二号熔炼石*1'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6.0999999999999999E-2</v>
      </c>
      <c r="L95" s="24"/>
      <c r="M95" s="21" t="s">
        <v>221</v>
      </c>
      <c r="N95" s="28" t="str">
        <f>"{'ronglian33', '"&amp;A95&amp;"*1',8,270,10,12,'三号熔炼石*1' }"</f>
        <v>{'ronglian33', '熔炼石boss3*1',8,270,10,12,'三号熔炼石*1'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6.0999999999999999E-2</v>
      </c>
      <c r="L96" s="24"/>
      <c r="M96" s="21" t="s">
        <v>221</v>
      </c>
      <c r="N96" s="28" t="str">
        <f>"{'ronglian44', '"&amp;A96&amp;"*1',8,270,10,12,'四号熔炼石*1' }"</f>
        <v>{'ronglian44', '熔炼石boss4*1',8,270,10,12,'四号熔炼石*1' }</v>
      </c>
      <c r="P96" s="50">
        <f>P95*5</f>
        <v>4882812500</v>
      </c>
      <c r="Q96" s="50">
        <f t="shared" si="53"/>
        <v>79101.5625</v>
      </c>
      <c r="R96" s="50">
        <f t="shared" si="53"/>
        <v>9765625000</v>
      </c>
      <c r="S96" s="27">
        <v>100</v>
      </c>
      <c r="T96" s="50">
        <v>440</v>
      </c>
      <c r="U96" s="58">
        <v>0.75</v>
      </c>
      <c r="V96" s="27">
        <f t="shared" si="40"/>
        <v>48828125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 t="s">
        <v>221</v>
      </c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6.0999999999999999E-2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8339760</v>
      </c>
      <c r="Q98" s="41">
        <f>Q99/8</f>
        <v>112.21056000000003</v>
      </c>
      <c r="R98" s="41">
        <f>R99/8</f>
        <v>4007520.0000000009</v>
      </c>
      <c r="S98" s="27">
        <v>100</v>
      </c>
      <c r="T98" s="41">
        <f t="shared" ref="T98:AD99" si="54">T11</f>
        <v>350</v>
      </c>
      <c r="U98" s="57">
        <v>0.8</v>
      </c>
      <c r="V98" s="27">
        <f t="shared" si="40"/>
        <v>20037.600000000006</v>
      </c>
      <c r="W98" s="41">
        <f t="shared" si="54"/>
        <v>0</v>
      </c>
      <c r="X98" s="41">
        <f t="shared" si="54"/>
        <v>200</v>
      </c>
      <c r="Y98" s="41">
        <f t="shared" si="54"/>
        <v>50</v>
      </c>
      <c r="Z98" s="27">
        <v>0</v>
      </c>
      <c r="AA98" s="1">
        <v>20</v>
      </c>
      <c r="AB98" s="1">
        <v>500</v>
      </c>
      <c r="AC98" s="41">
        <f t="shared" ref="AC98:AD98" si="55">AC42</f>
        <v>0</v>
      </c>
      <c r="AD98" s="41">
        <f t="shared" si="55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6.0999999999999999E-2</v>
      </c>
      <c r="M99" s="21" t="s">
        <v>221</v>
      </c>
      <c r="N99" s="28" t="str">
        <f>"{'cbg4', '"&amp;A99&amp;"*1',8,270,10,12 }"</f>
        <v>{'cbg4', '藏宝阁阁主*1',8,270,10,12 }</v>
      </c>
      <c r="P99" s="41">
        <f>P12*1.3</f>
        <v>66718080</v>
      </c>
      <c r="Q99" s="41">
        <f t="shared" ref="Q99:R99" si="56">Q12*1.2</f>
        <v>897.68448000000024</v>
      </c>
      <c r="R99" s="41">
        <f t="shared" si="56"/>
        <v>32060160.000000007</v>
      </c>
      <c r="S99" s="27">
        <v>100</v>
      </c>
      <c r="T99" s="41">
        <f t="shared" si="54"/>
        <v>350</v>
      </c>
      <c r="U99" s="57">
        <v>0.8</v>
      </c>
      <c r="V99" s="27">
        <f t="shared" si="40"/>
        <v>160300.80000000005</v>
      </c>
      <c r="W99" s="41">
        <f t="shared" si="54"/>
        <v>0</v>
      </c>
      <c r="X99" s="41">
        <f t="shared" si="54"/>
        <v>200</v>
      </c>
      <c r="Y99" s="41">
        <v>100</v>
      </c>
      <c r="Z99" s="27">
        <v>0</v>
      </c>
      <c r="AA99" s="41">
        <f t="shared" si="54"/>
        <v>20</v>
      </c>
      <c r="AB99" s="41">
        <v>1500</v>
      </c>
      <c r="AC99" s="41">
        <f t="shared" si="54"/>
        <v>0</v>
      </c>
      <c r="AD99" s="41">
        <f t="shared" si="54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6.0999999999999999E-2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10007712</v>
      </c>
      <c r="Q100" s="41">
        <f t="shared" ref="Q100:R100" si="57">Q98*1.2</f>
        <v>134.65267200000002</v>
      </c>
      <c r="R100" s="41">
        <f t="shared" si="57"/>
        <v>4809024.0000000009</v>
      </c>
      <c r="S100" s="27">
        <v>100</v>
      </c>
      <c r="T100" s="41">
        <f t="shared" ref="T100:Y100" si="58">T13</f>
        <v>350</v>
      </c>
      <c r="U100" s="57">
        <v>0.8</v>
      </c>
      <c r="V100" s="27">
        <f t="shared" si="40"/>
        <v>24045.120000000006</v>
      </c>
      <c r="W100" s="41">
        <f t="shared" si="58"/>
        <v>0</v>
      </c>
      <c r="X100" s="41">
        <f t="shared" si="58"/>
        <v>200</v>
      </c>
      <c r="Y100" s="41">
        <f t="shared" si="58"/>
        <v>50</v>
      </c>
      <c r="Z100" s="27">
        <v>0</v>
      </c>
      <c r="AA100" s="1">
        <v>20</v>
      </c>
      <c r="AB100" s="1">
        <v>600</v>
      </c>
      <c r="AC100" s="41">
        <f t="shared" ref="AC100:AD100" si="59">AC44</f>
        <v>0</v>
      </c>
      <c r="AD100" s="41">
        <f t="shared" si="59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6.0999999999999999E-2</v>
      </c>
      <c r="M101" s="21" t="s">
        <v>221</v>
      </c>
      <c r="N101" s="28" t="str">
        <f>"{'cjg6', '"&amp;A101&amp;"*1',8,270,10,12 }"</f>
        <v>{'cjg6', '藏经阁少阁主*1',8,270,10,12 }</v>
      </c>
      <c r="P101" s="41">
        <f>P99*1.2</f>
        <v>80061696</v>
      </c>
      <c r="Q101" s="41">
        <f t="shared" ref="Q101:R101" si="60">Q99*1.2</f>
        <v>1077.2213760000002</v>
      </c>
      <c r="R101" s="41">
        <f t="shared" si="60"/>
        <v>38472192.000000007</v>
      </c>
      <c r="S101" s="27">
        <v>100</v>
      </c>
      <c r="T101" s="41">
        <f t="shared" ref="T101:AD101" si="61">T14</f>
        <v>350</v>
      </c>
      <c r="U101" s="57">
        <v>0.8</v>
      </c>
      <c r="V101" s="27">
        <f t="shared" si="40"/>
        <v>192360.96000000005</v>
      </c>
      <c r="W101" s="41">
        <f t="shared" si="61"/>
        <v>0</v>
      </c>
      <c r="X101" s="41">
        <f t="shared" si="61"/>
        <v>200</v>
      </c>
      <c r="Y101" s="41">
        <v>100</v>
      </c>
      <c r="Z101" s="27">
        <v>0</v>
      </c>
      <c r="AA101" s="41">
        <f t="shared" si="61"/>
        <v>10</v>
      </c>
      <c r="AB101" s="41">
        <v>1750</v>
      </c>
      <c r="AC101" s="41">
        <f t="shared" si="61"/>
        <v>0</v>
      </c>
      <c r="AD101" s="41">
        <f t="shared" si="61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6.0999999999999999E-2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12009254.4</v>
      </c>
      <c r="Q102" s="41">
        <f t="shared" ref="Q102:R102" si="62">Q100*1.2</f>
        <v>161.58320640000002</v>
      </c>
      <c r="R102" s="41">
        <f t="shared" si="62"/>
        <v>5770828.8000000007</v>
      </c>
      <c r="S102" s="27">
        <v>100</v>
      </c>
      <c r="T102" s="1">
        <v>350</v>
      </c>
      <c r="U102" s="57">
        <v>0.8</v>
      </c>
      <c r="V102" s="27">
        <f t="shared" si="40"/>
        <v>28854.144000000004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6.0999999999999999E-2</v>
      </c>
      <c r="L103" s="53"/>
      <c r="M103" s="21" t="s">
        <v>221</v>
      </c>
      <c r="N103" s="11" t="str">
        <f>"{'jianzhong4', '"&amp;A103&amp;"*1',8,270,10,12 }"</f>
        <v>{'jianzhong4', '剑魔*1',8,270,10,12 }</v>
      </c>
      <c r="P103" s="41">
        <f t="shared" ref="P103:R109" si="63">P101*1.2</f>
        <v>96074035.200000003</v>
      </c>
      <c r="Q103" s="41">
        <f t="shared" si="63"/>
        <v>1292.6656512000002</v>
      </c>
      <c r="R103" s="41">
        <f t="shared" si="63"/>
        <v>46166630.400000006</v>
      </c>
      <c r="S103" s="27">
        <v>100</v>
      </c>
      <c r="T103" s="1">
        <v>350</v>
      </c>
      <c r="U103" s="57">
        <v>0.8</v>
      </c>
      <c r="V103" s="27">
        <f t="shared" si="40"/>
        <v>230833.15200000003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2000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6.0999999999999999E-2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3"/>
        <v>14411105.279999999</v>
      </c>
      <c r="Q104" s="41">
        <f t="shared" si="63"/>
        <v>193.89984768000002</v>
      </c>
      <c r="R104" s="41">
        <f t="shared" si="63"/>
        <v>6924994.5600000005</v>
      </c>
      <c r="S104" s="27">
        <v>100</v>
      </c>
      <c r="T104" s="41">
        <f t="shared" ref="T104:Y104" si="64">T17</f>
        <v>350</v>
      </c>
      <c r="U104" s="57">
        <v>0.8</v>
      </c>
      <c r="V104" s="27">
        <f t="shared" si="40"/>
        <v>34624.972800000003</v>
      </c>
      <c r="W104" s="41">
        <f t="shared" si="64"/>
        <v>0</v>
      </c>
      <c r="X104" s="41">
        <f t="shared" si="64"/>
        <v>200</v>
      </c>
      <c r="Y104" s="41">
        <f t="shared" si="64"/>
        <v>50</v>
      </c>
      <c r="Z104" s="27">
        <v>0</v>
      </c>
      <c r="AA104" s="1">
        <v>20</v>
      </c>
      <c r="AB104" s="1">
        <v>800</v>
      </c>
      <c r="AC104" s="41">
        <f t="shared" ref="AC104:AD104" si="65">AC48</f>
        <v>0</v>
      </c>
      <c r="AD104" s="41">
        <f t="shared" si="65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6.0999999999999999E-2</v>
      </c>
      <c r="M105" s="21" t="s">
        <v>221</v>
      </c>
      <c r="N105" s="28" t="str">
        <f>"{'bhg7', '"&amp;A105&amp;"*1',8,20,10,12 }"</f>
        <v>{'bhg7', '苏若颜*1',8,20,10,12 }</v>
      </c>
      <c r="P105" s="41">
        <f t="shared" si="63"/>
        <v>115288842.23999999</v>
      </c>
      <c r="Q105" s="41">
        <f t="shared" si="63"/>
        <v>1551.1987814400002</v>
      </c>
      <c r="R105" s="41">
        <f t="shared" si="63"/>
        <v>55399956.480000004</v>
      </c>
      <c r="S105" s="27">
        <v>100</v>
      </c>
      <c r="T105" s="41">
        <f t="shared" ref="T105:AD105" si="66">T18</f>
        <v>350</v>
      </c>
      <c r="U105" s="57">
        <v>0.8</v>
      </c>
      <c r="V105" s="27">
        <f t="shared" si="40"/>
        <v>276999.78240000003</v>
      </c>
      <c r="W105" s="41">
        <f t="shared" si="66"/>
        <v>0</v>
      </c>
      <c r="X105" s="41">
        <f t="shared" si="66"/>
        <v>200</v>
      </c>
      <c r="Y105" s="41">
        <v>100</v>
      </c>
      <c r="Z105" s="27">
        <v>0</v>
      </c>
      <c r="AA105" s="41">
        <f t="shared" si="66"/>
        <v>20</v>
      </c>
      <c r="AB105" s="41">
        <v>2250</v>
      </c>
      <c r="AC105" s="41">
        <f t="shared" si="66"/>
        <v>0</v>
      </c>
      <c r="AD105" s="41">
        <f t="shared" si="66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6.0999999999999999E-2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3"/>
        <v>17293326.335999999</v>
      </c>
      <c r="Q106" s="41">
        <f t="shared" si="63"/>
        <v>232.679817216</v>
      </c>
      <c r="R106" s="41">
        <f t="shared" si="63"/>
        <v>8309993.4720000001</v>
      </c>
      <c r="S106" s="27">
        <v>100</v>
      </c>
      <c r="T106" s="41">
        <f t="shared" ref="T106:Y106" si="67">T19</f>
        <v>350</v>
      </c>
      <c r="U106" s="57">
        <v>0.8</v>
      </c>
      <c r="V106" s="27">
        <f t="shared" si="40"/>
        <v>41549.967360000002</v>
      </c>
      <c r="W106" s="41">
        <f t="shared" si="67"/>
        <v>0</v>
      </c>
      <c r="X106" s="41">
        <f t="shared" si="67"/>
        <v>200</v>
      </c>
      <c r="Y106" s="41">
        <f t="shared" si="67"/>
        <v>50</v>
      </c>
      <c r="Z106" s="27">
        <v>0</v>
      </c>
      <c r="AA106" s="1">
        <v>20</v>
      </c>
      <c r="AB106" s="1">
        <v>900</v>
      </c>
      <c r="AC106" s="41">
        <f t="shared" ref="AC106:AD106" si="68">AC50</f>
        <v>0</v>
      </c>
      <c r="AD106" s="41">
        <f t="shared" si="68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6.0999999999999999E-2</v>
      </c>
      <c r="M107" s="21" t="s">
        <v>221</v>
      </c>
      <c r="N107" s="28" t="str">
        <f>"{'longgong8', '"&amp;A107&amp;"*1',8,270,10,12 }"</f>
        <v>{'longgong8', '哪吒*1',8,270,10,12 }</v>
      </c>
      <c r="P107" s="41">
        <f t="shared" si="63"/>
        <v>138346610.68799999</v>
      </c>
      <c r="Q107" s="41">
        <f t="shared" si="63"/>
        <v>1861.438537728</v>
      </c>
      <c r="R107" s="41">
        <f t="shared" si="63"/>
        <v>66479947.776000001</v>
      </c>
      <c r="S107" s="27">
        <v>100</v>
      </c>
      <c r="T107" s="41">
        <f t="shared" ref="T107:AA107" si="69">T20</f>
        <v>350</v>
      </c>
      <c r="U107" s="57">
        <v>0.8</v>
      </c>
      <c r="V107" s="27">
        <f t="shared" si="40"/>
        <v>332399.73888000002</v>
      </c>
      <c r="W107" s="41">
        <f t="shared" si="69"/>
        <v>0</v>
      </c>
      <c r="X107" s="41">
        <f t="shared" si="69"/>
        <v>200</v>
      </c>
      <c r="Y107" s="41">
        <v>100</v>
      </c>
      <c r="Z107" s="27">
        <v>0</v>
      </c>
      <c r="AA107" s="41">
        <f t="shared" si="69"/>
        <v>20</v>
      </c>
      <c r="AB107" s="41">
        <v>2500</v>
      </c>
      <c r="AC107" s="41">
        <f t="shared" ref="AC107:AD107" si="70">AC20</f>
        <v>0</v>
      </c>
      <c r="AD107" s="41">
        <f t="shared" si="70"/>
        <v>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6.0999999999999999E-2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3"/>
        <v>20751991.6032</v>
      </c>
      <c r="Q108" s="41">
        <f t="shared" si="63"/>
        <v>279.21578065919999</v>
      </c>
      <c r="R108" s="41">
        <f t="shared" si="63"/>
        <v>9971992.1664000005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49859.960832000004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6.0999999999999999E-2</v>
      </c>
      <c r="M109" s="21" t="s">
        <v>221</v>
      </c>
      <c r="N109" s="28" t="str">
        <f>"{'zeds7', '"&amp;A109&amp;"*1',8,270,10,12 }"</f>
        <v>{'zeds7', '牛头马面*1',8,270,10,12 }</v>
      </c>
      <c r="P109" s="41">
        <f t="shared" si="63"/>
        <v>166015932.8256</v>
      </c>
      <c r="Q109" s="41">
        <f>Q107*1.2</f>
        <v>2233.7262452735999</v>
      </c>
      <c r="R109" s="41">
        <f t="shared" si="63"/>
        <v>79775937.331200004</v>
      </c>
      <c r="S109" s="27">
        <v>100</v>
      </c>
      <c r="T109" s="41">
        <v>350</v>
      </c>
      <c r="U109" s="57">
        <v>0.8</v>
      </c>
      <c r="V109" s="27">
        <f t="shared" si="40"/>
        <v>398879.68665600003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2750</v>
      </c>
      <c r="AC109" s="41">
        <f t="shared" ref="AC109:AD109" si="74">AC22</f>
        <v>0</v>
      </c>
      <c r="AD109" s="41">
        <f t="shared" si="74"/>
        <v>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6.0999999999999999E-2</v>
      </c>
      <c r="M110" s="21" t="s">
        <v>221</v>
      </c>
      <c r="N110" s="28"/>
      <c r="P110" s="41">
        <f>P109*2</f>
        <v>332031865.6512</v>
      </c>
      <c r="Q110" s="41">
        <f t="shared" ref="Q110:R110" si="75">Q109*2</f>
        <v>4467.4524905471999</v>
      </c>
      <c r="R110" s="41">
        <f t="shared" si="75"/>
        <v>159551874.66240001</v>
      </c>
      <c r="S110" s="27">
        <v>100</v>
      </c>
      <c r="T110" s="52">
        <v>450</v>
      </c>
      <c r="U110" s="57">
        <v>0.8</v>
      </c>
      <c r="V110" s="27">
        <f t="shared" si="40"/>
        <v>797759.37331200007</v>
      </c>
      <c r="W110" s="41">
        <v>0</v>
      </c>
      <c r="X110" s="41">
        <f t="shared" si="73"/>
        <v>200</v>
      </c>
      <c r="Y110" s="41">
        <v>110</v>
      </c>
      <c r="Z110" s="27">
        <v>0</v>
      </c>
      <c r="AA110" s="41">
        <f t="shared" si="73"/>
        <v>20</v>
      </c>
      <c r="AB110" s="41">
        <v>5000</v>
      </c>
      <c r="AC110" s="41">
        <v>10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6.0999999999999999E-2</v>
      </c>
      <c r="M111" s="21" t="s">
        <v>221</v>
      </c>
      <c r="N111" s="28"/>
      <c r="P111" s="41">
        <f>P110*1.1</f>
        <v>365235052.21632004</v>
      </c>
      <c r="Q111" s="41">
        <f>Q110*1.2</f>
        <v>5360.9429886566395</v>
      </c>
      <c r="R111" s="41">
        <f>R110*1.2</f>
        <v>191462249.59488001</v>
      </c>
      <c r="S111" s="27">
        <v>100</v>
      </c>
      <c r="T111" s="52">
        <v>450</v>
      </c>
      <c r="U111" s="57">
        <v>0.8</v>
      </c>
      <c r="V111" s="27">
        <f t="shared" si="40"/>
        <v>957311.24797440006</v>
      </c>
      <c r="W111" s="41">
        <v>0</v>
      </c>
      <c r="X111" s="41">
        <f t="shared" si="73"/>
        <v>200</v>
      </c>
      <c r="Y111" s="41">
        <v>120</v>
      </c>
      <c r="Z111" s="27">
        <v>0</v>
      </c>
      <c r="AA111" s="41">
        <f t="shared" si="73"/>
        <v>20</v>
      </c>
      <c r="AB111" s="41">
        <v>5000</v>
      </c>
      <c r="AC111" s="41">
        <v>10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6.0999999999999999E-2</v>
      </c>
      <c r="M112" s="21" t="s">
        <v>221</v>
      </c>
      <c r="N112" s="28"/>
      <c r="P112" s="41">
        <f t="shared" ref="P112:P119" si="76">P111*1.1</f>
        <v>401758557.4379521</v>
      </c>
      <c r="Q112" s="41">
        <f t="shared" ref="Q112:Q119" si="77">Q111*1.2</f>
        <v>6433.1315863879672</v>
      </c>
      <c r="R112" s="41">
        <f t="shared" ref="R112:R119" si="78">R111*1.2</f>
        <v>229754699.51385602</v>
      </c>
      <c r="S112" s="27">
        <v>100</v>
      </c>
      <c r="T112" s="52">
        <v>450</v>
      </c>
      <c r="U112" s="57">
        <v>0.8</v>
      </c>
      <c r="V112" s="27">
        <f t="shared" si="40"/>
        <v>1148773.4975692802</v>
      </c>
      <c r="W112" s="41">
        <v>0</v>
      </c>
      <c r="X112" s="41">
        <f t="shared" si="73"/>
        <v>200</v>
      </c>
      <c r="Y112" s="41">
        <v>130</v>
      </c>
      <c r="Z112" s="27">
        <v>0</v>
      </c>
      <c r="AA112" s="41">
        <v>20</v>
      </c>
      <c r="AB112" s="41">
        <v>5000</v>
      </c>
      <c r="AC112" s="41">
        <v>10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6.0999999999999999E-2</v>
      </c>
      <c r="M113" s="21" t="s">
        <v>221</v>
      </c>
      <c r="N113" s="28"/>
      <c r="P113" s="41">
        <f t="shared" si="76"/>
        <v>441934413.18174732</v>
      </c>
      <c r="Q113" s="41">
        <f t="shared" si="77"/>
        <v>7719.7579036655607</v>
      </c>
      <c r="R113" s="41">
        <f t="shared" si="78"/>
        <v>275705639.41662723</v>
      </c>
      <c r="S113" s="27">
        <v>100</v>
      </c>
      <c r="T113" s="52">
        <v>450</v>
      </c>
      <c r="U113" s="57">
        <v>0.8</v>
      </c>
      <c r="V113" s="27">
        <f t="shared" si="40"/>
        <v>1378528.1970831361</v>
      </c>
      <c r="W113" s="41">
        <v>0</v>
      </c>
      <c r="X113" s="41">
        <f t="shared" si="73"/>
        <v>200</v>
      </c>
      <c r="Y113" s="41">
        <v>140</v>
      </c>
      <c r="Z113" s="27">
        <v>0</v>
      </c>
      <c r="AA113" s="41">
        <v>20</v>
      </c>
      <c r="AB113" s="41">
        <v>5000</v>
      </c>
      <c r="AC113" s="41">
        <v>10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6.0999999999999999E-2</v>
      </c>
      <c r="M114" s="21" t="s">
        <v>221</v>
      </c>
      <c r="N114" s="28"/>
      <c r="P114" s="41">
        <f t="shared" si="76"/>
        <v>486127854.4999221</v>
      </c>
      <c r="Q114" s="41">
        <f t="shared" si="77"/>
        <v>9263.7094843986724</v>
      </c>
      <c r="R114" s="41">
        <f t="shared" si="78"/>
        <v>330846767.29995269</v>
      </c>
      <c r="S114" s="27">
        <v>100</v>
      </c>
      <c r="T114" s="52">
        <v>450</v>
      </c>
      <c r="U114" s="57">
        <v>0.8</v>
      </c>
      <c r="V114" s="27">
        <f t="shared" si="40"/>
        <v>1654233.8364997634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5000</v>
      </c>
      <c r="AC114" s="41">
        <v>10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6.0999999999999999E-2</v>
      </c>
      <c r="M115" s="21" t="s">
        <v>221</v>
      </c>
      <c r="N115" s="28"/>
      <c r="P115" s="41">
        <f t="shared" si="76"/>
        <v>534740639.94991434</v>
      </c>
      <c r="Q115" s="41">
        <f t="shared" si="77"/>
        <v>11116.451381278406</v>
      </c>
      <c r="R115" s="41">
        <f t="shared" si="78"/>
        <v>397016120.75994319</v>
      </c>
      <c r="S115" s="27">
        <v>100</v>
      </c>
      <c r="T115" s="52">
        <v>450</v>
      </c>
      <c r="U115" s="57">
        <v>0.8</v>
      </c>
      <c r="V115" s="27">
        <f t="shared" si="40"/>
        <v>1985080.6037997159</v>
      </c>
      <c r="W115" s="41">
        <v>0</v>
      </c>
      <c r="X115" s="41">
        <f t="shared" si="73"/>
        <v>200</v>
      </c>
      <c r="Y115" s="41">
        <v>160</v>
      </c>
      <c r="Z115" s="27">
        <v>0</v>
      </c>
      <c r="AA115" s="41">
        <v>20</v>
      </c>
      <c r="AB115" s="41">
        <v>5000</v>
      </c>
      <c r="AC115" s="41">
        <v>10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6.0999999999999999E-2</v>
      </c>
      <c r="M116" s="21" t="s">
        <v>221</v>
      </c>
      <c r="N116" s="28"/>
      <c r="P116" s="41">
        <f t="shared" si="76"/>
        <v>588214703.94490576</v>
      </c>
      <c r="Q116" s="41">
        <f t="shared" si="77"/>
        <v>13339.741657534087</v>
      </c>
      <c r="R116" s="41">
        <f t="shared" si="78"/>
        <v>476419344.91193181</v>
      </c>
      <c r="S116" s="27">
        <v>100</v>
      </c>
      <c r="T116" s="52">
        <v>450</v>
      </c>
      <c r="U116" s="57">
        <v>0.8</v>
      </c>
      <c r="V116" s="27">
        <f t="shared" si="40"/>
        <v>2382096.7245596591</v>
      </c>
      <c r="W116" s="41">
        <v>0</v>
      </c>
      <c r="X116" s="41">
        <f t="shared" si="73"/>
        <v>200</v>
      </c>
      <c r="Y116" s="41">
        <v>170</v>
      </c>
      <c r="Z116" s="27">
        <v>0</v>
      </c>
      <c r="AA116" s="41">
        <v>20</v>
      </c>
      <c r="AB116" s="41">
        <v>5000</v>
      </c>
      <c r="AC116" s="41">
        <v>10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6.0999999999999999E-2</v>
      </c>
      <c r="M117" s="21" t="s">
        <v>221</v>
      </c>
      <c r="N117" s="28"/>
      <c r="P117" s="41">
        <f t="shared" si="76"/>
        <v>647036174.33939636</v>
      </c>
      <c r="Q117" s="41">
        <f t="shared" si="77"/>
        <v>16007.689989040904</v>
      </c>
      <c r="R117" s="41">
        <f t="shared" si="78"/>
        <v>571703213.8943181</v>
      </c>
      <c r="S117" s="27">
        <v>100</v>
      </c>
      <c r="T117" s="52">
        <v>450</v>
      </c>
      <c r="U117" s="57">
        <v>0.8</v>
      </c>
      <c r="V117" s="27">
        <f t="shared" si="40"/>
        <v>2858516.0694715907</v>
      </c>
      <c r="W117" s="41">
        <v>0</v>
      </c>
      <c r="X117" s="41">
        <f t="shared" si="73"/>
        <v>200</v>
      </c>
      <c r="Y117" s="41">
        <v>180</v>
      </c>
      <c r="Z117" s="27">
        <v>0</v>
      </c>
      <c r="AA117" s="41">
        <v>20</v>
      </c>
      <c r="AB117" s="41">
        <v>5000</v>
      </c>
      <c r="AC117" s="41">
        <v>10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6.0999999999999999E-2</v>
      </c>
      <c r="M118" s="21" t="s">
        <v>221</v>
      </c>
      <c r="N118" s="28"/>
      <c r="P118" s="41">
        <f t="shared" si="76"/>
        <v>711739791.77333605</v>
      </c>
      <c r="Q118" s="41">
        <f t="shared" si="77"/>
        <v>19209.227986849084</v>
      </c>
      <c r="R118" s="41">
        <f t="shared" si="78"/>
        <v>686043856.67318165</v>
      </c>
      <c r="S118" s="27">
        <v>100</v>
      </c>
      <c r="T118" s="52">
        <v>450</v>
      </c>
      <c r="U118" s="57">
        <v>0.8</v>
      </c>
      <c r="V118" s="27">
        <f t="shared" si="40"/>
        <v>3430219.2833659085</v>
      </c>
      <c r="W118" s="41">
        <v>0</v>
      </c>
      <c r="X118" s="41">
        <f t="shared" si="73"/>
        <v>200</v>
      </c>
      <c r="Y118" s="41">
        <v>190</v>
      </c>
      <c r="Z118" s="27">
        <v>0</v>
      </c>
      <c r="AA118" s="41">
        <v>20</v>
      </c>
      <c r="AB118" s="41">
        <v>5000</v>
      </c>
      <c r="AC118" s="41">
        <v>10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6.0999999999999999E-2</v>
      </c>
      <c r="M119" s="21" t="s">
        <v>221</v>
      </c>
      <c r="N119" s="28"/>
      <c r="P119" s="41">
        <f t="shared" si="76"/>
        <v>782913770.95066977</v>
      </c>
      <c r="Q119" s="41">
        <f t="shared" si="77"/>
        <v>23051.073584218899</v>
      </c>
      <c r="R119" s="41">
        <f t="shared" si="78"/>
        <v>823252628.00781798</v>
      </c>
      <c r="S119" s="27">
        <v>100</v>
      </c>
      <c r="T119" s="52">
        <v>450</v>
      </c>
      <c r="U119" s="57">
        <v>0.8</v>
      </c>
      <c r="V119" s="27">
        <f t="shared" si="40"/>
        <v>4116263.1400390901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5000</v>
      </c>
      <c r="AC119" s="41">
        <v>10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6.0999999999999999E-2</v>
      </c>
      <c r="M120" s="21" t="s">
        <v>221</v>
      </c>
      <c r="N120" s="28" t="str">
        <f>"{'shoulei12', '"&amp;A120&amp;"*1',8,270,10,12 }"</f>
        <v>{'shoulei12', '二郎侍卫1*1',8,270,10,12 }</v>
      </c>
      <c r="P120" s="41">
        <f>P119*1.1</f>
        <v>861205148.04573679</v>
      </c>
      <c r="Q120" s="41">
        <f>Q119*1.1</f>
        <v>25356.180942640789</v>
      </c>
      <c r="R120" s="41">
        <f t="shared" ref="R120" si="79">R119*1.1</f>
        <v>905577890.80859983</v>
      </c>
      <c r="S120" s="27">
        <v>100</v>
      </c>
      <c r="T120" s="52">
        <v>450</v>
      </c>
      <c r="U120" s="57">
        <v>0.7</v>
      </c>
      <c r="V120" s="27">
        <f t="shared" si="40"/>
        <v>4527889.4540429991</v>
      </c>
      <c r="W120" s="41">
        <v>0</v>
      </c>
      <c r="X120" s="41">
        <f t="shared" ref="X120" si="80">X33</f>
        <v>200</v>
      </c>
      <c r="Y120" s="41">
        <v>210</v>
      </c>
      <c r="Z120" s="27">
        <v>0</v>
      </c>
      <c r="AA120" s="41">
        <v>20</v>
      </c>
      <c r="AB120" s="41">
        <v>5000</v>
      </c>
      <c r="AC120" s="41">
        <v>15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6.0999999999999999E-2</v>
      </c>
      <c r="M121" s="21" t="s">
        <v>221</v>
      </c>
      <c r="N121" s="28" t="str">
        <f>"{'shoulei13', '"&amp;A121&amp;"*1',8,270,10,12 }"</f>
        <v>{'shoulei13', '二郎侍卫2*1',8,270,10,12 }</v>
      </c>
      <c r="P121" s="41">
        <f>P120*1.02</f>
        <v>878429251.00665152</v>
      </c>
      <c r="Q121" s="41">
        <f t="shared" ref="Q121:R121" si="81">Q120*1.02</f>
        <v>25863.304561493605</v>
      </c>
      <c r="R121" s="41">
        <f t="shared" si="81"/>
        <v>923689448.62477183</v>
      </c>
      <c r="S121" s="27">
        <v>100</v>
      </c>
      <c r="T121" s="52">
        <v>450</v>
      </c>
      <c r="U121" s="57">
        <v>0.7</v>
      </c>
      <c r="V121" s="27">
        <f t="shared" si="40"/>
        <v>4618447.2431238592</v>
      </c>
      <c r="W121" s="41">
        <v>0</v>
      </c>
      <c r="X121" s="41">
        <f t="shared" ref="X121" si="82">X34</f>
        <v>200</v>
      </c>
      <c r="Y121" s="41">
        <v>210</v>
      </c>
      <c r="Z121" s="27">
        <v>0</v>
      </c>
      <c r="AA121" s="41">
        <v>20</v>
      </c>
      <c r="AB121" s="41">
        <v>5000</v>
      </c>
      <c r="AC121" s="41">
        <v>15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6.0999999999999999E-2</v>
      </c>
      <c r="M122" s="21" t="s">
        <v>221</v>
      </c>
      <c r="N122" s="28" t="str">
        <f>"{'shoulei14', '"&amp;A122&amp;"*1',8,270,10,12 }"</f>
        <v>{'shoulei14', '二郎侍卫3*1',8,270,10,12 }</v>
      </c>
      <c r="P122" s="41">
        <f t="shared" ref="P122:R128" si="83">P121*1.02</f>
        <v>895997836.02678454</v>
      </c>
      <c r="Q122" s="41">
        <f t="shared" si="83"/>
        <v>26380.57065272348</v>
      </c>
      <c r="R122" s="41">
        <f t="shared" si="83"/>
        <v>942163237.59726727</v>
      </c>
      <c r="S122" s="27">
        <v>100</v>
      </c>
      <c r="T122" s="52">
        <v>450</v>
      </c>
      <c r="U122" s="57">
        <v>0.7</v>
      </c>
      <c r="V122" s="27">
        <f t="shared" si="40"/>
        <v>4710816.1879863366</v>
      </c>
      <c r="W122" s="41">
        <v>0</v>
      </c>
      <c r="X122" s="41">
        <f t="shared" ref="X122" si="84">X35</f>
        <v>200</v>
      </c>
      <c r="Y122" s="41">
        <v>210</v>
      </c>
      <c r="Z122" s="27">
        <v>0</v>
      </c>
      <c r="AA122" s="41">
        <v>20</v>
      </c>
      <c r="AB122" s="41">
        <v>5000</v>
      </c>
      <c r="AC122" s="41">
        <v>15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6.0999999999999999E-2</v>
      </c>
      <c r="M123" s="21" t="s">
        <v>221</v>
      </c>
      <c r="N123" s="28" t="str">
        <f>"{'shoulei15', '"&amp;A123&amp;"*1',8,270,10,12 }"</f>
        <v>{'shoulei15', '二郎侍卫4*1',8,270,10,12 }</v>
      </c>
      <c r="P123" s="41">
        <f t="shared" si="83"/>
        <v>913917792.74732029</v>
      </c>
      <c r="Q123" s="41">
        <f t="shared" si="83"/>
        <v>26908.18206577795</v>
      </c>
      <c r="R123" s="41">
        <f t="shared" si="83"/>
        <v>961006502.34921265</v>
      </c>
      <c r="S123" s="27">
        <v>100</v>
      </c>
      <c r="T123" s="52">
        <v>450</v>
      </c>
      <c r="U123" s="57">
        <v>0.7</v>
      </c>
      <c r="V123" s="27">
        <f t="shared" si="40"/>
        <v>4805032.5117460629</v>
      </c>
      <c r="W123" s="41">
        <v>0</v>
      </c>
      <c r="X123" s="41">
        <f t="shared" ref="X123" si="85">X36</f>
        <v>200</v>
      </c>
      <c r="Y123" s="41">
        <v>210</v>
      </c>
      <c r="Z123" s="27">
        <v>0</v>
      </c>
      <c r="AA123" s="41">
        <v>20</v>
      </c>
      <c r="AB123" s="41">
        <v>5000</v>
      </c>
      <c r="AC123" s="41">
        <v>15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6.0999999999999999E-2</v>
      </c>
      <c r="M124" s="21" t="s">
        <v>221</v>
      </c>
      <c r="N124" s="28"/>
      <c r="P124" s="41">
        <f>P123*1.05</f>
        <v>959613682.38468635</v>
      </c>
      <c r="Q124" s="41">
        <f>Q123*1.05</f>
        <v>28253.591169066847</v>
      </c>
      <c r="R124" s="41">
        <f>R123*1.05</f>
        <v>1009056827.4666734</v>
      </c>
      <c r="S124" s="27">
        <v>100</v>
      </c>
      <c r="T124" s="52">
        <v>450</v>
      </c>
      <c r="U124" s="57">
        <v>0.7</v>
      </c>
      <c r="V124" s="27">
        <f t="shared" si="40"/>
        <v>5045284.137333367</v>
      </c>
      <c r="W124" s="41">
        <v>0</v>
      </c>
      <c r="X124" s="41">
        <f t="shared" ref="X124" si="86">X37</f>
        <v>200</v>
      </c>
      <c r="Y124" s="41">
        <v>210</v>
      </c>
      <c r="Z124" s="27">
        <v>0</v>
      </c>
      <c r="AA124" s="41">
        <v>20</v>
      </c>
      <c r="AB124" s="41">
        <v>7500</v>
      </c>
      <c r="AC124" s="41">
        <v>15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6.0999999999999999E-2</v>
      </c>
      <c r="M125" s="21" t="s">
        <v>221</v>
      </c>
      <c r="N125" s="28" t="str">
        <f>"{'shoulei22', '"&amp;A125&amp;"*1',8,270,10,12 }"</f>
        <v>{'shoulei22', '七郎侍卫1*1',8,270,10,12 }</v>
      </c>
      <c r="P125" s="41">
        <f t="shared" si="83"/>
        <v>978805956.0323801</v>
      </c>
      <c r="Q125" s="41">
        <f t="shared" ref="Q125:R125" si="87">Q124*1.02</f>
        <v>28818.662992448186</v>
      </c>
      <c r="R125" s="41">
        <f t="shared" si="87"/>
        <v>1029237964.0160068</v>
      </c>
      <c r="S125" s="27">
        <v>100</v>
      </c>
      <c r="T125" s="52">
        <v>450</v>
      </c>
      <c r="U125" s="57">
        <v>0.7</v>
      </c>
      <c r="V125" s="27">
        <f t="shared" si="40"/>
        <v>5146189.8200800344</v>
      </c>
      <c r="W125" s="41">
        <v>0</v>
      </c>
      <c r="X125" s="41">
        <f t="shared" ref="X125" si="88">X38</f>
        <v>200</v>
      </c>
      <c r="Y125" s="41">
        <v>220</v>
      </c>
      <c r="Z125" s="27">
        <v>0</v>
      </c>
      <c r="AA125" s="41">
        <v>20</v>
      </c>
      <c r="AB125" s="41">
        <v>5000</v>
      </c>
      <c r="AC125" s="41">
        <v>15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6.0999999999999999E-2</v>
      </c>
      <c r="M126" s="21" t="s">
        <v>221</v>
      </c>
      <c r="N126" s="28" t="str">
        <f>"{'shoulei23', '"&amp;A126&amp;"*1',8,270,10,12 }"</f>
        <v>{'shoulei23', '七郎侍卫2*1',8,270,10,12 }</v>
      </c>
      <c r="P126" s="41">
        <f t="shared" si="83"/>
        <v>998382075.15302777</v>
      </c>
      <c r="Q126" s="41">
        <f t="shared" ref="Q126:R126" si="89">Q125*1.02</f>
        <v>29395.036252297152</v>
      </c>
      <c r="R126" s="41">
        <f t="shared" si="89"/>
        <v>1049822723.296327</v>
      </c>
      <c r="S126" s="27">
        <v>100</v>
      </c>
      <c r="T126" s="52">
        <v>450</v>
      </c>
      <c r="U126" s="57">
        <v>0.7</v>
      </c>
      <c r="V126" s="27">
        <f t="shared" si="40"/>
        <v>5249113.6164816348</v>
      </c>
      <c r="W126" s="41">
        <v>0</v>
      </c>
      <c r="X126" s="41">
        <f t="shared" ref="X126" si="90">X39</f>
        <v>200</v>
      </c>
      <c r="Y126" s="41">
        <v>220</v>
      </c>
      <c r="Z126" s="27">
        <v>0</v>
      </c>
      <c r="AA126" s="41">
        <v>20</v>
      </c>
      <c r="AB126" s="41">
        <v>5000</v>
      </c>
      <c r="AC126" s="41">
        <v>15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6.0999999999999999E-2</v>
      </c>
      <c r="M127" s="21" t="s">
        <v>221</v>
      </c>
      <c r="N127" s="28" t="str">
        <f>"{'shoulei24', '"&amp;A127&amp;"*1',8,270,10,12 }"</f>
        <v>{'shoulei24', '七郎侍卫3*1',8,270,10,12 }</v>
      </c>
      <c r="P127" s="41">
        <f t="shared" si="83"/>
        <v>1018349716.6560884</v>
      </c>
      <c r="Q127" s="41">
        <f t="shared" ref="Q127:R127" si="91">Q126*1.02</f>
        <v>29982.936977343095</v>
      </c>
      <c r="R127" s="41">
        <f t="shared" si="91"/>
        <v>1070819177.7622535</v>
      </c>
      <c r="S127" s="27">
        <v>100</v>
      </c>
      <c r="T127" s="52">
        <v>450</v>
      </c>
      <c r="U127" s="57">
        <v>0.7</v>
      </c>
      <c r="V127" s="27">
        <f t="shared" si="40"/>
        <v>5354095.8888112679</v>
      </c>
      <c r="W127" s="41">
        <v>0</v>
      </c>
      <c r="X127" s="41">
        <f t="shared" ref="X127" si="92">X40</f>
        <v>200</v>
      </c>
      <c r="Y127" s="41">
        <v>220</v>
      </c>
      <c r="Z127" s="27">
        <v>0</v>
      </c>
      <c r="AA127" s="41">
        <v>20</v>
      </c>
      <c r="AB127" s="41">
        <v>5000</v>
      </c>
      <c r="AC127" s="41">
        <v>15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6.0999999999999999E-2</v>
      </c>
      <c r="M128" s="21" t="s">
        <v>221</v>
      </c>
      <c r="N128" s="28" t="str">
        <f>"{'shoulei25', '"&amp;A128&amp;"*1',8,270,10,12 }"</f>
        <v>{'shoulei25', '七郎侍卫4*1',8,270,10,12 }</v>
      </c>
      <c r="P128" s="41">
        <f t="shared" si="83"/>
        <v>1038716710.9892101</v>
      </c>
      <c r="Q128" s="41">
        <f t="shared" ref="Q128:R128" si="93">Q127*1.02</f>
        <v>30582.595716889959</v>
      </c>
      <c r="R128" s="41">
        <f t="shared" si="93"/>
        <v>1092235561.3174987</v>
      </c>
      <c r="S128" s="27">
        <v>100</v>
      </c>
      <c r="T128" s="52">
        <v>450</v>
      </c>
      <c r="U128" s="57">
        <v>0.7</v>
      </c>
      <c r="V128" s="27">
        <f t="shared" si="40"/>
        <v>5461177.806587494</v>
      </c>
      <c r="W128" s="41">
        <v>0</v>
      </c>
      <c r="X128" s="41">
        <f t="shared" ref="X128" si="94">X41</f>
        <v>200</v>
      </c>
      <c r="Y128" s="41">
        <v>220</v>
      </c>
      <c r="Z128" s="27">
        <v>0</v>
      </c>
      <c r="AA128" s="41">
        <v>20</v>
      </c>
      <c r="AB128" s="41">
        <v>5000</v>
      </c>
      <c r="AC128" s="41">
        <v>15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6.0999999999999999E-2</v>
      </c>
      <c r="M129" s="21" t="s">
        <v>221</v>
      </c>
      <c r="N129" s="28"/>
      <c r="P129" s="41">
        <f>P128*1.05</f>
        <v>1090652546.5386708</v>
      </c>
      <c r="Q129" s="41">
        <f t="shared" ref="Q129:R129" si="95">Q128*1.05</f>
        <v>32111.725502734458</v>
      </c>
      <c r="R129" s="41">
        <f t="shared" si="95"/>
        <v>1146847339.3833737</v>
      </c>
      <c r="S129" s="27">
        <v>100</v>
      </c>
      <c r="T129" s="52">
        <v>450</v>
      </c>
      <c r="U129" s="57">
        <v>0.7</v>
      </c>
      <c r="V129" s="27">
        <f t="shared" si="40"/>
        <v>5734236.6969168689</v>
      </c>
      <c r="W129" s="41">
        <v>0</v>
      </c>
      <c r="X129" s="41">
        <f t="shared" ref="X129" si="96">X42</f>
        <v>200</v>
      </c>
      <c r="Y129" s="41">
        <v>220</v>
      </c>
      <c r="Z129" s="27">
        <v>0</v>
      </c>
      <c r="AA129" s="41">
        <v>20</v>
      </c>
      <c r="AB129" s="41">
        <v>7500</v>
      </c>
      <c r="AC129" s="41">
        <v>15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6.0999999999999999E-2</v>
      </c>
      <c r="M130" s="21" t="s">
        <v>221</v>
      </c>
      <c r="N130" s="28" t="str">
        <f>"{'shoulei32', '"&amp;A130&amp;"*1',8,270,10,12 }"</f>
        <v>{'shoulei32', '判官侍卫1*1',8,270,10,12 }</v>
      </c>
      <c r="P130" s="41">
        <f t="shared" ref="P130:R130" si="97">P129*1.02</f>
        <v>1112465597.4694443</v>
      </c>
      <c r="Q130" s="41">
        <f t="shared" si="97"/>
        <v>32753.960012789146</v>
      </c>
      <c r="R130" s="41">
        <f t="shared" si="97"/>
        <v>1169784286.1710413</v>
      </c>
      <c r="S130" s="27">
        <v>100</v>
      </c>
      <c r="T130" s="52">
        <v>450</v>
      </c>
      <c r="U130" s="57">
        <v>0.7</v>
      </c>
      <c r="V130" s="27">
        <f t="shared" si="40"/>
        <v>5848921.4308552062</v>
      </c>
      <c r="W130" s="41">
        <v>0</v>
      </c>
      <c r="X130" s="41">
        <f t="shared" ref="X130" si="98">X43</f>
        <v>200</v>
      </c>
      <c r="Y130" s="41">
        <v>230</v>
      </c>
      <c r="Z130" s="27">
        <v>0</v>
      </c>
      <c r="AA130" s="41">
        <v>20</v>
      </c>
      <c r="AB130" s="41">
        <v>5000</v>
      </c>
      <c r="AC130" s="41">
        <v>15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6.0999999999999999E-2</v>
      </c>
      <c r="M131" s="21" t="s">
        <v>221</v>
      </c>
      <c r="N131" s="28" t="str">
        <f>"{'shoulei33', '"&amp;A131&amp;"*1',8,270,10,12 }"</f>
        <v>{'shoulei33', '判官侍卫2*1',8,270,10,12 }</v>
      </c>
      <c r="P131" s="41">
        <f t="shared" ref="P131:R131" si="99">P130*1.02</f>
        <v>1134714909.4188333</v>
      </c>
      <c r="Q131" s="41">
        <f t="shared" si="99"/>
        <v>33409.039213044933</v>
      </c>
      <c r="R131" s="41">
        <f t="shared" si="99"/>
        <v>1193179971.8944621</v>
      </c>
      <c r="S131" s="27">
        <v>100</v>
      </c>
      <c r="T131" s="52">
        <v>450</v>
      </c>
      <c r="U131" s="57">
        <v>0.7</v>
      </c>
      <c r="V131" s="27">
        <f t="shared" si="40"/>
        <v>5965899.8594723111</v>
      </c>
      <c r="W131" s="41">
        <v>0</v>
      </c>
      <c r="X131" s="41">
        <f t="shared" ref="X131" si="100">X44</f>
        <v>200</v>
      </c>
      <c r="Y131" s="41">
        <v>230</v>
      </c>
      <c r="Z131" s="27">
        <v>0</v>
      </c>
      <c r="AA131" s="41">
        <v>20</v>
      </c>
      <c r="AB131" s="41">
        <v>5000</v>
      </c>
      <c r="AC131" s="41">
        <v>15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6.0999999999999999E-2</v>
      </c>
      <c r="M132" s="21" t="s">
        <v>221</v>
      </c>
      <c r="N132" s="28" t="str">
        <f>"{'shoulei34', '"&amp;A132&amp;"*1',8,270,10,12 }"</f>
        <v>{'shoulei34', '判官侍卫3*1',8,270,10,12 }</v>
      </c>
      <c r="P132" s="41">
        <f t="shared" ref="P132:R132" si="101">P131*1.02</f>
        <v>1157409207.6072099</v>
      </c>
      <c r="Q132" s="41">
        <f t="shared" si="101"/>
        <v>34077.21999730583</v>
      </c>
      <c r="R132" s="41">
        <f t="shared" si="101"/>
        <v>1217043571.3323514</v>
      </c>
      <c r="S132" s="27">
        <v>100</v>
      </c>
      <c r="T132" s="52">
        <v>450</v>
      </c>
      <c r="U132" s="57">
        <v>0.7</v>
      </c>
      <c r="V132" s="27">
        <f t="shared" si="40"/>
        <v>6085217.8566617575</v>
      </c>
      <c r="W132" s="41">
        <v>0</v>
      </c>
      <c r="X132" s="41">
        <f t="shared" ref="X132" si="102">X45</f>
        <v>200</v>
      </c>
      <c r="Y132" s="41">
        <v>230</v>
      </c>
      <c r="Z132" s="27">
        <v>0</v>
      </c>
      <c r="AA132" s="41">
        <v>20</v>
      </c>
      <c r="AB132" s="41">
        <v>5000</v>
      </c>
      <c r="AC132" s="41">
        <v>15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6.0999999999999999E-2</v>
      </c>
      <c r="M133" s="21" t="s">
        <v>221</v>
      </c>
      <c r="N133" s="28" t="str">
        <f>"{'shoulei35', '"&amp;A133&amp;"*1',8,270,10,12 }"</f>
        <v>{'shoulei35', '判官侍卫4*1',8,270,10,12 }</v>
      </c>
      <c r="P133" s="41">
        <f t="shared" ref="P133:R133" si="103">P132*1.02</f>
        <v>1180557391.7593541</v>
      </c>
      <c r="Q133" s="41">
        <f t="shared" si="103"/>
        <v>34758.764397251951</v>
      </c>
      <c r="R133" s="41">
        <f t="shared" si="103"/>
        <v>1241384442.7589984</v>
      </c>
      <c r="S133" s="27">
        <v>100</v>
      </c>
      <c r="T133" s="52">
        <v>450</v>
      </c>
      <c r="U133" s="57">
        <v>0.7</v>
      </c>
      <c r="V133" s="27">
        <f t="shared" si="40"/>
        <v>6206922.2137949923</v>
      </c>
      <c r="W133" s="41">
        <v>0</v>
      </c>
      <c r="X133" s="41">
        <f t="shared" ref="X133" si="104">X46</f>
        <v>200</v>
      </c>
      <c r="Y133" s="41">
        <v>230</v>
      </c>
      <c r="Z133" s="27">
        <v>0</v>
      </c>
      <c r="AA133" s="41">
        <v>20</v>
      </c>
      <c r="AB133" s="41">
        <v>5000</v>
      </c>
      <c r="AC133" s="41">
        <v>15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6.0999999999999999E-2</v>
      </c>
      <c r="M134" s="21" t="s">
        <v>221</v>
      </c>
      <c r="N134" s="28"/>
      <c r="P134" s="41">
        <f>P133*1.05</f>
        <v>1239585261.347322</v>
      </c>
      <c r="Q134" s="41">
        <f t="shared" ref="Q134" si="105">Q133*1.05</f>
        <v>36496.702617114548</v>
      </c>
      <c r="R134" s="41">
        <f t="shared" ref="R134" si="106">R133*1.05</f>
        <v>1303453664.8969483</v>
      </c>
      <c r="S134" s="27">
        <v>100</v>
      </c>
      <c r="T134" s="52">
        <v>450</v>
      </c>
      <c r="U134" s="57">
        <v>0.7</v>
      </c>
      <c r="V134" s="27">
        <f t="shared" si="40"/>
        <v>6517268.3244847422</v>
      </c>
      <c r="W134" s="41">
        <v>0</v>
      </c>
      <c r="X134" s="41">
        <f t="shared" ref="X134" si="107">X47</f>
        <v>200</v>
      </c>
      <c r="Y134" s="41">
        <v>230</v>
      </c>
      <c r="Z134" s="27">
        <v>0</v>
      </c>
      <c r="AA134" s="41">
        <v>20</v>
      </c>
      <c r="AB134" s="41">
        <v>7500</v>
      </c>
      <c r="AC134" s="41">
        <v>15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6.0999999999999999E-2</v>
      </c>
      <c r="M135" s="21" t="s">
        <v>221</v>
      </c>
      <c r="N135" s="28" t="str">
        <f>"{'shoulei42', '"&amp;A135&amp;"*1',8,270,10,12 }"</f>
        <v>{'shoulei42', '马面侍卫1*1',8,270,10,12 }</v>
      </c>
      <c r="P135" s="41">
        <f t="shared" ref="P135:R135" si="108">P134*1.02</f>
        <v>1264376966.5742683</v>
      </c>
      <c r="Q135" s="41">
        <f t="shared" si="108"/>
        <v>37226.636669456842</v>
      </c>
      <c r="R135" s="41">
        <f t="shared" si="108"/>
        <v>1329522738.1948874</v>
      </c>
      <c r="S135" s="27">
        <v>100</v>
      </c>
      <c r="T135" s="52">
        <v>450</v>
      </c>
      <c r="U135" s="57">
        <v>0.7</v>
      </c>
      <c r="V135" s="27">
        <f t="shared" si="40"/>
        <v>6647613.6909744367</v>
      </c>
      <c r="W135" s="41">
        <v>0</v>
      </c>
      <c r="X135" s="41">
        <f t="shared" ref="X135" si="109">X48</f>
        <v>200</v>
      </c>
      <c r="Y135" s="41">
        <v>240</v>
      </c>
      <c r="Z135" s="27">
        <v>0</v>
      </c>
      <c r="AA135" s="41">
        <v>20</v>
      </c>
      <c r="AB135" s="41">
        <v>5000</v>
      </c>
      <c r="AC135" s="41">
        <v>15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6.0999999999999999E-2</v>
      </c>
      <c r="M136" s="21" t="s">
        <v>221</v>
      </c>
      <c r="N136" s="28" t="str">
        <f>"{'shoulei43', '"&amp;A136&amp;"*1',8,270,10,12 }"</f>
        <v>{'shoulei43', '马面侍卫2*1',8,270,10,12 }</v>
      </c>
      <c r="P136" s="41">
        <f t="shared" ref="P136:R136" si="110">P135*1.02</f>
        <v>1289664505.9057536</v>
      </c>
      <c r="Q136" s="41">
        <f t="shared" si="110"/>
        <v>37971.169402845982</v>
      </c>
      <c r="R136" s="41">
        <f t="shared" si="110"/>
        <v>1356113192.9587851</v>
      </c>
      <c r="S136" s="27">
        <v>100</v>
      </c>
      <c r="T136" s="52">
        <v>450</v>
      </c>
      <c r="U136" s="57">
        <v>0.7</v>
      </c>
      <c r="V136" s="27">
        <f t="shared" si="40"/>
        <v>6780565.9647939252</v>
      </c>
      <c r="W136" s="41">
        <v>0</v>
      </c>
      <c r="X136" s="41">
        <f t="shared" ref="X136" si="111">X49</f>
        <v>200</v>
      </c>
      <c r="Y136" s="41">
        <v>240</v>
      </c>
      <c r="Z136" s="27">
        <v>0</v>
      </c>
      <c r="AA136" s="41">
        <v>20</v>
      </c>
      <c r="AB136" s="41">
        <v>5000</v>
      </c>
      <c r="AC136" s="41">
        <v>15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6.0999999999999999E-2</v>
      </c>
      <c r="M137" s="21" t="s">
        <v>221</v>
      </c>
      <c r="N137" s="28" t="str">
        <f>"{'shoulei44', '"&amp;A137&amp;"*1',8,270,10,12 }"</f>
        <v>{'shoulei44', '马面侍卫3*1',8,270,10,12 }</v>
      </c>
      <c r="P137" s="41">
        <f t="shared" ref="P137:R137" si="112">P136*1.02</f>
        <v>1315457796.0238688</v>
      </c>
      <c r="Q137" s="41">
        <f t="shared" si="112"/>
        <v>38730.592790902905</v>
      </c>
      <c r="R137" s="41">
        <f t="shared" si="112"/>
        <v>1383235456.8179607</v>
      </c>
      <c r="S137" s="27">
        <v>100</v>
      </c>
      <c r="T137" s="52">
        <v>450</v>
      </c>
      <c r="U137" s="57">
        <v>0.7</v>
      </c>
      <c r="V137" s="27">
        <f t="shared" ref="V137:V181" si="113">R137*0.005</f>
        <v>6916177.2840898037</v>
      </c>
      <c r="W137" s="41">
        <v>0</v>
      </c>
      <c r="X137" s="41">
        <f t="shared" ref="X137" si="114">X50</f>
        <v>200</v>
      </c>
      <c r="Y137" s="41">
        <v>240</v>
      </c>
      <c r="Z137" s="27">
        <v>0</v>
      </c>
      <c r="AA137" s="41">
        <v>20</v>
      </c>
      <c r="AB137" s="41">
        <v>5000</v>
      </c>
      <c r="AC137" s="41">
        <v>15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6.0999999999999999E-2</v>
      </c>
      <c r="M138" s="21" t="s">
        <v>221</v>
      </c>
      <c r="N138" s="28" t="str">
        <f>"{'shoulei45', '"&amp;A138&amp;"*1',8,270,10,12 }"</f>
        <v>{'shoulei45', '马面侍卫4*1',8,270,10,12 }</v>
      </c>
      <c r="P138" s="41">
        <f t="shared" ref="P138:R138" si="115">P137*1.02</f>
        <v>1341766951.9443462</v>
      </c>
      <c r="Q138" s="41">
        <f t="shared" si="115"/>
        <v>39505.204646720966</v>
      </c>
      <c r="R138" s="41">
        <f t="shared" si="115"/>
        <v>1410900165.95432</v>
      </c>
      <c r="S138" s="27">
        <v>100</v>
      </c>
      <c r="T138" s="52">
        <v>450</v>
      </c>
      <c r="U138" s="57">
        <v>0.7</v>
      </c>
      <c r="V138" s="27">
        <f t="shared" si="113"/>
        <v>7054500.8297715997</v>
      </c>
      <c r="W138" s="41">
        <v>0</v>
      </c>
      <c r="X138" s="41">
        <f t="shared" ref="X138" si="116">X51</f>
        <v>200</v>
      </c>
      <c r="Y138" s="41">
        <v>240</v>
      </c>
      <c r="Z138" s="27">
        <v>0</v>
      </c>
      <c r="AA138" s="41">
        <v>20</v>
      </c>
      <c r="AB138" s="41">
        <v>5000</v>
      </c>
      <c r="AC138" s="41">
        <v>15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6.0999999999999999E-2</v>
      </c>
      <c r="M139" s="21" t="s">
        <v>221</v>
      </c>
      <c r="N139" s="28"/>
      <c r="P139" s="41">
        <f>P138*1.05</f>
        <v>1408855299.5415635</v>
      </c>
      <c r="Q139" s="41">
        <f t="shared" ref="Q139" si="117">Q138*1.05</f>
        <v>41480.464879057014</v>
      </c>
      <c r="R139" s="41">
        <f t="shared" ref="R139" si="118">R138*1.05</f>
        <v>1481445174.2520361</v>
      </c>
      <c r="S139" s="27">
        <v>100</v>
      </c>
      <c r="T139" s="52">
        <v>450</v>
      </c>
      <c r="U139" s="57">
        <v>0.7</v>
      </c>
      <c r="V139" s="27">
        <f t="shared" si="113"/>
        <v>7407225.8712601811</v>
      </c>
      <c r="W139" s="41">
        <v>0</v>
      </c>
      <c r="X139" s="41">
        <f t="shared" ref="X139" si="119">X52</f>
        <v>200</v>
      </c>
      <c r="Y139" s="41">
        <v>240</v>
      </c>
      <c r="Z139" s="27">
        <v>0</v>
      </c>
      <c r="AA139" s="41">
        <v>20</v>
      </c>
      <c r="AB139" s="41">
        <v>7500</v>
      </c>
      <c r="AC139" s="41">
        <v>15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6.0999999999999999E-2</v>
      </c>
      <c r="M140" s="21" t="s">
        <v>221</v>
      </c>
      <c r="N140" s="28" t="str">
        <f>"{'shoulei52', '"&amp;A140&amp;"*1',8,270,10,12 }"</f>
        <v>{'shoulei52', '牛头侍卫1*1',8,270,10,12 }</v>
      </c>
      <c r="P140" s="41">
        <f t="shared" ref="P140:R140" si="120">P139*1.02</f>
        <v>1437032405.5323949</v>
      </c>
      <c r="Q140" s="41">
        <f t="shared" si="120"/>
        <v>42310.074176638154</v>
      </c>
      <c r="R140" s="41">
        <f t="shared" si="120"/>
        <v>1511074077.7370768</v>
      </c>
      <c r="S140" s="27">
        <v>100</v>
      </c>
      <c r="T140" s="52">
        <v>450</v>
      </c>
      <c r="U140" s="57">
        <v>0.7</v>
      </c>
      <c r="V140" s="27">
        <f t="shared" si="113"/>
        <v>7555370.3886853838</v>
      </c>
      <c r="W140" s="41">
        <v>0</v>
      </c>
      <c r="X140" s="41">
        <f t="shared" ref="X140" si="121">X53</f>
        <v>200</v>
      </c>
      <c r="Y140" s="41">
        <v>250</v>
      </c>
      <c r="Z140" s="27">
        <v>0</v>
      </c>
      <c r="AA140" s="41">
        <v>20</v>
      </c>
      <c r="AB140" s="41">
        <v>5000</v>
      </c>
      <c r="AC140" s="41">
        <v>15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6.0999999999999999E-2</v>
      </c>
      <c r="M141" s="21" t="s">
        <v>221</v>
      </c>
      <c r="N141" s="28" t="str">
        <f>"{'shoulei53', '"&amp;A141&amp;"*1',8,270,10,12 }"</f>
        <v>{'shoulei53', '牛头侍卫2*1',8,270,10,12 }</v>
      </c>
      <c r="P141" s="41">
        <f t="shared" ref="P141:R141" si="122">P140*1.02</f>
        <v>1465773053.6430428</v>
      </c>
      <c r="Q141" s="41">
        <f t="shared" si="122"/>
        <v>43156.275660170919</v>
      </c>
      <c r="R141" s="41">
        <f t="shared" si="122"/>
        <v>1541295559.2918184</v>
      </c>
      <c r="S141" s="27">
        <v>100</v>
      </c>
      <c r="T141" s="52">
        <v>450</v>
      </c>
      <c r="U141" s="57">
        <v>0.7</v>
      </c>
      <c r="V141" s="27">
        <f t="shared" si="113"/>
        <v>7706477.7964590918</v>
      </c>
      <c r="W141" s="41">
        <v>0</v>
      </c>
      <c r="X141" s="41">
        <f t="shared" ref="X141" si="123">X54</f>
        <v>200</v>
      </c>
      <c r="Y141" s="41">
        <v>250</v>
      </c>
      <c r="Z141" s="27">
        <v>0</v>
      </c>
      <c r="AA141" s="41">
        <v>20</v>
      </c>
      <c r="AB141" s="41">
        <v>5000</v>
      </c>
      <c r="AC141" s="41">
        <v>15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6.0999999999999999E-2</v>
      </c>
      <c r="M142" s="21" t="s">
        <v>221</v>
      </c>
      <c r="N142" s="28" t="str">
        <f>"{'shoulei54', '"&amp;A142&amp;"*1',8,270,10,12 }"</f>
        <v>{'shoulei54', '牛头侍卫3*1',8,270,10,12 }</v>
      </c>
      <c r="P142" s="41">
        <f t="shared" ref="P142:R142" si="124">P141*1.02</f>
        <v>1495088514.7159038</v>
      </c>
      <c r="Q142" s="41">
        <f t="shared" si="124"/>
        <v>44019.401173374339</v>
      </c>
      <c r="R142" s="41">
        <f t="shared" si="124"/>
        <v>1572121470.4776547</v>
      </c>
      <c r="S142" s="27">
        <v>100</v>
      </c>
      <c r="T142" s="52">
        <v>450</v>
      </c>
      <c r="U142" s="57">
        <v>0.7</v>
      </c>
      <c r="V142" s="27">
        <f t="shared" si="113"/>
        <v>7860607.3523882739</v>
      </c>
      <c r="W142" s="41">
        <v>0</v>
      </c>
      <c r="X142" s="41">
        <f t="shared" ref="X142" si="125">X55</f>
        <v>200</v>
      </c>
      <c r="Y142" s="41">
        <v>250</v>
      </c>
      <c r="Z142" s="27">
        <v>0</v>
      </c>
      <c r="AA142" s="41">
        <v>20</v>
      </c>
      <c r="AB142" s="41">
        <v>5000</v>
      </c>
      <c r="AC142" s="41">
        <v>15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6.0999999999999999E-2</v>
      </c>
      <c r="M143" s="21" t="s">
        <v>221</v>
      </c>
      <c r="N143" s="28" t="str">
        <f>"{'shoulei55', '"&amp;A143&amp;"*1',8,270,10,12 }"</f>
        <v>{'shoulei55', '牛头侍卫4*1',8,270,10,12 }</v>
      </c>
      <c r="P143" s="41">
        <f t="shared" ref="P143:R143" si="126">P142*1.02</f>
        <v>1524990285.010222</v>
      </c>
      <c r="Q143" s="41">
        <f t="shared" si="126"/>
        <v>44899.789196841826</v>
      </c>
      <c r="R143" s="41">
        <f t="shared" si="126"/>
        <v>1603563899.8872077</v>
      </c>
      <c r="S143" s="27">
        <v>100</v>
      </c>
      <c r="T143" s="52">
        <v>450</v>
      </c>
      <c r="U143" s="57">
        <v>0.7</v>
      </c>
      <c r="V143" s="27">
        <f t="shared" si="113"/>
        <v>8017819.4994360385</v>
      </c>
      <c r="W143" s="41">
        <v>0</v>
      </c>
      <c r="X143" s="41">
        <f t="shared" ref="X143" si="127">X56</f>
        <v>200</v>
      </c>
      <c r="Y143" s="41">
        <v>250</v>
      </c>
      <c r="Z143" s="27">
        <v>0</v>
      </c>
      <c r="AA143" s="41">
        <v>20</v>
      </c>
      <c r="AB143" s="41">
        <v>5000</v>
      </c>
      <c r="AC143" s="41">
        <v>15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6.0999999999999999E-2</v>
      </c>
      <c r="M144" s="21" t="s">
        <v>221</v>
      </c>
      <c r="N144" s="28"/>
      <c r="P144" s="41">
        <f>P143*1.05</f>
        <v>1601239799.2607331</v>
      </c>
      <c r="Q144" s="41">
        <f t="shared" ref="Q144" si="128">Q143*1.05</f>
        <v>47144.77865668392</v>
      </c>
      <c r="R144" s="41">
        <f t="shared" ref="R144" si="129">R143*1.05</f>
        <v>1683742094.8815682</v>
      </c>
      <c r="S144" s="27">
        <v>100</v>
      </c>
      <c r="T144" s="52">
        <v>450</v>
      </c>
      <c r="U144" s="57">
        <v>0.7</v>
      </c>
      <c r="V144" s="27">
        <f t="shared" si="113"/>
        <v>8418710.4744078405</v>
      </c>
      <c r="W144" s="41">
        <v>0</v>
      </c>
      <c r="X144" s="41">
        <f t="shared" ref="X144" si="130">X57</f>
        <v>200</v>
      </c>
      <c r="Y144" s="41">
        <v>250</v>
      </c>
      <c r="Z144" s="27">
        <v>0</v>
      </c>
      <c r="AA144" s="41">
        <v>20</v>
      </c>
      <c r="AB144" s="41">
        <v>7500</v>
      </c>
      <c r="AC144" s="41">
        <v>15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6.0999999999999999E-2</v>
      </c>
      <c r="M145" s="21" t="s">
        <v>221</v>
      </c>
      <c r="N145" s="28" t="str">
        <f>"{'shoulei62', '"&amp;A145&amp;"*1',8,270,10,12 }"</f>
        <v>{'shoulei62', '夜叉侍卫1*1',8,270,10,12 }</v>
      </c>
      <c r="P145" s="41">
        <f t="shared" ref="P145:R145" si="131">P144*1.02</f>
        <v>1633264595.2459478</v>
      </c>
      <c r="Q145" s="41">
        <f t="shared" si="131"/>
        <v>48087.674229817603</v>
      </c>
      <c r="R145" s="41">
        <f t="shared" si="131"/>
        <v>1717416936.7791996</v>
      </c>
      <c r="S145" s="27">
        <v>100</v>
      </c>
      <c r="T145" s="52">
        <v>450</v>
      </c>
      <c r="U145" s="57">
        <v>0.7</v>
      </c>
      <c r="V145" s="27">
        <f t="shared" si="113"/>
        <v>8587084.6838959977</v>
      </c>
      <c r="W145" s="41">
        <v>0</v>
      </c>
      <c r="X145" s="41">
        <f t="shared" ref="X145" si="132">X58</f>
        <v>200</v>
      </c>
      <c r="Y145" s="41">
        <v>260</v>
      </c>
      <c r="Z145" s="27">
        <v>0</v>
      </c>
      <c r="AA145" s="41">
        <v>20</v>
      </c>
      <c r="AB145" s="41">
        <v>5000</v>
      </c>
      <c r="AC145" s="41">
        <v>15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6.0999999999999999E-2</v>
      </c>
      <c r="M146" s="21" t="s">
        <v>221</v>
      </c>
      <c r="N146" s="28" t="str">
        <f>"{'shoulei63', '"&amp;A146&amp;"*1',8,270,10,12 }"</f>
        <v>{'shoulei63', '夜叉侍卫2*1',8,270,10,12 }</v>
      </c>
      <c r="P146" s="41">
        <f t="shared" ref="P146:R146" si="133">P145*1.02</f>
        <v>1665929887.1508667</v>
      </c>
      <c r="Q146" s="41">
        <f t="shared" si="133"/>
        <v>49049.427714413956</v>
      </c>
      <c r="R146" s="41">
        <f t="shared" si="133"/>
        <v>1751765275.5147836</v>
      </c>
      <c r="S146" s="27">
        <v>100</v>
      </c>
      <c r="T146" s="52">
        <v>450</v>
      </c>
      <c r="U146" s="57">
        <v>0.7</v>
      </c>
      <c r="V146" s="27">
        <f t="shared" si="113"/>
        <v>8758826.3775739186</v>
      </c>
      <c r="W146" s="41">
        <v>0</v>
      </c>
      <c r="X146" s="41">
        <f t="shared" ref="X146" si="134">X59</f>
        <v>200</v>
      </c>
      <c r="Y146" s="41">
        <v>260</v>
      </c>
      <c r="Z146" s="27">
        <v>0</v>
      </c>
      <c r="AA146" s="41">
        <v>20</v>
      </c>
      <c r="AB146" s="41">
        <v>5000</v>
      </c>
      <c r="AC146" s="41">
        <v>15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6.0999999999999999E-2</v>
      </c>
      <c r="M147" s="21" t="s">
        <v>221</v>
      </c>
      <c r="N147" s="28" t="str">
        <f>"{'shoulei64', '"&amp;A147&amp;"*1',8,270,10,12 }"</f>
        <v>{'shoulei64', '夜叉侍卫3*1',8,270,10,12 }</v>
      </c>
      <c r="P147" s="41">
        <f t="shared" ref="P147:R147" si="135">P146*1.02</f>
        <v>1699248484.8938842</v>
      </c>
      <c r="Q147" s="41">
        <f t="shared" si="135"/>
        <v>50030.416268702233</v>
      </c>
      <c r="R147" s="41">
        <f t="shared" si="135"/>
        <v>1786800581.0250793</v>
      </c>
      <c r="S147" s="27">
        <v>100</v>
      </c>
      <c r="T147" s="52">
        <v>450</v>
      </c>
      <c r="U147" s="57">
        <v>0.7</v>
      </c>
      <c r="V147" s="27">
        <f t="shared" si="113"/>
        <v>8934002.9051253963</v>
      </c>
      <c r="W147" s="41">
        <v>0</v>
      </c>
      <c r="X147" s="41">
        <f t="shared" ref="X147" si="136">X60</f>
        <v>200</v>
      </c>
      <c r="Y147" s="41">
        <v>260</v>
      </c>
      <c r="Z147" s="27">
        <v>0</v>
      </c>
      <c r="AA147" s="41">
        <v>20</v>
      </c>
      <c r="AB147" s="41">
        <v>5000</v>
      </c>
      <c r="AC147" s="41">
        <v>15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6.0999999999999999E-2</v>
      </c>
      <c r="M148" s="21" t="s">
        <v>221</v>
      </c>
      <c r="N148" s="28" t="str">
        <f>"{'shoulei65', '"&amp;A148&amp;"*1',8,270,10,12 }"</f>
        <v>{'shoulei65', '夜叉侍卫4*1',8,270,10,12 }</v>
      </c>
      <c r="P148" s="41">
        <f t="shared" ref="P148:R148" si="137">P147*1.02</f>
        <v>1733233454.5917618</v>
      </c>
      <c r="Q148" s="41">
        <f t="shared" si="137"/>
        <v>51031.024594076276</v>
      </c>
      <c r="R148" s="41">
        <f t="shared" si="137"/>
        <v>1822536592.6455808</v>
      </c>
      <c r="S148" s="27">
        <v>100</v>
      </c>
      <c r="T148" s="52">
        <v>450</v>
      </c>
      <c r="U148" s="57">
        <v>0.7</v>
      </c>
      <c r="V148" s="27">
        <f t="shared" si="113"/>
        <v>9112682.9632279035</v>
      </c>
      <c r="W148" s="41">
        <v>0</v>
      </c>
      <c r="X148" s="41">
        <f t="shared" ref="X148" si="138">X61</f>
        <v>200</v>
      </c>
      <c r="Y148" s="41">
        <v>260</v>
      </c>
      <c r="Z148" s="27">
        <v>0</v>
      </c>
      <c r="AA148" s="41">
        <v>20</v>
      </c>
      <c r="AB148" s="41">
        <v>5000</v>
      </c>
      <c r="AC148" s="41">
        <v>15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6.0999999999999999E-2</v>
      </c>
      <c r="M149" s="21" t="s">
        <v>221</v>
      </c>
      <c r="N149" s="28"/>
      <c r="P149" s="41">
        <f>P148*1.05</f>
        <v>1819895127.3213501</v>
      </c>
      <c r="Q149" s="41">
        <f t="shared" ref="Q149" si="139">Q148*1.05</f>
        <v>53582.575823780091</v>
      </c>
      <c r="R149" s="41">
        <f t="shared" ref="R149" si="140">R148*1.05</f>
        <v>1913663422.2778599</v>
      </c>
      <c r="S149" s="27">
        <v>100</v>
      </c>
      <c r="T149" s="52">
        <v>450</v>
      </c>
      <c r="U149" s="57">
        <v>0.7</v>
      </c>
      <c r="V149" s="27">
        <f t="shared" si="113"/>
        <v>9568317.1113892999</v>
      </c>
      <c r="W149" s="41">
        <v>0</v>
      </c>
      <c r="X149" s="41">
        <f t="shared" ref="X149" si="141">X62</f>
        <v>200</v>
      </c>
      <c r="Y149" s="41">
        <v>260</v>
      </c>
      <c r="Z149" s="27">
        <v>0</v>
      </c>
      <c r="AA149" s="41">
        <v>20</v>
      </c>
      <c r="AB149" s="41">
        <v>7500</v>
      </c>
      <c r="AC149" s="41">
        <v>15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6.0999999999999999E-2</v>
      </c>
      <c r="M150" s="21" t="s">
        <v>221</v>
      </c>
      <c r="N150" s="28" t="str">
        <f>"{'shoulei72', '"&amp;A150&amp;"*1',8,270,10,12 }"</f>
        <v>{'shoulei72', '辟邪侍卫1*1',8,270,10,12 }</v>
      </c>
      <c r="P150" s="41">
        <f t="shared" ref="P150:R150" si="142">P149*1.02</f>
        <v>1856293029.8677771</v>
      </c>
      <c r="Q150" s="41">
        <f t="shared" si="142"/>
        <v>54654.227340255697</v>
      </c>
      <c r="R150" s="41">
        <f t="shared" si="142"/>
        <v>1951936690.723417</v>
      </c>
      <c r="S150" s="27">
        <v>100</v>
      </c>
      <c r="T150" s="52">
        <v>450</v>
      </c>
      <c r="U150" s="57">
        <v>0.7</v>
      </c>
      <c r="V150" s="27">
        <f t="shared" si="113"/>
        <v>9759683.4536170848</v>
      </c>
      <c r="W150" s="41">
        <v>0</v>
      </c>
      <c r="X150" s="41">
        <f t="shared" ref="X150" si="143">X63</f>
        <v>200</v>
      </c>
      <c r="Y150" s="41">
        <v>270</v>
      </c>
      <c r="Z150" s="27">
        <v>0</v>
      </c>
      <c r="AA150" s="41">
        <v>20</v>
      </c>
      <c r="AB150" s="41">
        <v>5000</v>
      </c>
      <c r="AC150" s="41">
        <v>15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6.0999999999999999E-2</v>
      </c>
      <c r="M151" s="21" t="s">
        <v>221</v>
      </c>
      <c r="N151" s="28" t="str">
        <f>"{'shoulei73', '"&amp;A151&amp;"*1',8,270,10,12 }"</f>
        <v>{'shoulei73', '辟邪侍卫2*1',8,270,10,12 }</v>
      </c>
      <c r="P151" s="41">
        <f t="shared" ref="P151:R151" si="144">P150*1.02</f>
        <v>1893418890.4651327</v>
      </c>
      <c r="Q151" s="41">
        <f t="shared" si="144"/>
        <v>55747.311887060809</v>
      </c>
      <c r="R151" s="41">
        <f t="shared" si="144"/>
        <v>1990975424.5378854</v>
      </c>
      <c r="S151" s="27">
        <v>100</v>
      </c>
      <c r="T151" s="52">
        <v>450</v>
      </c>
      <c r="U151" s="57">
        <v>0.7</v>
      </c>
      <c r="V151" s="27">
        <f t="shared" si="113"/>
        <v>9954877.1226894278</v>
      </c>
      <c r="W151" s="41">
        <v>0</v>
      </c>
      <c r="X151" s="41">
        <f t="shared" ref="X151" si="145">X64</f>
        <v>200</v>
      </c>
      <c r="Y151" s="41">
        <v>270</v>
      </c>
      <c r="Z151" s="27">
        <v>0</v>
      </c>
      <c r="AA151" s="41">
        <v>20</v>
      </c>
      <c r="AB151" s="41">
        <v>5000</v>
      </c>
      <c r="AC151" s="41">
        <v>15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6.0999999999999999E-2</v>
      </c>
      <c r="M152" s="21" t="s">
        <v>221</v>
      </c>
      <c r="N152" s="28" t="str">
        <f>"{'shoulei74', '"&amp;A152&amp;"*1',8,270,10,12 }"</f>
        <v>{'shoulei74', '辟邪侍卫3*1',8,270,10,12 }</v>
      </c>
      <c r="P152" s="41">
        <f t="shared" ref="P152:R152" si="146">P151*1.02</f>
        <v>1931287268.2744355</v>
      </c>
      <c r="Q152" s="41">
        <f t="shared" si="146"/>
        <v>56862.258124802029</v>
      </c>
      <c r="R152" s="41">
        <f t="shared" si="146"/>
        <v>2030794933.0286431</v>
      </c>
      <c r="S152" s="27">
        <v>100</v>
      </c>
      <c r="T152" s="52">
        <v>450</v>
      </c>
      <c r="U152" s="57">
        <v>0.7</v>
      </c>
      <c r="V152" s="27">
        <f t="shared" si="113"/>
        <v>10153974.665143216</v>
      </c>
      <c r="W152" s="41">
        <v>0</v>
      </c>
      <c r="X152" s="41">
        <f t="shared" ref="X152" si="147">X65</f>
        <v>200</v>
      </c>
      <c r="Y152" s="41">
        <v>270</v>
      </c>
      <c r="Z152" s="27">
        <v>0</v>
      </c>
      <c r="AA152" s="41">
        <v>20</v>
      </c>
      <c r="AB152" s="41">
        <v>5000</v>
      </c>
      <c r="AC152" s="41">
        <v>15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6.0999999999999999E-2</v>
      </c>
      <c r="M153" s="21" t="s">
        <v>221</v>
      </c>
      <c r="N153" s="28" t="str">
        <f>"{'shoulei75', '"&amp;A153&amp;"*1',8,270,10,12 }"</f>
        <v>{'shoulei75', '辟邪侍卫4*1',8,270,10,12 }</v>
      </c>
      <c r="P153" s="41">
        <f t="shared" ref="P153:R153" si="148">P152*1.02</f>
        <v>1969913013.6399243</v>
      </c>
      <c r="Q153" s="41">
        <f t="shared" si="148"/>
        <v>57999.503287298074</v>
      </c>
      <c r="R153" s="41">
        <f t="shared" si="148"/>
        <v>2071410831.6892161</v>
      </c>
      <c r="S153" s="27">
        <v>100</v>
      </c>
      <c r="T153" s="52">
        <v>450</v>
      </c>
      <c r="U153" s="57">
        <v>0.7</v>
      </c>
      <c r="V153" s="27">
        <f t="shared" si="113"/>
        <v>10357054.158446081</v>
      </c>
      <c r="W153" s="41">
        <v>0</v>
      </c>
      <c r="X153" s="41">
        <f t="shared" ref="X153" si="149">X66</f>
        <v>200</v>
      </c>
      <c r="Y153" s="41">
        <v>270</v>
      </c>
      <c r="Z153" s="27">
        <v>0</v>
      </c>
      <c r="AA153" s="41">
        <v>20</v>
      </c>
      <c r="AB153" s="41">
        <v>5000</v>
      </c>
      <c r="AC153" s="41">
        <v>15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6.0999999999999999E-2</v>
      </c>
      <c r="M154" s="21" t="s">
        <v>221</v>
      </c>
      <c r="N154" s="28"/>
      <c r="P154" s="41">
        <f>P153*1.05</f>
        <v>2068408664.3219206</v>
      </c>
      <c r="Q154" s="41">
        <f t="shared" ref="Q154" si="150">Q153*1.05</f>
        <v>60899.478451662981</v>
      </c>
      <c r="R154" s="41">
        <f t="shared" ref="R154" si="151">R153*1.05</f>
        <v>2174981373.2736769</v>
      </c>
      <c r="S154" s="27">
        <v>100</v>
      </c>
      <c r="T154" s="52">
        <v>450</v>
      </c>
      <c r="U154" s="57">
        <v>0.7</v>
      </c>
      <c r="V154" s="27">
        <f t="shared" si="113"/>
        <v>10874906.866368385</v>
      </c>
      <c r="W154" s="41">
        <v>0</v>
      </c>
      <c r="X154" s="41">
        <f t="shared" ref="X154" si="152">X67</f>
        <v>200</v>
      </c>
      <c r="Y154" s="41">
        <v>270</v>
      </c>
      <c r="Z154" s="27">
        <v>0</v>
      </c>
      <c r="AA154" s="41">
        <v>20</v>
      </c>
      <c r="AB154" s="41">
        <v>7500</v>
      </c>
      <c r="AC154" s="41">
        <v>15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6.0999999999999999E-2</v>
      </c>
      <c r="M155" s="21" t="s">
        <v>221</v>
      </c>
      <c r="N155" s="28" t="str">
        <f>"{'shoulei82', '"&amp;A155&amp;"*1',8,270,10,12 }"</f>
        <v>{'shoulei82', '狐仙侍卫1*1',8,270,10,12 }</v>
      </c>
      <c r="P155" s="41">
        <f t="shared" ref="P155:R155" si="153">P154*1.02</f>
        <v>2109776837.6083591</v>
      </c>
      <c r="Q155" s="41">
        <f t="shared" si="153"/>
        <v>62117.468020696244</v>
      </c>
      <c r="R155" s="41">
        <f t="shared" si="153"/>
        <v>2218481000.7391505</v>
      </c>
      <c r="S155" s="27">
        <v>100</v>
      </c>
      <c r="T155" s="52">
        <v>450</v>
      </c>
      <c r="U155" s="57">
        <v>0.7</v>
      </c>
      <c r="V155" s="27">
        <f t="shared" si="113"/>
        <v>11092405.003695752</v>
      </c>
      <c r="W155" s="41">
        <v>0</v>
      </c>
      <c r="X155" s="41">
        <f t="shared" ref="X155" si="154">X68</f>
        <v>200</v>
      </c>
      <c r="Y155" s="41">
        <v>280</v>
      </c>
      <c r="Z155" s="27">
        <v>0</v>
      </c>
      <c r="AA155" s="41">
        <v>20</v>
      </c>
      <c r="AB155" s="41">
        <v>5000</v>
      </c>
      <c r="AC155" s="41">
        <v>15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6.0999999999999999E-2</v>
      </c>
      <c r="M156" s="21" t="s">
        <v>221</v>
      </c>
      <c r="N156" s="28" t="str">
        <f>"{'shoulei83', '"&amp;A156&amp;"*1',8,270,10,12 }"</f>
        <v>{'shoulei83', '狐仙侍卫2*1',8,270,10,12 }</v>
      </c>
      <c r="P156" s="41">
        <f t="shared" ref="P156:R156" si="155">P155*1.02</f>
        <v>2151972374.3605261</v>
      </c>
      <c r="Q156" s="41">
        <f t="shared" si="155"/>
        <v>63359.817381110173</v>
      </c>
      <c r="R156" s="41">
        <f t="shared" si="155"/>
        <v>2262850620.7539334</v>
      </c>
      <c r="S156" s="27">
        <v>100</v>
      </c>
      <c r="T156" s="52">
        <v>450</v>
      </c>
      <c r="U156" s="57">
        <v>0.7</v>
      </c>
      <c r="V156" s="27">
        <f t="shared" si="113"/>
        <v>11314253.103769667</v>
      </c>
      <c r="W156" s="41">
        <v>0</v>
      </c>
      <c r="X156" s="41">
        <f t="shared" ref="X156" si="156">X69</f>
        <v>200</v>
      </c>
      <c r="Y156" s="41">
        <v>280</v>
      </c>
      <c r="Z156" s="27">
        <v>0</v>
      </c>
      <c r="AA156" s="41">
        <v>20</v>
      </c>
      <c r="AB156" s="41">
        <v>5000</v>
      </c>
      <c r="AC156" s="41">
        <v>15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6.0999999999999999E-2</v>
      </c>
      <c r="M157" s="21" t="s">
        <v>221</v>
      </c>
      <c r="N157" s="28" t="str">
        <f>"{'shoulei84', '"&amp;A157&amp;"*1',8,270,10,12 }"</f>
        <v>{'shoulei84', '狐仙侍卫3*1',8,270,10,12 }</v>
      </c>
      <c r="P157" s="41">
        <f t="shared" ref="P157:R157" si="157">P156*1.02</f>
        <v>2195011821.8477368</v>
      </c>
      <c r="Q157" s="41">
        <f t="shared" si="157"/>
        <v>64627.013728732381</v>
      </c>
      <c r="R157" s="41">
        <f t="shared" si="157"/>
        <v>2308107633.1690121</v>
      </c>
      <c r="S157" s="27">
        <v>100</v>
      </c>
      <c r="T157" s="52">
        <v>450</v>
      </c>
      <c r="U157" s="57">
        <v>0.7</v>
      </c>
      <c r="V157" s="27">
        <f t="shared" si="113"/>
        <v>11540538.165845061</v>
      </c>
      <c r="W157" s="41">
        <v>0</v>
      </c>
      <c r="X157" s="41">
        <f t="shared" ref="X157" si="158">X70</f>
        <v>200</v>
      </c>
      <c r="Y157" s="41">
        <v>280</v>
      </c>
      <c r="Z157" s="27">
        <v>0</v>
      </c>
      <c r="AA157" s="41">
        <v>20</v>
      </c>
      <c r="AB157" s="41">
        <v>5000</v>
      </c>
      <c r="AC157" s="41">
        <v>15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6.0999999999999999E-2</v>
      </c>
      <c r="M158" s="21" t="s">
        <v>221</v>
      </c>
      <c r="N158" s="28" t="str">
        <f>"{'shoulei85', '"&amp;A158&amp;"*1',8,270,10,12 }"</f>
        <v>{'shoulei85', '狐仙侍卫4*1',8,270,10,12 }</v>
      </c>
      <c r="P158" s="41">
        <f t="shared" ref="P158:R158" si="159">P157*1.02</f>
        <v>2238912058.2846918</v>
      </c>
      <c r="Q158" s="41">
        <f t="shared" si="159"/>
        <v>65919.554003307028</v>
      </c>
      <c r="R158" s="41">
        <f t="shared" si="159"/>
        <v>2354269785.8323922</v>
      </c>
      <c r="S158" s="27">
        <v>100</v>
      </c>
      <c r="T158" s="52">
        <v>450</v>
      </c>
      <c r="U158" s="57">
        <v>0.7</v>
      </c>
      <c r="V158" s="27">
        <f t="shared" si="113"/>
        <v>11771348.929161962</v>
      </c>
      <c r="W158" s="41">
        <v>0</v>
      </c>
      <c r="X158" s="41">
        <f t="shared" ref="X158" si="160">X71</f>
        <v>200</v>
      </c>
      <c r="Y158" s="41">
        <v>280</v>
      </c>
      <c r="Z158" s="27">
        <v>0</v>
      </c>
      <c r="AA158" s="41">
        <v>20</v>
      </c>
      <c r="AB158" s="41">
        <v>5000</v>
      </c>
      <c r="AC158" s="41">
        <v>15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6.0999999999999999E-2</v>
      </c>
      <c r="M159" s="21" t="s">
        <v>221</v>
      </c>
      <c r="N159" s="28"/>
      <c r="P159" s="41">
        <f>P158*1.05</f>
        <v>2350857661.1989264</v>
      </c>
      <c r="Q159" s="41">
        <f t="shared" ref="Q159" si="161">Q158*1.05</f>
        <v>69215.531703472385</v>
      </c>
      <c r="R159" s="41">
        <f t="shared" ref="R159" si="162">R158*1.05</f>
        <v>2471983275.124012</v>
      </c>
      <c r="S159" s="27">
        <v>100</v>
      </c>
      <c r="T159" s="52">
        <v>450</v>
      </c>
      <c r="U159" s="57">
        <v>0.7</v>
      </c>
      <c r="V159" s="27">
        <f t="shared" si="113"/>
        <v>12359916.37562006</v>
      </c>
      <c r="W159" s="41">
        <v>0</v>
      </c>
      <c r="X159" s="41">
        <f t="shared" ref="X159" si="163">X72</f>
        <v>200</v>
      </c>
      <c r="Y159" s="41">
        <v>280</v>
      </c>
      <c r="Z159" s="27">
        <v>0</v>
      </c>
      <c r="AA159" s="41">
        <v>20</v>
      </c>
      <c r="AB159" s="41">
        <v>7500</v>
      </c>
      <c r="AC159" s="41">
        <v>15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6.0999999999999999E-2</v>
      </c>
      <c r="M160" s="21" t="s">
        <v>221</v>
      </c>
      <c r="N160" s="28" t="str">
        <f>"{'shoulei92', '"&amp;A160&amp;"*1',8,270,10,12 }"</f>
        <v>{'shoulei92', '龙女侍卫1*1',8,270,10,12 }</v>
      </c>
      <c r="P160" s="41">
        <f t="shared" ref="P160:R160" si="164">P159*1.02</f>
        <v>2397874814.422905</v>
      </c>
      <c r="Q160" s="41">
        <f t="shared" si="164"/>
        <v>70599.842337541835</v>
      </c>
      <c r="R160" s="41">
        <f t="shared" si="164"/>
        <v>2521422940.6264925</v>
      </c>
      <c r="S160" s="27">
        <v>100</v>
      </c>
      <c r="T160" s="52">
        <v>450</v>
      </c>
      <c r="U160" s="57">
        <v>0.7</v>
      </c>
      <c r="V160" s="27">
        <f t="shared" si="113"/>
        <v>12607114.703132464</v>
      </c>
      <c r="W160" s="41">
        <v>0</v>
      </c>
      <c r="X160" s="41">
        <f t="shared" ref="X160" si="165">X73</f>
        <v>200</v>
      </c>
      <c r="Y160" s="41">
        <v>290</v>
      </c>
      <c r="Z160" s="27">
        <v>0</v>
      </c>
      <c r="AA160" s="41">
        <v>20</v>
      </c>
      <c r="AB160" s="41">
        <v>5000</v>
      </c>
      <c r="AC160" s="41">
        <v>15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6.0999999999999999E-2</v>
      </c>
      <c r="M161" s="21" t="s">
        <v>221</v>
      </c>
      <c r="N161" s="28" t="str">
        <f>"{'shoulei93', '"&amp;A161&amp;"*1',8,270,10,12 }"</f>
        <v>{'shoulei93', '龙女侍卫2*1',8,270,10,12 }</v>
      </c>
      <c r="P161" s="41">
        <f t="shared" ref="P161:R161" si="166">P160*1.02</f>
        <v>2445832310.7113633</v>
      </c>
      <c r="Q161" s="41">
        <f t="shared" si="166"/>
        <v>72011.839184292679</v>
      </c>
      <c r="R161" s="41">
        <f t="shared" si="166"/>
        <v>2571851399.4390225</v>
      </c>
      <c r="S161" s="27">
        <v>100</v>
      </c>
      <c r="T161" s="52">
        <v>450</v>
      </c>
      <c r="U161" s="57">
        <v>0.7</v>
      </c>
      <c r="V161" s="27">
        <f t="shared" si="113"/>
        <v>12859256.997195113</v>
      </c>
      <c r="W161" s="41">
        <v>0</v>
      </c>
      <c r="X161" s="41">
        <f t="shared" ref="X161" si="167">X74</f>
        <v>200</v>
      </c>
      <c r="Y161" s="41">
        <v>290</v>
      </c>
      <c r="Z161" s="27">
        <v>0</v>
      </c>
      <c r="AA161" s="41">
        <v>20</v>
      </c>
      <c r="AB161" s="41">
        <v>5000</v>
      </c>
      <c r="AC161" s="41">
        <v>15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6.0999999999999999E-2</v>
      </c>
      <c r="M162" s="21" t="s">
        <v>221</v>
      </c>
      <c r="N162" s="28" t="str">
        <f>"{'shoulei94', '"&amp;A162&amp;"*1',8,270,10,12 }"</f>
        <v>{'shoulei94', '龙女侍卫3*1',8,270,10,12 }</v>
      </c>
      <c r="P162" s="41">
        <f t="shared" ref="P162:R162" si="168">P161*1.02</f>
        <v>2494748956.9255905</v>
      </c>
      <c r="Q162" s="41">
        <f t="shared" si="168"/>
        <v>73452.075967978541</v>
      </c>
      <c r="R162" s="41">
        <f t="shared" si="168"/>
        <v>2623288427.427803</v>
      </c>
      <c r="S162" s="27">
        <v>100</v>
      </c>
      <c r="T162" s="52">
        <v>450</v>
      </c>
      <c r="U162" s="57">
        <v>0.7</v>
      </c>
      <c r="V162" s="27">
        <f t="shared" si="113"/>
        <v>13116442.137139015</v>
      </c>
      <c r="W162" s="41">
        <v>0</v>
      </c>
      <c r="X162" s="41">
        <f t="shared" ref="X162" si="169">X75</f>
        <v>200</v>
      </c>
      <c r="Y162" s="41">
        <v>290</v>
      </c>
      <c r="Z162" s="27">
        <v>0</v>
      </c>
      <c r="AA162" s="41">
        <v>20</v>
      </c>
      <c r="AB162" s="41">
        <v>5000</v>
      </c>
      <c r="AC162" s="41">
        <v>15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6.0999999999999999E-2</v>
      </c>
      <c r="M163" s="21" t="s">
        <v>221</v>
      </c>
      <c r="N163" s="28" t="str">
        <f>"{'shoulei95', '"&amp;A163&amp;"*1',8,270,10,12 }"</f>
        <v>{'shoulei95', '龙女侍卫4*1',8,270,10,12 }</v>
      </c>
      <c r="P163" s="41">
        <f t="shared" ref="P163:R163" si="170">P162*1.02</f>
        <v>2544643936.0641022</v>
      </c>
      <c r="Q163" s="41">
        <f t="shared" si="170"/>
        <v>74921.11748733811</v>
      </c>
      <c r="R163" s="41">
        <f t="shared" si="170"/>
        <v>2675754195.9763594</v>
      </c>
      <c r="S163" s="27">
        <v>100</v>
      </c>
      <c r="T163" s="52">
        <v>450</v>
      </c>
      <c r="U163" s="57">
        <v>0.7</v>
      </c>
      <c r="V163" s="27">
        <f t="shared" si="113"/>
        <v>13378770.979881797</v>
      </c>
      <c r="W163" s="41">
        <v>0</v>
      </c>
      <c r="X163" s="41">
        <f t="shared" ref="X163" si="171">X76</f>
        <v>200</v>
      </c>
      <c r="Y163" s="41">
        <v>290</v>
      </c>
      <c r="Z163" s="27">
        <v>0</v>
      </c>
      <c r="AA163" s="41">
        <v>20</v>
      </c>
      <c r="AB163" s="41">
        <v>5000</v>
      </c>
      <c r="AC163" s="41">
        <v>15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6.0999999999999999E-2</v>
      </c>
      <c r="M164" s="21" t="s">
        <v>221</v>
      </c>
      <c r="N164" s="28"/>
      <c r="P164" s="41">
        <f>P163*1.05</f>
        <v>2671876132.8673072</v>
      </c>
      <c r="Q164" s="41">
        <f t="shared" ref="Q164" si="172">Q163*1.05</f>
        <v>78667.173361705019</v>
      </c>
      <c r="R164" s="41">
        <f t="shared" ref="R164" si="173">R163*1.05</f>
        <v>2809541905.7751775</v>
      </c>
      <c r="S164" s="27">
        <v>100</v>
      </c>
      <c r="T164" s="52">
        <v>450</v>
      </c>
      <c r="U164" s="57">
        <v>0.7</v>
      </c>
      <c r="V164" s="27">
        <f t="shared" si="113"/>
        <v>14047709.528875887</v>
      </c>
      <c r="W164" s="41">
        <v>0</v>
      </c>
      <c r="X164" s="41">
        <f t="shared" ref="X164" si="174">X77</f>
        <v>200</v>
      </c>
      <c r="Y164" s="41">
        <v>290</v>
      </c>
      <c r="Z164" s="27">
        <v>0</v>
      </c>
      <c r="AA164" s="41">
        <v>20</v>
      </c>
      <c r="AB164" s="41">
        <v>7500</v>
      </c>
      <c r="AC164" s="41">
        <v>15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6.0999999999999999E-2</v>
      </c>
      <c r="M165" s="21" t="s">
        <v>221</v>
      </c>
      <c r="N165" s="28" t="str">
        <f>"{'shoulei102', '"&amp;A165&amp;"*1',8,270,10,12 }"</f>
        <v>{'shoulei102', '刑天侍卫1*1',8,270,10,12 }</v>
      </c>
      <c r="P165" s="41">
        <f t="shared" ref="P165:R165" si="175">P164*1.02</f>
        <v>2725313655.5246534</v>
      </c>
      <c r="Q165" s="41">
        <f t="shared" si="175"/>
        <v>80240.516828939115</v>
      </c>
      <c r="R165" s="41">
        <f t="shared" si="175"/>
        <v>2865732743.8906813</v>
      </c>
      <c r="S165" s="27">
        <v>100</v>
      </c>
      <c r="T165" s="52">
        <v>450</v>
      </c>
      <c r="U165" s="57">
        <v>0.7</v>
      </c>
      <c r="V165" s="27">
        <f t="shared" si="113"/>
        <v>14328663.719453407</v>
      </c>
      <c r="W165" s="41">
        <v>0</v>
      </c>
      <c r="X165" s="41">
        <f t="shared" ref="X165" si="176">X78</f>
        <v>200</v>
      </c>
      <c r="Y165" s="41">
        <v>300</v>
      </c>
      <c r="Z165" s="27">
        <v>0</v>
      </c>
      <c r="AA165" s="41">
        <v>20</v>
      </c>
      <c r="AB165" s="41">
        <v>5000</v>
      </c>
      <c r="AC165" s="41">
        <v>15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6.0999999999999999E-2</v>
      </c>
      <c r="M166" s="21" t="s">
        <v>221</v>
      </c>
      <c r="N166" s="28" t="str">
        <f>"{'shoulei103', '"&amp;A166&amp;"*1',8,270,10,12 }"</f>
        <v>{'shoulei103', '刑天侍卫2*1',8,270,10,12 }</v>
      </c>
      <c r="P166" s="41">
        <f t="shared" ref="P166:R166" si="177">P165*1.02</f>
        <v>2779819928.6351466</v>
      </c>
      <c r="Q166" s="41">
        <f t="shared" si="177"/>
        <v>81845.327165517898</v>
      </c>
      <c r="R166" s="41">
        <f t="shared" si="177"/>
        <v>2923047398.7684951</v>
      </c>
      <c r="S166" s="27">
        <v>100</v>
      </c>
      <c r="T166" s="52">
        <v>450</v>
      </c>
      <c r="U166" s="57">
        <v>0.7</v>
      </c>
      <c r="V166" s="27">
        <f t="shared" si="113"/>
        <v>14615236.993842475</v>
      </c>
      <c r="W166" s="41">
        <v>0</v>
      </c>
      <c r="X166" s="41">
        <f t="shared" ref="X166" si="178">X79</f>
        <v>200</v>
      </c>
      <c r="Y166" s="41">
        <v>300</v>
      </c>
      <c r="Z166" s="27">
        <v>0</v>
      </c>
      <c r="AA166" s="41">
        <v>20</v>
      </c>
      <c r="AB166" s="41">
        <v>5000</v>
      </c>
      <c r="AC166" s="41">
        <v>15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6.0999999999999999E-2</v>
      </c>
      <c r="M167" s="21" t="s">
        <v>221</v>
      </c>
      <c r="N167" s="28" t="str">
        <f>"{'shoulei104', '"&amp;A167&amp;"*1',8,270,10,12 }"</f>
        <v>{'shoulei104', '刑天侍卫3*1',8,270,10,12 }</v>
      </c>
      <c r="P167" s="41">
        <f t="shared" ref="P167:R167" si="179">P166*1.02</f>
        <v>2835416327.2078495</v>
      </c>
      <c r="Q167" s="41">
        <f t="shared" si="179"/>
        <v>83482.233708828251</v>
      </c>
      <c r="R167" s="41">
        <f t="shared" si="179"/>
        <v>2981508346.743865</v>
      </c>
      <c r="S167" s="27">
        <v>100</v>
      </c>
      <c r="T167" s="52">
        <v>450</v>
      </c>
      <c r="U167" s="57">
        <v>0.7</v>
      </c>
      <c r="V167" s="27">
        <f t="shared" si="113"/>
        <v>14907541.733719325</v>
      </c>
      <c r="W167" s="41">
        <v>0</v>
      </c>
      <c r="X167" s="41">
        <f t="shared" ref="X167" si="180">X80</f>
        <v>200</v>
      </c>
      <c r="Y167" s="41">
        <v>300</v>
      </c>
      <c r="Z167" s="27">
        <v>0</v>
      </c>
      <c r="AA167" s="41">
        <v>20</v>
      </c>
      <c r="AB167" s="41">
        <v>5000</v>
      </c>
      <c r="AC167" s="41">
        <v>15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6.0999999999999999E-2</v>
      </c>
      <c r="M168" s="21" t="s">
        <v>221</v>
      </c>
      <c r="N168" s="28" t="str">
        <f>"{'shoulei105', '"&amp;A168&amp;"*1',8,270,10,12 }"</f>
        <v>{'shoulei105', '刑天侍卫4*1',8,270,10,12 }</v>
      </c>
      <c r="P168" s="41">
        <f t="shared" ref="P168:R168" si="181">P167*1.02</f>
        <v>2892124653.7520065</v>
      </c>
      <c r="Q168" s="41">
        <f t="shared" si="181"/>
        <v>85151.87838300482</v>
      </c>
      <c r="R168" s="41">
        <f t="shared" si="181"/>
        <v>3041138513.6787424</v>
      </c>
      <c r="S168" s="27">
        <v>100</v>
      </c>
      <c r="T168" s="52">
        <v>450</v>
      </c>
      <c r="U168" s="57">
        <v>0.7</v>
      </c>
      <c r="V168" s="27">
        <f t="shared" si="113"/>
        <v>15205692.568393713</v>
      </c>
      <c r="W168" s="41">
        <v>0</v>
      </c>
      <c r="X168" s="41">
        <f t="shared" ref="X168" si="182">X81</f>
        <v>200</v>
      </c>
      <c r="Y168" s="41">
        <v>300</v>
      </c>
      <c r="Z168" s="27">
        <v>0</v>
      </c>
      <c r="AA168" s="41">
        <v>20</v>
      </c>
      <c r="AB168" s="41">
        <v>5000</v>
      </c>
      <c r="AC168" s="41">
        <v>15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6.0999999999999999E-2</v>
      </c>
      <c r="M169" s="21" t="s">
        <v>221</v>
      </c>
      <c r="N169" s="28"/>
      <c r="P169" s="41">
        <f>P168*1.05</f>
        <v>3036730886.4396071</v>
      </c>
      <c r="Q169" s="41">
        <f t="shared" ref="Q169" si="183">Q168*1.05</f>
        <v>89409.47230215506</v>
      </c>
      <c r="R169" s="41">
        <f t="shared" ref="R169" si="184">R168*1.05</f>
        <v>3193195439.3626795</v>
      </c>
      <c r="S169" s="27">
        <v>100</v>
      </c>
      <c r="T169" s="52">
        <v>450</v>
      </c>
      <c r="U169" s="57">
        <v>0.7</v>
      </c>
      <c r="V169" s="27">
        <f t="shared" si="113"/>
        <v>15965977.196813397</v>
      </c>
      <c r="W169" s="41">
        <v>0</v>
      </c>
      <c r="X169" s="41">
        <f t="shared" ref="X169:X179" si="185">X82</f>
        <v>200</v>
      </c>
      <c r="Y169" s="41">
        <v>300</v>
      </c>
      <c r="Z169" s="27">
        <v>0</v>
      </c>
      <c r="AA169" s="41">
        <v>20</v>
      </c>
      <c r="AB169" s="41">
        <v>7500</v>
      </c>
      <c r="AC169" s="41">
        <v>15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6.0999999999999999E-2</v>
      </c>
      <c r="M170" s="21" t="s">
        <v>221</v>
      </c>
      <c r="N170" s="28"/>
      <c r="P170" s="41">
        <f>P169*1.1</f>
        <v>3340403975.0835681</v>
      </c>
      <c r="Q170" s="41">
        <f t="shared" ref="Q170:R170" si="186">Q169*1.1</f>
        <v>98350.419532370579</v>
      </c>
      <c r="R170" s="41">
        <f t="shared" si="186"/>
        <v>3512514983.2989478</v>
      </c>
      <c r="S170" s="27">
        <v>100</v>
      </c>
      <c r="T170" s="52">
        <v>450</v>
      </c>
      <c r="U170" s="57">
        <v>0.6</v>
      </c>
      <c r="V170" s="27">
        <f t="shared" si="113"/>
        <v>17562574.916494738</v>
      </c>
      <c r="W170" s="41">
        <v>0</v>
      </c>
      <c r="X170" s="41">
        <f t="shared" si="185"/>
        <v>200</v>
      </c>
      <c r="Y170" s="41">
        <v>310</v>
      </c>
      <c r="Z170" s="27">
        <v>0</v>
      </c>
      <c r="AA170" s="41">
        <v>20</v>
      </c>
      <c r="AB170" s="41">
        <v>10000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6.0999999999999999E-2</v>
      </c>
      <c r="M171" s="21" t="s">
        <v>221</v>
      </c>
      <c r="N171" s="28"/>
      <c r="P171" s="41">
        <f>P170*1.1</f>
        <v>3674444372.5919251</v>
      </c>
      <c r="Q171" s="41">
        <f t="shared" ref="Q171:R171" si="187">Q170*1.1</f>
        <v>108185.46148560765</v>
      </c>
      <c r="R171" s="41">
        <f t="shared" si="187"/>
        <v>3863766481.6288428</v>
      </c>
      <c r="S171" s="27">
        <v>100</v>
      </c>
      <c r="T171" s="52">
        <v>450</v>
      </c>
      <c r="U171" s="57">
        <v>0.6</v>
      </c>
      <c r="V171" s="27">
        <f t="shared" si="113"/>
        <v>19318832.408144213</v>
      </c>
      <c r="W171" s="41">
        <v>0</v>
      </c>
      <c r="X171" s="41">
        <f t="shared" si="185"/>
        <v>200</v>
      </c>
      <c r="Y171" s="41">
        <v>320</v>
      </c>
      <c r="Z171" s="27">
        <v>0</v>
      </c>
      <c r="AA171" s="41">
        <v>20</v>
      </c>
      <c r="AB171" s="41">
        <v>10000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6.0999999999999999E-2</v>
      </c>
      <c r="M172" s="21" t="s">
        <v>221</v>
      </c>
      <c r="N172" s="28"/>
      <c r="P172" s="41">
        <f t="shared" ref="P172:P179" si="188">P171*1.1</f>
        <v>4041888809.8511181</v>
      </c>
      <c r="Q172" s="41">
        <f t="shared" ref="Q172:Q179" si="189">Q171*1.1</f>
        <v>119004.00763416843</v>
      </c>
      <c r="R172" s="41">
        <f t="shared" ref="R172:R179" si="190">R171*1.1</f>
        <v>4250143129.7917275</v>
      </c>
      <c r="S172" s="27">
        <v>100</v>
      </c>
      <c r="T172" s="52">
        <v>450</v>
      </c>
      <c r="U172" s="57">
        <v>0.6</v>
      </c>
      <c r="V172" s="27">
        <f t="shared" si="113"/>
        <v>21250715.648958638</v>
      </c>
      <c r="W172" s="41">
        <v>0</v>
      </c>
      <c r="X172" s="41">
        <f t="shared" si="185"/>
        <v>200</v>
      </c>
      <c r="Y172" s="41">
        <v>330</v>
      </c>
      <c r="Z172" s="27">
        <v>0</v>
      </c>
      <c r="AA172" s="41">
        <v>20</v>
      </c>
      <c r="AB172" s="41">
        <v>10000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6.0999999999999999E-2</v>
      </c>
      <c r="M173" s="21" t="s">
        <v>221</v>
      </c>
      <c r="N173" s="28"/>
      <c r="P173" s="41">
        <f t="shared" si="188"/>
        <v>4446077690.8362303</v>
      </c>
      <c r="Q173" s="41">
        <f t="shared" si="189"/>
        <v>130904.40839758528</v>
      </c>
      <c r="R173" s="41">
        <f t="shared" si="190"/>
        <v>4675157442.7709007</v>
      </c>
      <c r="S173" s="27">
        <v>100</v>
      </c>
      <c r="T173" s="52">
        <v>450</v>
      </c>
      <c r="U173" s="57">
        <v>0.6</v>
      </c>
      <c r="V173" s="27">
        <f t="shared" si="113"/>
        <v>23375787.213854503</v>
      </c>
      <c r="W173" s="41">
        <v>0</v>
      </c>
      <c r="X173" s="41">
        <f t="shared" si="185"/>
        <v>200</v>
      </c>
      <c r="Y173" s="41">
        <v>340</v>
      </c>
      <c r="Z173" s="27">
        <v>0</v>
      </c>
      <c r="AA173" s="41">
        <v>20</v>
      </c>
      <c r="AB173" s="41">
        <v>10000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6.0999999999999999E-2</v>
      </c>
      <c r="M174" s="21" t="s">
        <v>221</v>
      </c>
      <c r="N174" s="28"/>
      <c r="P174" s="41">
        <f t="shared" si="188"/>
        <v>4890685459.9198542</v>
      </c>
      <c r="Q174" s="41">
        <f t="shared" si="189"/>
        <v>143994.84923734382</v>
      </c>
      <c r="R174" s="41">
        <f t="shared" si="190"/>
        <v>5142673187.0479908</v>
      </c>
      <c r="S174" s="27">
        <v>100</v>
      </c>
      <c r="T174" s="52">
        <v>450</v>
      </c>
      <c r="U174" s="57">
        <v>0.6</v>
      </c>
      <c r="V174" s="27">
        <f t="shared" si="113"/>
        <v>25713365.935239956</v>
      </c>
      <c r="W174" s="41">
        <v>0</v>
      </c>
      <c r="X174" s="41">
        <f t="shared" si="185"/>
        <v>200</v>
      </c>
      <c r="Y174" s="41">
        <v>350</v>
      </c>
      <c r="Z174" s="27">
        <v>0</v>
      </c>
      <c r="AA174" s="41">
        <v>20</v>
      </c>
      <c r="AB174" s="41">
        <v>10000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6.0999999999999999E-2</v>
      </c>
      <c r="M175" s="21" t="s">
        <v>221</v>
      </c>
      <c r="N175" s="28"/>
      <c r="P175" s="41">
        <f t="shared" si="188"/>
        <v>5379754005.9118404</v>
      </c>
      <c r="Q175" s="41">
        <f t="shared" si="189"/>
        <v>158394.33416107821</v>
      </c>
      <c r="R175" s="41">
        <f t="shared" si="190"/>
        <v>5656940505.7527905</v>
      </c>
      <c r="S175" s="27">
        <v>100</v>
      </c>
      <c r="T175" s="52">
        <v>450</v>
      </c>
      <c r="U175" s="57">
        <v>0.6</v>
      </c>
      <c r="V175" s="27">
        <f t="shared" si="113"/>
        <v>28284702.528763954</v>
      </c>
      <c r="W175" s="41">
        <v>0</v>
      </c>
      <c r="X175" s="41">
        <f t="shared" si="185"/>
        <v>200</v>
      </c>
      <c r="Y175" s="41">
        <v>360</v>
      </c>
      <c r="Z175" s="27">
        <v>0</v>
      </c>
      <c r="AA175" s="41">
        <v>20</v>
      </c>
      <c r="AB175" s="41">
        <v>10000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6.0999999999999999E-2</v>
      </c>
      <c r="M176" s="21" t="s">
        <v>221</v>
      </c>
      <c r="N176" s="28"/>
      <c r="P176" s="41">
        <f t="shared" si="188"/>
        <v>5917729406.5030251</v>
      </c>
      <c r="Q176" s="41">
        <f t="shared" si="189"/>
        <v>174233.76757718605</v>
      </c>
      <c r="R176" s="41">
        <f t="shared" si="190"/>
        <v>6222634556.3280697</v>
      </c>
      <c r="S176" s="27">
        <v>100</v>
      </c>
      <c r="T176" s="52">
        <v>450</v>
      </c>
      <c r="U176" s="57">
        <v>0.6</v>
      </c>
      <c r="V176" s="27">
        <f t="shared" si="113"/>
        <v>31113172.781640351</v>
      </c>
      <c r="W176" s="41">
        <v>0</v>
      </c>
      <c r="X176" s="41">
        <f t="shared" si="185"/>
        <v>200</v>
      </c>
      <c r="Y176" s="41">
        <v>370</v>
      </c>
      <c r="Z176" s="27">
        <v>0</v>
      </c>
      <c r="AA176" s="41">
        <v>20</v>
      </c>
      <c r="AB176" s="41">
        <v>10000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6.0999999999999999E-2</v>
      </c>
      <c r="M177" s="21" t="s">
        <v>221</v>
      </c>
      <c r="N177" s="28"/>
      <c r="P177" s="41">
        <f t="shared" si="188"/>
        <v>6509502347.1533279</v>
      </c>
      <c r="Q177" s="41">
        <f t="shared" si="189"/>
        <v>191657.14433490467</v>
      </c>
      <c r="R177" s="41">
        <f t="shared" si="190"/>
        <v>6844898011.9608774</v>
      </c>
      <c r="S177" s="27">
        <v>100</v>
      </c>
      <c r="T177" s="52">
        <v>450</v>
      </c>
      <c r="U177" s="57">
        <v>0.6</v>
      </c>
      <c r="V177" s="27">
        <f t="shared" si="113"/>
        <v>34224490.059804387</v>
      </c>
      <c r="W177" s="41">
        <v>0</v>
      </c>
      <c r="X177" s="41">
        <f t="shared" si="185"/>
        <v>200</v>
      </c>
      <c r="Y177" s="41">
        <v>380</v>
      </c>
      <c r="Z177" s="27">
        <v>0</v>
      </c>
      <c r="AA177" s="41">
        <v>20</v>
      </c>
      <c r="AB177" s="41">
        <v>10000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6.0999999999999999E-2</v>
      </c>
      <c r="M178" s="21" t="s">
        <v>221</v>
      </c>
      <c r="N178" s="28"/>
      <c r="P178" s="41">
        <f t="shared" si="188"/>
        <v>7160452581.8686609</v>
      </c>
      <c r="Q178" s="41">
        <f t="shared" si="189"/>
        <v>210822.85876839515</v>
      </c>
      <c r="R178" s="41">
        <f t="shared" si="190"/>
        <v>7529387813.1569662</v>
      </c>
      <c r="S178" s="27">
        <v>100</v>
      </c>
      <c r="T178" s="52">
        <v>450</v>
      </c>
      <c r="U178" s="57">
        <v>0.6</v>
      </c>
      <c r="V178" s="27">
        <f t="shared" si="113"/>
        <v>37646939.065784834</v>
      </c>
      <c r="W178" s="41">
        <v>0</v>
      </c>
      <c r="X178" s="41">
        <f t="shared" si="185"/>
        <v>200</v>
      </c>
      <c r="Y178" s="41">
        <v>390</v>
      </c>
      <c r="Z178" s="27">
        <v>0</v>
      </c>
      <c r="AA178" s="41">
        <v>20</v>
      </c>
      <c r="AB178" s="41">
        <v>10000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6.0999999999999999E-2</v>
      </c>
      <c r="M179" s="21" t="s">
        <v>221</v>
      </c>
      <c r="N179" s="28"/>
      <c r="P179" s="41">
        <f t="shared" si="188"/>
        <v>7876497840.0555277</v>
      </c>
      <c r="Q179" s="41">
        <f t="shared" si="189"/>
        <v>231905.14464523469</v>
      </c>
      <c r="R179" s="41">
        <f t="shared" si="190"/>
        <v>8282326594.4726639</v>
      </c>
      <c r="S179" s="27">
        <v>100</v>
      </c>
      <c r="T179" s="52">
        <v>450</v>
      </c>
      <c r="U179" s="57">
        <v>0.6</v>
      </c>
      <c r="V179" s="27">
        <f t="shared" si="113"/>
        <v>41411632.972363323</v>
      </c>
      <c r="W179" s="41">
        <v>0</v>
      </c>
      <c r="X179" s="41">
        <f t="shared" si="185"/>
        <v>200</v>
      </c>
      <c r="Y179" s="41">
        <v>400</v>
      </c>
      <c r="Z179" s="27">
        <v>0</v>
      </c>
      <c r="AA179" s="41">
        <v>20</v>
      </c>
      <c r="AB179" s="41">
        <v>10000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3"/>
        <v>0.75</v>
      </c>
      <c r="W180" s="41">
        <v>0</v>
      </c>
      <c r="X180" s="27">
        <v>200</v>
      </c>
      <c r="Y180" s="27">
        <v>50</v>
      </c>
      <c r="Z180" s="27">
        <v>0</v>
      </c>
      <c r="AA180" s="27">
        <v>20</v>
      </c>
      <c r="AB180" s="27">
        <v>45</v>
      </c>
      <c r="AC180" s="27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 t="s">
        <v>221</v>
      </c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3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52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6.0999999999999999E-2</v>
      </c>
      <c r="M182" s="21" t="s">
        <v>221</v>
      </c>
      <c r="N182" s="28"/>
      <c r="P182" s="41">
        <f>P179*1.1</f>
        <v>8664147624.0610809</v>
      </c>
      <c r="Q182" s="41">
        <f t="shared" ref="Q182:R182" si="191">Q179*1.1</f>
        <v>255095.65910975818</v>
      </c>
      <c r="R182" s="41">
        <f t="shared" si="191"/>
        <v>9110559253.9199314</v>
      </c>
      <c r="S182" s="27">
        <v>100</v>
      </c>
      <c r="T182" s="52">
        <v>450</v>
      </c>
      <c r="U182" s="57">
        <v>0.5</v>
      </c>
      <c r="V182" s="27">
        <f t="shared" ref="V182:V185" si="192">R182*0.005</f>
        <v>45552796.269599661</v>
      </c>
      <c r="W182" s="41">
        <v>0</v>
      </c>
      <c r="X182" s="41">
        <f t="shared" ref="X182:X201" si="193">X95</f>
        <v>200</v>
      </c>
      <c r="Y182" s="41">
        <v>410</v>
      </c>
      <c r="Z182" s="27">
        <v>0</v>
      </c>
      <c r="AA182" s="41">
        <v>20</v>
      </c>
      <c r="AB182" s="41">
        <f>AB179*1.1</f>
        <v>11000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6.0999999999999999E-2</v>
      </c>
      <c r="M183" s="21" t="s">
        <v>221</v>
      </c>
      <c r="N183" s="28"/>
      <c r="P183" s="41">
        <f>P182*1.05</f>
        <v>9097355005.2641354</v>
      </c>
      <c r="Q183" s="41">
        <f t="shared" ref="Q183:R184" si="194">Q182*1.05</f>
        <v>267850.44206524611</v>
      </c>
      <c r="R183" s="41">
        <f t="shared" si="194"/>
        <v>9566087216.6159286</v>
      </c>
      <c r="S183" s="27">
        <v>100</v>
      </c>
      <c r="T183" s="52">
        <v>450</v>
      </c>
      <c r="U183" s="57">
        <v>0.5</v>
      </c>
      <c r="V183" s="27">
        <f t="shared" si="192"/>
        <v>47830436.083079644</v>
      </c>
      <c r="W183" s="41">
        <v>0</v>
      </c>
      <c r="X183" s="41">
        <f t="shared" si="193"/>
        <v>200</v>
      </c>
      <c r="Y183" s="41">
        <v>420</v>
      </c>
      <c r="Z183" s="27">
        <v>0</v>
      </c>
      <c r="AA183" s="41">
        <v>20</v>
      </c>
      <c r="AB183" s="41">
        <f>AB182*1.05</f>
        <v>11550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6.0999999999999999E-2</v>
      </c>
      <c r="M184" s="21" t="s">
        <v>221</v>
      </c>
      <c r="N184" s="28"/>
      <c r="P184" s="41">
        <f>P183*1.05</f>
        <v>9552222755.5273418</v>
      </c>
      <c r="Q184" s="41">
        <f t="shared" si="194"/>
        <v>281242.96416850842</v>
      </c>
      <c r="R184" s="41">
        <f t="shared" si="194"/>
        <v>10044391577.446726</v>
      </c>
      <c r="S184" s="27">
        <v>100</v>
      </c>
      <c r="T184" s="52">
        <v>450</v>
      </c>
      <c r="U184" s="57">
        <v>0.5</v>
      </c>
      <c r="V184" s="27">
        <f t="shared" si="192"/>
        <v>50221957.88723363</v>
      </c>
      <c r="W184" s="41">
        <v>0</v>
      </c>
      <c r="X184" s="41">
        <f t="shared" si="193"/>
        <v>200</v>
      </c>
      <c r="Y184" s="41">
        <v>430</v>
      </c>
      <c r="Z184" s="27">
        <v>0</v>
      </c>
      <c r="AA184" s="41">
        <v>20</v>
      </c>
      <c r="AB184" s="41">
        <f>AB183*1.05</f>
        <v>12127.5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6.0999999999999999E-2</v>
      </c>
      <c r="M185" s="21" t="s">
        <v>221</v>
      </c>
      <c r="N185" s="28"/>
      <c r="P185" s="41">
        <f t="shared" ref="P185:P201" si="195">P184*1.05</f>
        <v>10029833893.303709</v>
      </c>
      <c r="Q185" s="41">
        <f t="shared" ref="Q185:Q201" si="196">Q184*1.05</f>
        <v>295305.11237693386</v>
      </c>
      <c r="R185" s="41">
        <f t="shared" ref="R185:R201" si="197">R184*1.05</f>
        <v>10546611156.319063</v>
      </c>
      <c r="S185" s="27">
        <v>100</v>
      </c>
      <c r="T185" s="52">
        <v>450</v>
      </c>
      <c r="U185" s="57">
        <v>0.5</v>
      </c>
      <c r="V185" s="27">
        <f t="shared" si="192"/>
        <v>52733055.78159532</v>
      </c>
      <c r="W185" s="41">
        <v>0</v>
      </c>
      <c r="X185" s="41">
        <f t="shared" si="193"/>
        <v>200</v>
      </c>
      <c r="Y185" s="41">
        <v>440</v>
      </c>
      <c r="Z185" s="27">
        <v>0</v>
      </c>
      <c r="AA185" s="41">
        <v>20</v>
      </c>
      <c r="AB185" s="41">
        <f t="shared" ref="AB185:AB201" si="198">AB184*1.05</f>
        <v>12733.875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6.0999999999999999E-2</v>
      </c>
      <c r="M186" s="21" t="s">
        <v>221</v>
      </c>
      <c r="P186" s="41">
        <f t="shared" si="195"/>
        <v>10531325587.968895</v>
      </c>
      <c r="Q186" s="41">
        <f t="shared" si="196"/>
        <v>310070.36799578054</v>
      </c>
      <c r="R186" s="41">
        <f t="shared" si="197"/>
        <v>11073941714.135017</v>
      </c>
      <c r="S186" s="27">
        <v>100</v>
      </c>
      <c r="T186" s="52">
        <v>450</v>
      </c>
      <c r="U186" s="57">
        <v>0.5</v>
      </c>
      <c r="V186" s="27">
        <f t="shared" ref="V186:V201" si="199">R186*0.005</f>
        <v>55369708.57067509</v>
      </c>
      <c r="W186" s="41">
        <v>0</v>
      </c>
      <c r="X186" s="41">
        <f t="shared" si="193"/>
        <v>200</v>
      </c>
      <c r="Y186" s="41">
        <v>450</v>
      </c>
      <c r="Z186" s="27">
        <v>0</v>
      </c>
      <c r="AA186" s="41">
        <v>20</v>
      </c>
      <c r="AB186" s="41">
        <f t="shared" si="198"/>
        <v>13370.56875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6.0999999999999999E-2</v>
      </c>
      <c r="M187" s="21" t="s">
        <v>221</v>
      </c>
      <c r="P187" s="41">
        <f t="shared" si="195"/>
        <v>11057891867.36734</v>
      </c>
      <c r="Q187" s="41">
        <f t="shared" si="196"/>
        <v>325573.8863955696</v>
      </c>
      <c r="R187" s="41">
        <f t="shared" si="197"/>
        <v>11627638799.841768</v>
      </c>
      <c r="S187" s="27">
        <v>100</v>
      </c>
      <c r="T187" s="52">
        <v>450</v>
      </c>
      <c r="U187" s="57">
        <v>0.5</v>
      </c>
      <c r="V187" s="27">
        <f t="shared" si="199"/>
        <v>58138193.999208845</v>
      </c>
      <c r="W187" s="41">
        <v>0</v>
      </c>
      <c r="X187" s="41">
        <f t="shared" si="193"/>
        <v>200</v>
      </c>
      <c r="Y187" s="41">
        <v>460</v>
      </c>
      <c r="Z187" s="27">
        <v>0</v>
      </c>
      <c r="AA187" s="41">
        <v>20</v>
      </c>
      <c r="AB187" s="41">
        <f t="shared" si="198"/>
        <v>14039.097187500001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6.0999999999999999E-2</v>
      </c>
      <c r="M188" s="21" t="s">
        <v>221</v>
      </c>
      <c r="P188" s="41">
        <f t="shared" si="195"/>
        <v>11610786460.735708</v>
      </c>
      <c r="Q188" s="41">
        <f t="shared" si="196"/>
        <v>341852.58071534807</v>
      </c>
      <c r="R188" s="41">
        <f t="shared" si="197"/>
        <v>12209020739.833857</v>
      </c>
      <c r="S188" s="27">
        <v>100</v>
      </c>
      <c r="T188" s="52">
        <v>450</v>
      </c>
      <c r="U188" s="57">
        <v>0.5</v>
      </c>
      <c r="V188" s="27">
        <f t="shared" si="199"/>
        <v>61045103.699169286</v>
      </c>
      <c r="W188" s="41">
        <v>0</v>
      </c>
      <c r="X188" s="41">
        <f t="shared" si="193"/>
        <v>200</v>
      </c>
      <c r="Y188" s="41">
        <v>470</v>
      </c>
      <c r="Z188" s="27">
        <v>0</v>
      </c>
      <c r="AA188" s="41">
        <v>20</v>
      </c>
      <c r="AB188" s="41">
        <f t="shared" si="198"/>
        <v>14741.052046875002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6.0999999999999999E-2</v>
      </c>
      <c r="M189" s="21" t="s">
        <v>221</v>
      </c>
      <c r="P189" s="41">
        <f t="shared" si="195"/>
        <v>12191325783.772493</v>
      </c>
      <c r="Q189" s="41">
        <f t="shared" si="196"/>
        <v>358945.20975111547</v>
      </c>
      <c r="R189" s="41">
        <f t="shared" si="197"/>
        <v>12819471776.82555</v>
      </c>
      <c r="S189" s="27">
        <v>100</v>
      </c>
      <c r="T189" s="52">
        <v>450</v>
      </c>
      <c r="U189" s="57">
        <v>0.5</v>
      </c>
      <c r="V189" s="27">
        <f t="shared" si="199"/>
        <v>64097358.884127751</v>
      </c>
      <c r="W189" s="41">
        <v>0</v>
      </c>
      <c r="X189" s="41">
        <f t="shared" si="193"/>
        <v>200</v>
      </c>
      <c r="Y189" s="41">
        <v>480</v>
      </c>
      <c r="Z189" s="27">
        <v>0</v>
      </c>
      <c r="AA189" s="41">
        <v>20</v>
      </c>
      <c r="AB189" s="41">
        <f t="shared" si="198"/>
        <v>15478.104649218752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6.0999999999999999E-2</v>
      </c>
      <c r="M190" s="21" t="s">
        <v>221</v>
      </c>
      <c r="P190" s="41">
        <f t="shared" si="195"/>
        <v>12800892072.961119</v>
      </c>
      <c r="Q190" s="41">
        <f t="shared" si="196"/>
        <v>376892.47023867129</v>
      </c>
      <c r="R190" s="41">
        <f t="shared" si="197"/>
        <v>13460445365.666828</v>
      </c>
      <c r="S190" s="27">
        <v>100</v>
      </c>
      <c r="T190" s="52">
        <v>450</v>
      </c>
      <c r="U190" s="57">
        <v>0.5</v>
      </c>
      <c r="V190" s="27">
        <f t="shared" si="199"/>
        <v>67302226.828334138</v>
      </c>
      <c r="W190" s="41">
        <v>0</v>
      </c>
      <c r="X190" s="41">
        <f t="shared" si="193"/>
        <v>200</v>
      </c>
      <c r="Y190" s="41">
        <v>490</v>
      </c>
      <c r="Z190" s="27">
        <v>0</v>
      </c>
      <c r="AA190" s="41">
        <v>20</v>
      </c>
      <c r="AB190" s="41">
        <f t="shared" si="198"/>
        <v>16252.009881679691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6.0999999999999999E-2</v>
      </c>
      <c r="M191" s="21" t="s">
        <v>221</v>
      </c>
      <c r="P191" s="41">
        <f t="shared" si="195"/>
        <v>13440936676.609175</v>
      </c>
      <c r="Q191" s="41">
        <f t="shared" si="196"/>
        <v>395737.09375060489</v>
      </c>
      <c r="R191" s="41">
        <f t="shared" si="197"/>
        <v>14133467633.950171</v>
      </c>
      <c r="S191" s="27">
        <v>100</v>
      </c>
      <c r="T191" s="52">
        <v>450</v>
      </c>
      <c r="U191" s="57">
        <v>0.5</v>
      </c>
      <c r="V191" s="27">
        <f t="shared" si="199"/>
        <v>70667338.169750854</v>
      </c>
      <c r="W191" s="41">
        <v>0</v>
      </c>
      <c r="X191" s="41">
        <f t="shared" si="193"/>
        <v>200</v>
      </c>
      <c r="Y191" s="41">
        <v>500</v>
      </c>
      <c r="Z191" s="27">
        <v>0</v>
      </c>
      <c r="AA191" s="41">
        <v>20</v>
      </c>
      <c r="AB191" s="41">
        <f t="shared" si="198"/>
        <v>17064.610375763677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6.0999999999999999E-2</v>
      </c>
      <c r="M192" s="21" t="s">
        <v>221</v>
      </c>
      <c r="P192" s="41">
        <f t="shared" si="195"/>
        <v>14112983510.439634</v>
      </c>
      <c r="Q192" s="41">
        <f t="shared" si="196"/>
        <v>415523.94843813515</v>
      </c>
      <c r="R192" s="41">
        <f t="shared" si="197"/>
        <v>14840141015.64768</v>
      </c>
      <c r="S192" s="27">
        <v>100</v>
      </c>
      <c r="T192" s="52">
        <v>450</v>
      </c>
      <c r="U192" s="57">
        <v>0.5</v>
      </c>
      <c r="V192" s="27">
        <f t="shared" si="199"/>
        <v>74200705.078238398</v>
      </c>
      <c r="W192" s="41">
        <v>0</v>
      </c>
      <c r="X192" s="41">
        <f t="shared" si="193"/>
        <v>200</v>
      </c>
      <c r="Y192" s="41">
        <v>510</v>
      </c>
      <c r="Z192" s="27">
        <v>0</v>
      </c>
      <c r="AA192" s="41">
        <v>20</v>
      </c>
      <c r="AB192" s="41">
        <f t="shared" si="198"/>
        <v>17917.84089455186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6.0999999999999999E-2</v>
      </c>
      <c r="M193" s="21" t="s">
        <v>221</v>
      </c>
      <c r="P193" s="41">
        <f t="shared" si="195"/>
        <v>14818632685.961617</v>
      </c>
      <c r="Q193" s="41">
        <f t="shared" si="196"/>
        <v>436300.1458600419</v>
      </c>
      <c r="R193" s="41">
        <f t="shared" si="197"/>
        <v>15582148066.430065</v>
      </c>
      <c r="S193" s="27">
        <v>100</v>
      </c>
      <c r="T193" s="52">
        <v>450</v>
      </c>
      <c r="U193" s="57">
        <v>0.5</v>
      </c>
      <c r="V193" s="27">
        <f t="shared" si="199"/>
        <v>77910740.332150325</v>
      </c>
      <c r="W193" s="41">
        <v>0</v>
      </c>
      <c r="X193" s="41">
        <f t="shared" si="193"/>
        <v>200</v>
      </c>
      <c r="Y193" s="41">
        <v>520</v>
      </c>
      <c r="Z193" s="27">
        <v>0</v>
      </c>
      <c r="AA193" s="41">
        <v>20</v>
      </c>
      <c r="AB193" s="41">
        <f t="shared" si="198"/>
        <v>18813.732939279453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6.0999999999999999E-2</v>
      </c>
      <c r="M194" s="21" t="s">
        <v>221</v>
      </c>
      <c r="P194" s="41">
        <f t="shared" si="195"/>
        <v>15559564320.259699</v>
      </c>
      <c r="Q194" s="41">
        <f t="shared" si="196"/>
        <v>458115.153153044</v>
      </c>
      <c r="R194" s="41">
        <f t="shared" si="197"/>
        <v>16361255469.75157</v>
      </c>
      <c r="S194" s="27">
        <v>100</v>
      </c>
      <c r="T194" s="52">
        <v>450</v>
      </c>
      <c r="U194" s="57">
        <v>0.5</v>
      </c>
      <c r="V194" s="27">
        <f t="shared" si="199"/>
        <v>81806277.348757848</v>
      </c>
      <c r="W194" s="41">
        <v>0</v>
      </c>
      <c r="X194" s="41">
        <f t="shared" si="193"/>
        <v>200</v>
      </c>
      <c r="Y194" s="41">
        <v>530</v>
      </c>
      <c r="Z194" s="27">
        <v>0</v>
      </c>
      <c r="AA194" s="41">
        <v>20</v>
      </c>
      <c r="AB194" s="41">
        <f t="shared" si="198"/>
        <v>19754.419586243424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6.0999999999999999E-2</v>
      </c>
      <c r="M195" s="21" t="s">
        <v>221</v>
      </c>
      <c r="P195" s="41">
        <f t="shared" si="195"/>
        <v>16337542536.272684</v>
      </c>
      <c r="Q195" s="41">
        <f t="shared" si="196"/>
        <v>481020.91081069619</v>
      </c>
      <c r="R195" s="41">
        <f t="shared" si="197"/>
        <v>17179318243.239149</v>
      </c>
      <c r="S195" s="27">
        <v>100</v>
      </c>
      <c r="T195" s="52">
        <v>450</v>
      </c>
      <c r="U195" s="57">
        <v>0.5</v>
      </c>
      <c r="V195" s="27">
        <f t="shared" si="199"/>
        <v>85896591.216195747</v>
      </c>
      <c r="W195" s="41">
        <v>0</v>
      </c>
      <c r="X195" s="41">
        <f t="shared" si="193"/>
        <v>200</v>
      </c>
      <c r="Y195" s="41">
        <v>540</v>
      </c>
      <c r="Z195" s="27">
        <v>0</v>
      </c>
      <c r="AA195" s="41">
        <v>20</v>
      </c>
      <c r="AB195" s="41">
        <f t="shared" si="198"/>
        <v>20742.140565555597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6.0999999999999999E-2</v>
      </c>
      <c r="M196" s="21" t="s">
        <v>221</v>
      </c>
      <c r="P196" s="41">
        <f t="shared" si="195"/>
        <v>17154419663.086319</v>
      </c>
      <c r="Q196" s="41">
        <f t="shared" si="196"/>
        <v>505071.95635123103</v>
      </c>
      <c r="R196" s="41">
        <f t="shared" si="197"/>
        <v>18038284155.401108</v>
      </c>
      <c r="S196" s="27">
        <v>100</v>
      </c>
      <c r="T196" s="52">
        <v>450</v>
      </c>
      <c r="U196" s="57">
        <v>0.5</v>
      </c>
      <c r="V196" s="27">
        <f t="shared" si="199"/>
        <v>90191420.777005538</v>
      </c>
      <c r="W196" s="41">
        <v>0</v>
      </c>
      <c r="X196" s="41">
        <f t="shared" si="193"/>
        <v>200</v>
      </c>
      <c r="Y196" s="41">
        <v>550</v>
      </c>
      <c r="Z196" s="27">
        <v>0</v>
      </c>
      <c r="AA196" s="41">
        <v>20</v>
      </c>
      <c r="AB196" s="41">
        <f t="shared" si="198"/>
        <v>21779.247593833377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6.0999999999999999E-2</v>
      </c>
      <c r="M197" s="21" t="s">
        <v>221</v>
      </c>
      <c r="P197" s="41">
        <f t="shared" si="195"/>
        <v>18012140646.240635</v>
      </c>
      <c r="Q197" s="41">
        <f t="shared" si="196"/>
        <v>530325.55416879256</v>
      </c>
      <c r="R197" s="41">
        <f t="shared" si="197"/>
        <v>18940198363.171165</v>
      </c>
      <c r="S197" s="27">
        <v>100</v>
      </c>
      <c r="T197" s="52">
        <v>450</v>
      </c>
      <c r="U197" s="57">
        <v>0.5</v>
      </c>
      <c r="V197" s="27">
        <f t="shared" si="199"/>
        <v>94700991.815855831</v>
      </c>
      <c r="W197" s="41">
        <v>0</v>
      </c>
      <c r="X197" s="41">
        <f t="shared" si="193"/>
        <v>200</v>
      </c>
      <c r="Y197" s="41">
        <v>560</v>
      </c>
      <c r="Z197" s="27">
        <v>0</v>
      </c>
      <c r="AA197" s="41">
        <v>20</v>
      </c>
      <c r="AB197" s="41">
        <f t="shared" si="198"/>
        <v>22868.209973525049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6.0999999999999999E-2</v>
      </c>
      <c r="M198" s="21" t="s">
        <v>221</v>
      </c>
      <c r="P198" s="41">
        <f t="shared" si="195"/>
        <v>18912747678.552666</v>
      </c>
      <c r="Q198" s="41">
        <f t="shared" si="196"/>
        <v>556841.83187723218</v>
      </c>
      <c r="R198" s="41">
        <f t="shared" si="197"/>
        <v>19887208281.329723</v>
      </c>
      <c r="S198" s="27">
        <v>100</v>
      </c>
      <c r="T198" s="52">
        <v>450</v>
      </c>
      <c r="U198" s="57">
        <v>0.5</v>
      </c>
      <c r="V198" s="27">
        <f t="shared" si="199"/>
        <v>99436041.406648621</v>
      </c>
      <c r="W198" s="41">
        <v>0</v>
      </c>
      <c r="X198" s="41">
        <f t="shared" si="193"/>
        <v>200</v>
      </c>
      <c r="Y198" s="41">
        <v>570</v>
      </c>
      <c r="Z198" s="27">
        <v>0</v>
      </c>
      <c r="AA198" s="41">
        <v>20</v>
      </c>
      <c r="AB198" s="41">
        <f t="shared" si="198"/>
        <v>24011.620472201303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6.0999999999999999E-2</v>
      </c>
      <c r="M199" s="21" t="s">
        <v>221</v>
      </c>
      <c r="P199" s="41">
        <f t="shared" si="195"/>
        <v>19858385062.480301</v>
      </c>
      <c r="Q199" s="41">
        <f t="shared" si="196"/>
        <v>584683.92347109376</v>
      </c>
      <c r="R199" s="41">
        <f t="shared" si="197"/>
        <v>20881568695.39621</v>
      </c>
      <c r="S199" s="27">
        <v>100</v>
      </c>
      <c r="T199" s="52">
        <v>450</v>
      </c>
      <c r="U199" s="57">
        <v>0.5</v>
      </c>
      <c r="V199" s="27">
        <f t="shared" si="199"/>
        <v>104407843.47698104</v>
      </c>
      <c r="W199" s="41">
        <v>0</v>
      </c>
      <c r="X199" s="41">
        <f t="shared" si="193"/>
        <v>200</v>
      </c>
      <c r="Y199" s="41">
        <v>580</v>
      </c>
      <c r="Z199" s="27">
        <v>0</v>
      </c>
      <c r="AA199" s="41">
        <v>20</v>
      </c>
      <c r="AB199" s="41">
        <f t="shared" si="198"/>
        <v>25212.201495811369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6.0999999999999999E-2</v>
      </c>
      <c r="M200" s="21" t="s">
        <v>221</v>
      </c>
      <c r="P200" s="41">
        <f t="shared" si="195"/>
        <v>20851304315.604317</v>
      </c>
      <c r="Q200" s="41">
        <f t="shared" si="196"/>
        <v>613918.11964464851</v>
      </c>
      <c r="R200" s="41">
        <f t="shared" si="197"/>
        <v>21925647130.166019</v>
      </c>
      <c r="S200" s="27">
        <v>100</v>
      </c>
      <c r="T200" s="52">
        <v>450</v>
      </c>
      <c r="U200" s="57">
        <v>0.5</v>
      </c>
      <c r="V200" s="27">
        <f t="shared" si="199"/>
        <v>109628235.6508301</v>
      </c>
      <c r="W200" s="41">
        <v>0</v>
      </c>
      <c r="X200" s="41">
        <f t="shared" si="193"/>
        <v>200</v>
      </c>
      <c r="Y200" s="41">
        <v>590</v>
      </c>
      <c r="Z200" s="27">
        <v>0</v>
      </c>
      <c r="AA200" s="41">
        <v>20</v>
      </c>
      <c r="AB200" s="41">
        <f t="shared" si="198"/>
        <v>26472.811570601938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6.0999999999999999E-2</v>
      </c>
      <c r="M201" s="21" t="s">
        <v>221</v>
      </c>
      <c r="P201" s="41">
        <f t="shared" si="195"/>
        <v>21893869531.384533</v>
      </c>
      <c r="Q201" s="41">
        <f t="shared" si="196"/>
        <v>644614.02562688093</v>
      </c>
      <c r="R201" s="41">
        <f t="shared" si="197"/>
        <v>23021929486.67432</v>
      </c>
      <c r="S201" s="27">
        <v>100</v>
      </c>
      <c r="T201" s="52">
        <v>450</v>
      </c>
      <c r="U201" s="57">
        <v>0.5</v>
      </c>
      <c r="V201" s="27">
        <f t="shared" si="199"/>
        <v>115109647.4333716</v>
      </c>
      <c r="W201" s="41">
        <v>0</v>
      </c>
      <c r="X201" s="41">
        <f t="shared" si="193"/>
        <v>200</v>
      </c>
      <c r="Y201" s="41">
        <v>600</v>
      </c>
      <c r="Z201" s="27">
        <v>0</v>
      </c>
      <c r="AA201" s="41">
        <v>20</v>
      </c>
      <c r="AB201" s="41">
        <f t="shared" si="198"/>
        <v>27796.452149132037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6.0999999999999999E-2</v>
      </c>
      <c r="M202" s="21" t="s">
        <v>221</v>
      </c>
      <c r="P202" s="41">
        <f>P182</f>
        <v>8664147624.0610809</v>
      </c>
      <c r="Q202" s="41">
        <f>Q182</f>
        <v>255095.65910975818</v>
      </c>
      <c r="R202" s="41">
        <f t="shared" ref="R202:AA202" si="200">R182</f>
        <v>9110559253.9199314</v>
      </c>
      <c r="S202" s="41">
        <f t="shared" si="200"/>
        <v>100</v>
      </c>
      <c r="T202" s="41">
        <f t="shared" si="200"/>
        <v>450</v>
      </c>
      <c r="U202" s="57">
        <v>0.5</v>
      </c>
      <c r="V202" s="41">
        <f t="shared" si="200"/>
        <v>45552796.269599661</v>
      </c>
      <c r="W202" s="41">
        <f t="shared" si="200"/>
        <v>0</v>
      </c>
      <c r="X202" s="41">
        <f t="shared" si="200"/>
        <v>200</v>
      </c>
      <c r="Y202" s="41">
        <f t="shared" si="200"/>
        <v>410</v>
      </c>
      <c r="Z202" s="41">
        <f t="shared" si="200"/>
        <v>0</v>
      </c>
      <c r="AA202" s="41">
        <f t="shared" si="200"/>
        <v>20</v>
      </c>
      <c r="AB202" s="41">
        <f>AB182</f>
        <v>11000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6.0999999999999999E-2</v>
      </c>
      <c r="M203" s="21" t="s">
        <v>221</v>
      </c>
      <c r="P203" s="41">
        <f t="shared" ref="P203:AB203" si="201">P183</f>
        <v>9097355005.2641354</v>
      </c>
      <c r="Q203" s="41">
        <f t="shared" si="201"/>
        <v>267850.44206524611</v>
      </c>
      <c r="R203" s="41">
        <f t="shared" si="201"/>
        <v>9566087216.6159286</v>
      </c>
      <c r="S203" s="41">
        <f t="shared" si="201"/>
        <v>100</v>
      </c>
      <c r="T203" s="41">
        <f t="shared" si="201"/>
        <v>450</v>
      </c>
      <c r="U203" s="57">
        <v>0.5</v>
      </c>
      <c r="V203" s="41">
        <f t="shared" si="201"/>
        <v>47830436.083079644</v>
      </c>
      <c r="W203" s="41">
        <f t="shared" si="201"/>
        <v>0</v>
      </c>
      <c r="X203" s="41">
        <f t="shared" si="201"/>
        <v>200</v>
      </c>
      <c r="Y203" s="41">
        <f t="shared" si="201"/>
        <v>420</v>
      </c>
      <c r="Z203" s="41">
        <f t="shared" si="201"/>
        <v>0</v>
      </c>
      <c r="AA203" s="41">
        <f t="shared" si="201"/>
        <v>20</v>
      </c>
      <c r="AB203" s="41">
        <f t="shared" si="201"/>
        <v>11550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6.0999999999999999E-2</v>
      </c>
      <c r="M204" s="21" t="s">
        <v>221</v>
      </c>
      <c r="P204" s="41">
        <f t="shared" ref="P204:AB204" si="202">P184</f>
        <v>9552222755.5273418</v>
      </c>
      <c r="Q204" s="41">
        <f t="shared" si="202"/>
        <v>281242.96416850842</v>
      </c>
      <c r="R204" s="41">
        <f t="shared" si="202"/>
        <v>10044391577.446726</v>
      </c>
      <c r="S204" s="41">
        <f t="shared" si="202"/>
        <v>100</v>
      </c>
      <c r="T204" s="41">
        <f t="shared" si="202"/>
        <v>450</v>
      </c>
      <c r="U204" s="57">
        <v>0.5</v>
      </c>
      <c r="V204" s="41">
        <f t="shared" si="202"/>
        <v>50221957.88723363</v>
      </c>
      <c r="W204" s="41">
        <f t="shared" si="202"/>
        <v>0</v>
      </c>
      <c r="X204" s="41">
        <f t="shared" si="202"/>
        <v>200</v>
      </c>
      <c r="Y204" s="41">
        <f t="shared" si="202"/>
        <v>430</v>
      </c>
      <c r="Z204" s="41">
        <f t="shared" si="202"/>
        <v>0</v>
      </c>
      <c r="AA204" s="41">
        <f t="shared" si="202"/>
        <v>20</v>
      </c>
      <c r="AB204" s="41">
        <f t="shared" si="202"/>
        <v>12127.5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6.0999999999999999E-2</v>
      </c>
      <c r="M205" s="21" t="s">
        <v>221</v>
      </c>
      <c r="P205" s="41">
        <f t="shared" ref="P205:AB205" si="203">P185</f>
        <v>10029833893.303709</v>
      </c>
      <c r="Q205" s="41">
        <f t="shared" si="203"/>
        <v>295305.11237693386</v>
      </c>
      <c r="R205" s="41">
        <f t="shared" si="203"/>
        <v>10546611156.319063</v>
      </c>
      <c r="S205" s="41">
        <f t="shared" si="203"/>
        <v>100</v>
      </c>
      <c r="T205" s="41">
        <f t="shared" si="203"/>
        <v>450</v>
      </c>
      <c r="U205" s="57">
        <v>0.5</v>
      </c>
      <c r="V205" s="41">
        <f t="shared" si="203"/>
        <v>52733055.78159532</v>
      </c>
      <c r="W205" s="41">
        <f t="shared" si="203"/>
        <v>0</v>
      </c>
      <c r="X205" s="41">
        <f t="shared" si="203"/>
        <v>200</v>
      </c>
      <c r="Y205" s="41">
        <f t="shared" si="203"/>
        <v>440</v>
      </c>
      <c r="Z205" s="41">
        <f t="shared" si="203"/>
        <v>0</v>
      </c>
      <c r="AA205" s="41">
        <f t="shared" si="203"/>
        <v>20</v>
      </c>
      <c r="AB205" s="41">
        <f t="shared" si="203"/>
        <v>12733.875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6.0999999999999999E-2</v>
      </c>
      <c r="M206" s="21" t="s">
        <v>221</v>
      </c>
      <c r="P206" s="41">
        <f t="shared" ref="P206:AB206" si="204">P186</f>
        <v>10531325587.968895</v>
      </c>
      <c r="Q206" s="41">
        <f t="shared" si="204"/>
        <v>310070.36799578054</v>
      </c>
      <c r="R206" s="41">
        <f t="shared" si="204"/>
        <v>11073941714.135017</v>
      </c>
      <c r="S206" s="41">
        <f t="shared" si="204"/>
        <v>100</v>
      </c>
      <c r="T206" s="41">
        <f t="shared" si="204"/>
        <v>450</v>
      </c>
      <c r="U206" s="57">
        <v>0.5</v>
      </c>
      <c r="V206" s="41">
        <f t="shared" si="204"/>
        <v>55369708.57067509</v>
      </c>
      <c r="W206" s="41">
        <f t="shared" si="204"/>
        <v>0</v>
      </c>
      <c r="X206" s="41">
        <f t="shared" si="204"/>
        <v>200</v>
      </c>
      <c r="Y206" s="41">
        <f t="shared" si="204"/>
        <v>450</v>
      </c>
      <c r="Z206" s="41">
        <f t="shared" si="204"/>
        <v>0</v>
      </c>
      <c r="AA206" s="41">
        <f t="shared" si="204"/>
        <v>20</v>
      </c>
      <c r="AB206" s="41">
        <f t="shared" si="204"/>
        <v>13370.56875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6.0999999999999999E-2</v>
      </c>
      <c r="M207" s="21" t="s">
        <v>221</v>
      </c>
      <c r="P207" s="41">
        <f t="shared" ref="P207:AB207" si="205">P187</f>
        <v>11057891867.36734</v>
      </c>
      <c r="Q207" s="41">
        <f t="shared" si="205"/>
        <v>325573.8863955696</v>
      </c>
      <c r="R207" s="41">
        <f t="shared" si="205"/>
        <v>11627638799.841768</v>
      </c>
      <c r="S207" s="41">
        <f t="shared" si="205"/>
        <v>100</v>
      </c>
      <c r="T207" s="41">
        <f t="shared" si="205"/>
        <v>450</v>
      </c>
      <c r="U207" s="57">
        <v>0.5</v>
      </c>
      <c r="V207" s="41">
        <f t="shared" si="205"/>
        <v>58138193.999208845</v>
      </c>
      <c r="W207" s="41">
        <f t="shared" si="205"/>
        <v>0</v>
      </c>
      <c r="X207" s="41">
        <f t="shared" si="205"/>
        <v>200</v>
      </c>
      <c r="Y207" s="41">
        <f t="shared" si="205"/>
        <v>460</v>
      </c>
      <c r="Z207" s="41">
        <f t="shared" si="205"/>
        <v>0</v>
      </c>
      <c r="AA207" s="41">
        <f t="shared" si="205"/>
        <v>20</v>
      </c>
      <c r="AB207" s="41">
        <f t="shared" si="205"/>
        <v>14039.097187500001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6.0999999999999999E-2</v>
      </c>
      <c r="M208" s="21" t="s">
        <v>221</v>
      </c>
      <c r="P208" s="41">
        <f t="shared" ref="P208:AB208" si="206">P188</f>
        <v>11610786460.735708</v>
      </c>
      <c r="Q208" s="41">
        <f t="shared" si="206"/>
        <v>341852.58071534807</v>
      </c>
      <c r="R208" s="41">
        <f t="shared" si="206"/>
        <v>12209020739.833857</v>
      </c>
      <c r="S208" s="41">
        <f t="shared" si="206"/>
        <v>100</v>
      </c>
      <c r="T208" s="41">
        <f t="shared" si="206"/>
        <v>450</v>
      </c>
      <c r="U208" s="57">
        <v>0.5</v>
      </c>
      <c r="V208" s="41">
        <f t="shared" si="206"/>
        <v>61045103.699169286</v>
      </c>
      <c r="W208" s="41">
        <f t="shared" si="206"/>
        <v>0</v>
      </c>
      <c r="X208" s="41">
        <f t="shared" si="206"/>
        <v>200</v>
      </c>
      <c r="Y208" s="41">
        <f t="shared" si="206"/>
        <v>470</v>
      </c>
      <c r="Z208" s="41">
        <f t="shared" si="206"/>
        <v>0</v>
      </c>
      <c r="AA208" s="41">
        <f t="shared" si="206"/>
        <v>20</v>
      </c>
      <c r="AB208" s="41">
        <f t="shared" si="206"/>
        <v>14741.052046875002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6.0999999999999999E-2</v>
      </c>
      <c r="M209" s="21" t="s">
        <v>221</v>
      </c>
      <c r="P209" s="41">
        <f t="shared" ref="P209:AB209" si="207">P189</f>
        <v>12191325783.772493</v>
      </c>
      <c r="Q209" s="41">
        <f t="shared" si="207"/>
        <v>358945.20975111547</v>
      </c>
      <c r="R209" s="41">
        <f t="shared" si="207"/>
        <v>12819471776.82555</v>
      </c>
      <c r="S209" s="41">
        <f t="shared" si="207"/>
        <v>100</v>
      </c>
      <c r="T209" s="41">
        <f t="shared" si="207"/>
        <v>450</v>
      </c>
      <c r="U209" s="57">
        <v>0.5</v>
      </c>
      <c r="V209" s="41">
        <f t="shared" si="207"/>
        <v>64097358.884127751</v>
      </c>
      <c r="W209" s="41">
        <f t="shared" si="207"/>
        <v>0</v>
      </c>
      <c r="X209" s="41">
        <f t="shared" si="207"/>
        <v>200</v>
      </c>
      <c r="Y209" s="41">
        <f t="shared" si="207"/>
        <v>480</v>
      </c>
      <c r="Z209" s="41">
        <f t="shared" si="207"/>
        <v>0</v>
      </c>
      <c r="AA209" s="41">
        <f t="shared" si="207"/>
        <v>20</v>
      </c>
      <c r="AB209" s="41">
        <f t="shared" si="207"/>
        <v>15478.104649218752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6.0999999999999999E-2</v>
      </c>
      <c r="M210" s="21" t="s">
        <v>221</v>
      </c>
      <c r="P210" s="41">
        <f t="shared" ref="P210:AB210" si="208">P190</f>
        <v>12800892072.961119</v>
      </c>
      <c r="Q210" s="41">
        <f t="shared" si="208"/>
        <v>376892.47023867129</v>
      </c>
      <c r="R210" s="41">
        <f t="shared" si="208"/>
        <v>13460445365.666828</v>
      </c>
      <c r="S210" s="41">
        <f t="shared" si="208"/>
        <v>100</v>
      </c>
      <c r="T210" s="41">
        <f t="shared" si="208"/>
        <v>450</v>
      </c>
      <c r="U210" s="57">
        <v>0.5</v>
      </c>
      <c r="V210" s="41">
        <f t="shared" si="208"/>
        <v>67302226.828334138</v>
      </c>
      <c r="W210" s="41">
        <f t="shared" si="208"/>
        <v>0</v>
      </c>
      <c r="X210" s="41">
        <f t="shared" si="208"/>
        <v>200</v>
      </c>
      <c r="Y210" s="41">
        <f t="shared" si="208"/>
        <v>490</v>
      </c>
      <c r="Z210" s="41">
        <f t="shared" si="208"/>
        <v>0</v>
      </c>
      <c r="AA210" s="41">
        <f t="shared" si="208"/>
        <v>20</v>
      </c>
      <c r="AB210" s="41">
        <f t="shared" si="208"/>
        <v>16252.009881679691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6.0999999999999999E-2</v>
      </c>
      <c r="M211" s="21" t="s">
        <v>221</v>
      </c>
      <c r="P211" s="41">
        <f t="shared" ref="P211:AB211" si="209">P191</f>
        <v>13440936676.609175</v>
      </c>
      <c r="Q211" s="41">
        <f t="shared" si="209"/>
        <v>395737.09375060489</v>
      </c>
      <c r="R211" s="41">
        <f t="shared" si="209"/>
        <v>14133467633.950171</v>
      </c>
      <c r="S211" s="41">
        <f t="shared" si="209"/>
        <v>100</v>
      </c>
      <c r="T211" s="41">
        <f t="shared" si="209"/>
        <v>450</v>
      </c>
      <c r="U211" s="57">
        <v>0.5</v>
      </c>
      <c r="V211" s="41">
        <f t="shared" si="209"/>
        <v>70667338.169750854</v>
      </c>
      <c r="W211" s="41">
        <f t="shared" si="209"/>
        <v>0</v>
      </c>
      <c r="X211" s="41">
        <f t="shared" si="209"/>
        <v>200</v>
      </c>
      <c r="Y211" s="41">
        <f t="shared" si="209"/>
        <v>500</v>
      </c>
      <c r="Z211" s="41">
        <f t="shared" si="209"/>
        <v>0</v>
      </c>
      <c r="AA211" s="41">
        <f t="shared" si="209"/>
        <v>20</v>
      </c>
      <c r="AB211" s="41">
        <f t="shared" si="209"/>
        <v>17064.610375763677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6.0999999999999999E-2</v>
      </c>
      <c r="M212" s="21" t="s">
        <v>221</v>
      </c>
      <c r="P212" s="41">
        <f t="shared" ref="P212:AB212" si="210">P192</f>
        <v>14112983510.439634</v>
      </c>
      <c r="Q212" s="41">
        <f t="shared" si="210"/>
        <v>415523.94843813515</v>
      </c>
      <c r="R212" s="41">
        <f t="shared" si="210"/>
        <v>14840141015.64768</v>
      </c>
      <c r="S212" s="41">
        <f t="shared" si="210"/>
        <v>100</v>
      </c>
      <c r="T212" s="41">
        <f t="shared" si="210"/>
        <v>450</v>
      </c>
      <c r="U212" s="57">
        <v>0.5</v>
      </c>
      <c r="V212" s="41">
        <f t="shared" si="210"/>
        <v>74200705.078238398</v>
      </c>
      <c r="W212" s="41">
        <f t="shared" si="210"/>
        <v>0</v>
      </c>
      <c r="X212" s="41">
        <f t="shared" si="210"/>
        <v>200</v>
      </c>
      <c r="Y212" s="41">
        <f t="shared" si="210"/>
        <v>510</v>
      </c>
      <c r="Z212" s="41">
        <f t="shared" si="210"/>
        <v>0</v>
      </c>
      <c r="AA212" s="41">
        <f t="shared" si="210"/>
        <v>20</v>
      </c>
      <c r="AB212" s="41">
        <f t="shared" si="210"/>
        <v>17917.84089455186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6.0999999999999999E-2</v>
      </c>
      <c r="M213" s="21" t="s">
        <v>221</v>
      </c>
      <c r="P213" s="41">
        <f t="shared" ref="P213:AB213" si="211">P193</f>
        <v>14818632685.961617</v>
      </c>
      <c r="Q213" s="41">
        <f t="shared" si="211"/>
        <v>436300.1458600419</v>
      </c>
      <c r="R213" s="41">
        <f t="shared" si="211"/>
        <v>15582148066.430065</v>
      </c>
      <c r="S213" s="41">
        <f t="shared" si="211"/>
        <v>100</v>
      </c>
      <c r="T213" s="41">
        <f t="shared" si="211"/>
        <v>450</v>
      </c>
      <c r="U213" s="57">
        <v>0.5</v>
      </c>
      <c r="V213" s="41">
        <f t="shared" si="211"/>
        <v>77910740.332150325</v>
      </c>
      <c r="W213" s="41">
        <f t="shared" si="211"/>
        <v>0</v>
      </c>
      <c r="X213" s="41">
        <f t="shared" si="211"/>
        <v>200</v>
      </c>
      <c r="Y213" s="41">
        <f t="shared" si="211"/>
        <v>520</v>
      </c>
      <c r="Z213" s="41">
        <f t="shared" si="211"/>
        <v>0</v>
      </c>
      <c r="AA213" s="41">
        <f t="shared" si="211"/>
        <v>20</v>
      </c>
      <c r="AB213" s="41">
        <f t="shared" si="211"/>
        <v>18813.732939279453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6.0999999999999999E-2</v>
      </c>
      <c r="M214" s="21" t="s">
        <v>221</v>
      </c>
      <c r="P214" s="41">
        <f t="shared" ref="P214:AB214" si="212">P194</f>
        <v>15559564320.259699</v>
      </c>
      <c r="Q214" s="41">
        <f t="shared" si="212"/>
        <v>458115.153153044</v>
      </c>
      <c r="R214" s="41">
        <f t="shared" si="212"/>
        <v>16361255469.75157</v>
      </c>
      <c r="S214" s="41">
        <f t="shared" si="212"/>
        <v>100</v>
      </c>
      <c r="T214" s="41">
        <f t="shared" si="212"/>
        <v>450</v>
      </c>
      <c r="U214" s="57">
        <v>0.5</v>
      </c>
      <c r="V214" s="41">
        <f t="shared" si="212"/>
        <v>81806277.348757848</v>
      </c>
      <c r="W214" s="41">
        <f t="shared" si="212"/>
        <v>0</v>
      </c>
      <c r="X214" s="41">
        <f t="shared" si="212"/>
        <v>200</v>
      </c>
      <c r="Y214" s="41">
        <f t="shared" si="212"/>
        <v>530</v>
      </c>
      <c r="Z214" s="41">
        <f t="shared" si="212"/>
        <v>0</v>
      </c>
      <c r="AA214" s="41">
        <f t="shared" si="212"/>
        <v>20</v>
      </c>
      <c r="AB214" s="41">
        <f t="shared" si="212"/>
        <v>19754.419586243424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6.0999999999999999E-2</v>
      </c>
      <c r="M215" s="21" t="s">
        <v>221</v>
      </c>
      <c r="P215" s="41">
        <f t="shared" ref="P215:AB215" si="213">P195</f>
        <v>16337542536.272684</v>
      </c>
      <c r="Q215" s="41">
        <f t="shared" si="213"/>
        <v>481020.91081069619</v>
      </c>
      <c r="R215" s="41">
        <f t="shared" si="213"/>
        <v>17179318243.239149</v>
      </c>
      <c r="S215" s="41">
        <f t="shared" si="213"/>
        <v>100</v>
      </c>
      <c r="T215" s="41">
        <f t="shared" si="213"/>
        <v>450</v>
      </c>
      <c r="U215" s="57">
        <v>0.5</v>
      </c>
      <c r="V215" s="41">
        <f t="shared" si="213"/>
        <v>85896591.216195747</v>
      </c>
      <c r="W215" s="41">
        <f t="shared" si="213"/>
        <v>0</v>
      </c>
      <c r="X215" s="41">
        <f t="shared" si="213"/>
        <v>200</v>
      </c>
      <c r="Y215" s="41">
        <f t="shared" si="213"/>
        <v>540</v>
      </c>
      <c r="Z215" s="41">
        <f t="shared" si="213"/>
        <v>0</v>
      </c>
      <c r="AA215" s="41">
        <f t="shared" si="213"/>
        <v>20</v>
      </c>
      <c r="AB215" s="41">
        <f t="shared" si="213"/>
        <v>20742.140565555597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6.0999999999999999E-2</v>
      </c>
      <c r="M216" s="21" t="s">
        <v>221</v>
      </c>
      <c r="P216" s="41">
        <f t="shared" ref="P216:AB216" si="214">P196</f>
        <v>17154419663.086319</v>
      </c>
      <c r="Q216" s="41">
        <f t="shared" si="214"/>
        <v>505071.95635123103</v>
      </c>
      <c r="R216" s="41">
        <f t="shared" si="214"/>
        <v>18038284155.401108</v>
      </c>
      <c r="S216" s="41">
        <f t="shared" si="214"/>
        <v>100</v>
      </c>
      <c r="T216" s="41">
        <f t="shared" si="214"/>
        <v>450</v>
      </c>
      <c r="U216" s="57">
        <v>0.5</v>
      </c>
      <c r="V216" s="41">
        <f t="shared" si="214"/>
        <v>90191420.777005538</v>
      </c>
      <c r="W216" s="41">
        <f t="shared" si="214"/>
        <v>0</v>
      </c>
      <c r="X216" s="41">
        <f t="shared" si="214"/>
        <v>200</v>
      </c>
      <c r="Y216" s="41">
        <f t="shared" si="214"/>
        <v>550</v>
      </c>
      <c r="Z216" s="41">
        <f t="shared" si="214"/>
        <v>0</v>
      </c>
      <c r="AA216" s="41">
        <f t="shared" si="214"/>
        <v>20</v>
      </c>
      <c r="AB216" s="41">
        <f t="shared" si="214"/>
        <v>21779.247593833377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6.0999999999999999E-2</v>
      </c>
      <c r="M217" s="21" t="s">
        <v>221</v>
      </c>
      <c r="P217" s="41">
        <f t="shared" ref="P217:AB217" si="215">P197</f>
        <v>18012140646.240635</v>
      </c>
      <c r="Q217" s="41">
        <f t="shared" si="215"/>
        <v>530325.55416879256</v>
      </c>
      <c r="R217" s="41">
        <f t="shared" si="215"/>
        <v>18940198363.171165</v>
      </c>
      <c r="S217" s="41">
        <f t="shared" si="215"/>
        <v>100</v>
      </c>
      <c r="T217" s="41">
        <f t="shared" si="215"/>
        <v>450</v>
      </c>
      <c r="U217" s="57">
        <v>0.5</v>
      </c>
      <c r="V217" s="41">
        <f t="shared" si="215"/>
        <v>94700991.815855831</v>
      </c>
      <c r="W217" s="41">
        <f t="shared" si="215"/>
        <v>0</v>
      </c>
      <c r="X217" s="41">
        <f t="shared" si="215"/>
        <v>200</v>
      </c>
      <c r="Y217" s="41">
        <f t="shared" si="215"/>
        <v>560</v>
      </c>
      <c r="Z217" s="41">
        <f t="shared" si="215"/>
        <v>0</v>
      </c>
      <c r="AA217" s="41">
        <f t="shared" si="215"/>
        <v>20</v>
      </c>
      <c r="AB217" s="41">
        <f t="shared" si="215"/>
        <v>22868.209973525049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6.0999999999999999E-2</v>
      </c>
      <c r="M218" s="21" t="s">
        <v>221</v>
      </c>
      <c r="P218" s="41">
        <f t="shared" ref="P218:AB218" si="216">P198</f>
        <v>18912747678.552666</v>
      </c>
      <c r="Q218" s="41">
        <f t="shared" si="216"/>
        <v>556841.83187723218</v>
      </c>
      <c r="R218" s="41">
        <f t="shared" si="216"/>
        <v>19887208281.329723</v>
      </c>
      <c r="S218" s="41">
        <f t="shared" si="216"/>
        <v>100</v>
      </c>
      <c r="T218" s="41">
        <f t="shared" si="216"/>
        <v>450</v>
      </c>
      <c r="U218" s="57">
        <v>0.5</v>
      </c>
      <c r="V218" s="41">
        <f t="shared" si="216"/>
        <v>99436041.406648621</v>
      </c>
      <c r="W218" s="41">
        <f t="shared" si="216"/>
        <v>0</v>
      </c>
      <c r="X218" s="41">
        <f t="shared" si="216"/>
        <v>200</v>
      </c>
      <c r="Y218" s="41">
        <f t="shared" si="216"/>
        <v>570</v>
      </c>
      <c r="Z218" s="41">
        <f t="shared" si="216"/>
        <v>0</v>
      </c>
      <c r="AA218" s="41">
        <f t="shared" si="216"/>
        <v>20</v>
      </c>
      <c r="AB218" s="41">
        <f t="shared" si="216"/>
        <v>24011.620472201303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6.0999999999999999E-2</v>
      </c>
      <c r="M219" s="21" t="s">
        <v>221</v>
      </c>
      <c r="P219" s="41">
        <f t="shared" ref="P219:AB219" si="217">P199</f>
        <v>19858385062.480301</v>
      </c>
      <c r="Q219" s="41">
        <f t="shared" si="217"/>
        <v>584683.92347109376</v>
      </c>
      <c r="R219" s="41">
        <f t="shared" si="217"/>
        <v>20881568695.39621</v>
      </c>
      <c r="S219" s="41">
        <f t="shared" si="217"/>
        <v>100</v>
      </c>
      <c r="T219" s="41">
        <f t="shared" si="217"/>
        <v>450</v>
      </c>
      <c r="U219" s="57">
        <v>0.5</v>
      </c>
      <c r="V219" s="41">
        <f t="shared" si="217"/>
        <v>104407843.47698104</v>
      </c>
      <c r="W219" s="41">
        <f t="shared" si="217"/>
        <v>0</v>
      </c>
      <c r="X219" s="41">
        <f t="shared" si="217"/>
        <v>200</v>
      </c>
      <c r="Y219" s="41">
        <f t="shared" si="217"/>
        <v>580</v>
      </c>
      <c r="Z219" s="41">
        <f t="shared" si="217"/>
        <v>0</v>
      </c>
      <c r="AA219" s="41">
        <f t="shared" si="217"/>
        <v>20</v>
      </c>
      <c r="AB219" s="41">
        <f t="shared" si="217"/>
        <v>25212.201495811369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6.0999999999999999E-2</v>
      </c>
      <c r="M220" s="21" t="s">
        <v>221</v>
      </c>
      <c r="P220" s="41">
        <f t="shared" ref="P220:AB220" si="218">P200</f>
        <v>20851304315.604317</v>
      </c>
      <c r="Q220" s="41">
        <f t="shared" si="218"/>
        <v>613918.11964464851</v>
      </c>
      <c r="R220" s="41">
        <f t="shared" si="218"/>
        <v>21925647130.166019</v>
      </c>
      <c r="S220" s="41">
        <f t="shared" si="218"/>
        <v>100</v>
      </c>
      <c r="T220" s="41">
        <f t="shared" si="218"/>
        <v>450</v>
      </c>
      <c r="U220" s="57">
        <v>0.5</v>
      </c>
      <c r="V220" s="41">
        <f t="shared" si="218"/>
        <v>109628235.6508301</v>
      </c>
      <c r="W220" s="41">
        <f t="shared" si="218"/>
        <v>0</v>
      </c>
      <c r="X220" s="41">
        <f t="shared" si="218"/>
        <v>200</v>
      </c>
      <c r="Y220" s="41">
        <f t="shared" si="218"/>
        <v>590</v>
      </c>
      <c r="Z220" s="41">
        <f t="shared" si="218"/>
        <v>0</v>
      </c>
      <c r="AA220" s="41">
        <f t="shared" si="218"/>
        <v>20</v>
      </c>
      <c r="AB220" s="41">
        <f t="shared" si="218"/>
        <v>26472.811570601938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6.0999999999999999E-2</v>
      </c>
      <c r="M221" s="21" t="s">
        <v>221</v>
      </c>
      <c r="P221" s="41">
        <f t="shared" ref="P221:AB221" si="219">P201</f>
        <v>21893869531.384533</v>
      </c>
      <c r="Q221" s="41">
        <f t="shared" si="219"/>
        <v>644614.02562688093</v>
      </c>
      <c r="R221" s="41">
        <f t="shared" si="219"/>
        <v>23021929486.67432</v>
      </c>
      <c r="S221" s="41">
        <f t="shared" si="219"/>
        <v>100</v>
      </c>
      <c r="T221" s="41">
        <f t="shared" si="219"/>
        <v>450</v>
      </c>
      <c r="U221" s="57">
        <v>0.5</v>
      </c>
      <c r="V221" s="41">
        <f t="shared" si="219"/>
        <v>115109647.4333716</v>
      </c>
      <c r="W221" s="41">
        <f t="shared" si="219"/>
        <v>0</v>
      </c>
      <c r="X221" s="41">
        <f t="shared" si="219"/>
        <v>200</v>
      </c>
      <c r="Y221" s="41">
        <f t="shared" si="219"/>
        <v>600</v>
      </c>
      <c r="Z221" s="41">
        <f t="shared" si="219"/>
        <v>0</v>
      </c>
      <c r="AA221" s="41">
        <f t="shared" si="219"/>
        <v>20</v>
      </c>
      <c r="AB221" s="41">
        <f t="shared" si="219"/>
        <v>27796.452149132037</v>
      </c>
      <c r="AC221" s="41">
        <v>20</v>
      </c>
      <c r="AD221" s="41">
        <v>200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5:AD10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2020-03-12T17:27:52Z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