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967E2822-87D6-4B96-82F4-6784F5D12B95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31" i="29" l="1"/>
  <c r="N108" i="29" l="1"/>
  <c r="N106" i="29" l="1"/>
  <c r="N104" i="29" l="1"/>
  <c r="N102" i="29"/>
  <c r="N100" i="29"/>
  <c r="N98" i="29"/>
  <c r="N228" i="29" l="1"/>
  <c r="N227" i="29"/>
  <c r="N226" i="29"/>
  <c r="N225" i="29"/>
  <c r="N168" i="29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3" i="29"/>
  <c r="N12" i="29"/>
  <c r="N11" i="29"/>
  <c r="N10" i="29"/>
  <c r="N9" i="29"/>
  <c r="N8" i="29"/>
  <c r="N62" i="29"/>
  <c r="N61" i="29"/>
  <c r="N60" i="29"/>
  <c r="N59" i="29"/>
  <c r="N96" i="29"/>
  <c r="N95" i="29"/>
  <c r="N93" i="29"/>
  <c r="N94" i="29"/>
  <c r="Q96" i="29" l="1"/>
  <c r="R96" i="29"/>
  <c r="P96" i="29"/>
  <c r="P95" i="29"/>
  <c r="P225" i="29"/>
  <c r="R225" i="29"/>
  <c r="V225" i="29" s="1"/>
  <c r="R226" i="29"/>
  <c r="R227" i="29"/>
  <c r="R228" i="29"/>
  <c r="R229" i="29"/>
  <c r="P226" i="29"/>
  <c r="P227" i="29"/>
  <c r="P228" i="29"/>
  <c r="P229" i="29"/>
  <c r="X229" i="29"/>
  <c r="X228" i="29"/>
  <c r="X227" i="29"/>
  <c r="X226" i="29"/>
  <c r="X225" i="29"/>
  <c r="V226" i="29" l="1"/>
  <c r="P89" i="29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V227" i="29" l="1"/>
  <c r="R65" i="29"/>
  <c r="R110" i="29"/>
  <c r="R99" i="29"/>
  <c r="P99" i="29"/>
  <c r="P101" i="29" s="1"/>
  <c r="R12" i="29"/>
  <c r="P12" i="29"/>
  <c r="V229" i="29" l="1"/>
  <c r="V228" i="29"/>
  <c r="N109" i="29"/>
  <c r="N107" i="29"/>
  <c r="N105" i="29"/>
  <c r="N103" i="29"/>
  <c r="N101" i="29"/>
  <c r="N99" i="29"/>
  <c r="N4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5" i="29"/>
  <c r="R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Q12" i="29" s="1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99" i="29" s="1"/>
  <c r="Q98" i="29" s="1"/>
  <c r="Q100" i="29" s="1"/>
  <c r="Q102" i="29" s="1"/>
  <c r="Q104" i="29" s="1"/>
  <c r="Q106" i="29" s="1"/>
  <c r="Q108" i="29" s="1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Q101" i="29" l="1"/>
  <c r="Q103" i="29" s="1"/>
  <c r="Q105" i="29" s="1"/>
  <c r="Q107" i="29" s="1"/>
  <c r="R105" i="29"/>
  <c r="V103" i="29"/>
  <c r="R102" i="29"/>
  <c r="V100" i="29"/>
  <c r="Q109" i="29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Q110" i="29" l="1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R107" i="29"/>
  <c r="V105" i="29"/>
  <c r="R104" i="29"/>
  <c r="V102" i="29"/>
  <c r="P202" i="29"/>
  <c r="P183" i="29"/>
  <c r="R80" i="29"/>
  <c r="V80" i="29" s="1"/>
  <c r="R18" i="29"/>
  <c r="Q170" i="29" l="1"/>
  <c r="Q225" i="29"/>
  <c r="R109" i="29"/>
  <c r="V107" i="29"/>
  <c r="R106" i="29"/>
  <c r="V104" i="29"/>
  <c r="P184" i="29"/>
  <c r="P203" i="29"/>
  <c r="R81" i="29"/>
  <c r="V81" i="29" s="1"/>
  <c r="R19" i="29"/>
  <c r="Q171" i="29" l="1"/>
  <c r="Q226" i="29"/>
  <c r="V109" i="29"/>
  <c r="R108" i="29"/>
  <c r="V108" i="29" s="1"/>
  <c r="V106" i="29"/>
  <c r="P204" i="29"/>
  <c r="P185" i="29"/>
  <c r="R91" i="29"/>
  <c r="V91" i="29" s="1"/>
  <c r="R82" i="29"/>
  <c r="V82" i="29" s="1"/>
  <c r="R20" i="29"/>
  <c r="Q172" i="29" l="1"/>
  <c r="Q227" i="29"/>
  <c r="V110" i="29"/>
  <c r="R111" i="29"/>
  <c r="P186" i="29"/>
  <c r="P205" i="29"/>
  <c r="R83" i="29"/>
  <c r="V83" i="29" s="1"/>
  <c r="R21" i="29"/>
  <c r="Q173" i="29" l="1"/>
  <c r="Q228" i="29"/>
  <c r="R112" i="29"/>
  <c r="V111" i="29"/>
  <c r="P187" i="29"/>
  <c r="P206" i="29"/>
  <c r="R84" i="29"/>
  <c r="V84" i="29" s="1"/>
  <c r="R22" i="29"/>
  <c r="Q174" i="29" l="1"/>
  <c r="Q175" i="29" s="1"/>
  <c r="Q176" i="29" s="1"/>
  <c r="Q177" i="29" s="1"/>
  <c r="Q178" i="29" s="1"/>
  <c r="Q179" i="29" s="1"/>
  <c r="Q182" i="29" s="1"/>
  <c r="Q229" i="29"/>
  <c r="R113" i="29"/>
  <c r="V112" i="29"/>
  <c r="P188" i="29"/>
  <c r="P207" i="29"/>
  <c r="R85" i="29"/>
  <c r="V85" i="29" s="1"/>
  <c r="R23" i="29"/>
  <c r="Q202" i="29" l="1"/>
  <c r="Q183" i="29"/>
  <c r="R114" i="29"/>
  <c r="V113" i="29"/>
  <c r="P189" i="29"/>
  <c r="P208" i="29"/>
  <c r="R86" i="29"/>
  <c r="V86" i="29" s="1"/>
  <c r="R24" i="29"/>
  <c r="Q184" i="29" l="1"/>
  <c r="Q203" i="29"/>
  <c r="R115" i="29"/>
  <c r="V114" i="29"/>
  <c r="P190" i="29"/>
  <c r="P209" i="29"/>
  <c r="R87" i="29"/>
  <c r="R25" i="29"/>
  <c r="Q204" i="29" l="1"/>
  <c r="Q185" i="29"/>
  <c r="R116" i="29"/>
  <c r="V115" i="29"/>
  <c r="P191" i="29"/>
  <c r="P210" i="29"/>
  <c r="V87" i="29"/>
  <c r="R92" i="29"/>
  <c r="V92" i="29" s="1"/>
  <c r="R26" i="29"/>
  <c r="Q186" i="29" l="1"/>
  <c r="Q205" i="29"/>
  <c r="R117" i="29"/>
  <c r="V116" i="29"/>
  <c r="P192" i="29"/>
  <c r="P211" i="29"/>
  <c r="R27" i="29"/>
  <c r="Q206" i="29" l="1"/>
  <c r="Q187" i="29"/>
  <c r="R118" i="29"/>
  <c r="V117" i="29"/>
  <c r="P193" i="29"/>
  <c r="P212" i="29"/>
  <c r="R28" i="29"/>
  <c r="Q188" i="29" l="1"/>
  <c r="Q207" i="29"/>
  <c r="R119" i="29"/>
  <c r="V118" i="29"/>
  <c r="P194" i="29"/>
  <c r="P213" i="29"/>
  <c r="Q189" i="29" l="1"/>
  <c r="Q208" i="29"/>
  <c r="R120" i="29"/>
  <c r="V119" i="29"/>
  <c r="P195" i="29"/>
  <c r="P214" i="29"/>
  <c r="Q190" i="29" l="1"/>
  <c r="Q209" i="29"/>
  <c r="V120" i="29"/>
  <c r="R121" i="29"/>
  <c r="P196" i="29"/>
  <c r="P215" i="29"/>
  <c r="Q191" i="29" l="1"/>
  <c r="Q210" i="29"/>
  <c r="R122" i="29"/>
  <c r="V121" i="29"/>
  <c r="P197" i="29"/>
  <c r="P216" i="29"/>
  <c r="Q192" i="29" l="1"/>
  <c r="Q211" i="29"/>
  <c r="V122" i="29"/>
  <c r="R123" i="29"/>
  <c r="P198" i="29"/>
  <c r="P217" i="29"/>
  <c r="Q212" i="29" l="1"/>
  <c r="Q193" i="29"/>
  <c r="V123" i="29"/>
  <c r="R124" i="29"/>
  <c r="P199" i="29"/>
  <c r="P218" i="29"/>
  <c r="Q194" i="29" l="1"/>
  <c r="Q213" i="29"/>
  <c r="V124" i="29"/>
  <c r="R125" i="29"/>
  <c r="P200" i="29"/>
  <c r="P219" i="29"/>
  <c r="Q195" i="29" l="1"/>
  <c r="Q214" i="29"/>
  <c r="V125" i="29"/>
  <c r="R126" i="29"/>
  <c r="P201" i="29"/>
  <c r="P221" i="29" s="1"/>
  <c r="P220" i="29"/>
  <c r="Q196" i="29" l="1"/>
  <c r="Q215" i="29"/>
  <c r="V126" i="29"/>
  <c r="R127" i="29"/>
  <c r="Q197" i="29" l="1"/>
  <c r="Q216" i="29"/>
  <c r="V127" i="29"/>
  <c r="R128" i="29"/>
  <c r="Q198" i="29" l="1"/>
  <c r="Q217" i="29"/>
  <c r="V128" i="29"/>
  <c r="R129" i="29"/>
  <c r="Q199" i="29" l="1"/>
  <c r="Q218" i="29"/>
  <c r="V129" i="29"/>
  <c r="R130" i="29"/>
  <c r="Q200" i="29" l="1"/>
  <c r="Q219" i="29"/>
  <c r="V130" i="29"/>
  <c r="R131" i="29"/>
  <c r="Q201" i="29" l="1"/>
  <c r="Q221" i="29" s="1"/>
  <c r="Q220" i="29"/>
  <c r="R132" i="29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<sst xmlns="http://schemas.openxmlformats.org/spreadsheetml/2006/main" count="1921" uniqueCount="688">
  <si>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</si>
  <si>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</si>
  <si>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</si>
  <si>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</si>
  <si>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</si>
  <si>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</si>
  <si>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</si>
  <si>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</si>
  <si>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</si>
  <si>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</si>
  <si>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</si>
  <si>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</si>
  <si>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</si>
  <si>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</si>
  <si>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</si>
  <si>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</si>
  <si>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</si>
  <si>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</si>
  <si>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</si>
  <si>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</si>
  <si>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</si>
  <si>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</si>
  <si>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</si>
  <si>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</si>
  <si>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</si>
  <si>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</si>
  <si>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</si>
  <si>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</si>
  <si>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</si>
  <si>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</si>
  <si>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</si>
  <si>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</si>
  <si>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</si>
  <si>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</si>
  <si>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</si>
  <si>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</si>
  <si>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</si>
  <si>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</si>
  <si>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</si>
  <si>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</si>
  <si>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</si>
  <si>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</si>
  <si>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</si>
  <si>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</si>
  <si>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</si>
  <si>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</si>
  <si>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</si>
  <si>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</si>
  <si>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</si>
  <si>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</si>
  <si>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</si>
  <si>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</si>
  <si>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</si>
  <si>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</si>
  <si>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</si>
  <si>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</si>
  <si>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</si>
  <si>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</si>
  <si>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</si>
  <si>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</si>
  <si>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</si>
  <si>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</si>
  <si>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</si>
  <si>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</si>
  <si>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</si>
  <si>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</si>
  <si>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</si>
  <si>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</si>
  <si>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</si>
  <si>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</si>
  <si>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</si>
  <si>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</si>
  <si>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</si>
  <si>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</si>
  <si>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</si>
  <si>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</si>
  <si>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</si>
  <si>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</si>
  <si>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</si>
  <si>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</si>
  <si>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</si>
  <si>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</si>
  <si>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</si>
  <si>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</si>
  <si>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</si>
  <si>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</si>
  <si>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</si>
  <si>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</si>
  <si>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</si>
  <si>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</si>
  <si>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</si>
  <si>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</si>
  <si>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</si>
  <si>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</si>
  <si>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</si>
  <si>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</si>
  <si>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</si>
  <si>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</si>
  <si>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</si>
  <si>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</si>
  <si>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</si>
  <si>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</si>
  <si>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</si>
  <si>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</si>
  <si>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</si>
  <si>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</si>
  <si>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</si>
  <si>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</si>
  <si>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</si>
  <si>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</si>
  <si>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</si>
  <si>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</si>
  <si>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</si>
  <si>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</si>
  <si>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</si>
  <si>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</si>
  <si>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</si>
  <si>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</si>
  <si>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</si>
  <si>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</si>
  <si>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</si>
  <si>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</si>
  <si>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</si>
  <si>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</si>
  <si>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</si>
  <si>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</si>
  <si>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</si>
  <si>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</si>
  <si>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</si>
  <si>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</si>
  <si>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</si>
  <si>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</si>
  <si>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</si>
  <si>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</si>
  <si>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</si>
  <si>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</si>
  <si>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</si>
  <si>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</si>
  <si>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</si>
  <si>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</si>
  <si>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</si>
  <si>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</si>
  <si>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</si>
  <si>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</si>
  <si>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</si>
  <si>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</si>
  <si>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</si>
  <si>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</si>
  <si>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</si>
  <si>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</si>
  <si>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</si>
  <si>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</si>
  <si>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</si>
  <si>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</si>
  <si>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</si>
  <si>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</si>
  <si>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</si>
  <si>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</si>
  <si>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</si>
  <si>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</si>
  <si>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</si>
  <si>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</si>
  <si>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</si>
  <si>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</si>
  <si>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</si>
  <si>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</si>
  <si>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</si>
  <si>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</si>
  <si>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</si>
  <si>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</si>
  <si>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</si>
  <si>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</si>
  <si>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</si>
  <si>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</si>
  <si>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</si>
  <si>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</si>
  <si>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</si>
  <si>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</si>
  <si>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</si>
  <si>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</si>
  <si>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</si>
  <si>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</si>
  <si>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</si>
  <si>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</si>
  <si>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</si>
  <si>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</si>
  <si>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</si>
  <si>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</si>
  <si>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</si>
  <si>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</si>
  <si>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</si>
  <si>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</si>
  <si>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</si>
  <si>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</si>
  <si>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</si>
  <si>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</si>
  <si>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</si>
  <si>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</si>
  <si>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</si>
  <si>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</si>
  <si>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</si>
  <si>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</si>
  <si>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</si>
  <si>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</si>
  <si>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</si>
  <si>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</si>
  <si>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</si>
  <si>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</si>
  <si>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</si>
  <si>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</si>
  <si>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</si>
  <si>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</si>
  <si>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</si>
  <si>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</si>
  <si>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</si>
  <si>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</si>
  <si>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</si>
  <si>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</si>
  <si>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</si>
  <si>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</si>
  <si>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</si>
  <si>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</si>
  <si>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</si>
  <si>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</si>
  <si>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</si>
  <si>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</si>
  <si>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</si>
  <si>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</si>
  <si>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</si>
  <si>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</si>
  <si>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</si>
  <si>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</si>
  <si>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</si>
  <si>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</si>
  <si>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</si>
  <si>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</si>
  <si>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</si>
  <si>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</si>
  <si>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</si>
  <si>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</si>
  <si>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</si>
  <si>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</si>
  <si>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</si>
  <si>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</si>
  <si>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</si>
  <si>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</si>
  <si>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</si>
  <si>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</si>
  <si>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</si>
  <si>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</si>
  <si>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</si>
  <si>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</si>
  <si>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</si>
  <si>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</si>
  <si>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</si>
  <si>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</si>
  <si>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</si>
  <si>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</si>
  <si>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</si>
  <si>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</si>
  <si>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</si>
  <si>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</si>
  <si>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</si>
  <si>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</si>
  <si>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</si>
  <si>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</si>
  <si>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</si>
  <si>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</si>
  <si>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</si>
  <si>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</si>
  <si>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</si>
  <si>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</si>
  <si>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</si>
  <si>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</si>
  <si>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</si>
  <si>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</si>
  <si>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</si>
  <si>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</si>
  <si>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</si>
  <si>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</si>
  <si>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</si>
  <si>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</si>
  <si>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</si>
  <si>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</si>
  <si>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</si>
  <si>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</si>
  <si>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</si>
  <si>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</si>
  <si>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</si>
  <si>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</si>
  <si>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</si>
  <si>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</si>
  <si>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</si>
  <si>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</si>
  <si>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</si>
  <si>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</si>
  <si>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</si>
  <si>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</si>
  <si>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</si>
  <si>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</si>
  <si>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</si>
  <si>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</si>
  <si>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</si>
  <si>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</si>
  <si>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</si>
  <si>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</si>
  <si>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</si>
  <si>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</si>
  <si>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</si>
  <si>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</si>
  <si>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</si>
  <si>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</si>
  <si>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</si>
  <si>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</si>
  <si>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</si>
  <si>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</si>
  <si>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</si>
  <si>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</si>
  <si>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</si>
  <si>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</si>
  <si>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</si>
  <si>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</si>
  <si>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</si>
  <si>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</si>
  <si>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</si>
  <si>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</si>
  <si>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</si>
  <si>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</si>
  <si>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</si>
  <si>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</si>
  <si>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</si>
  <si>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</si>
  <si>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</si>
  <si>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</si>
  <si>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</si>
  <si>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</si>
  <si>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</si>
  <si>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</si>
  <si>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</si>
  <si>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</si>
  <si>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</si>
  <si>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</si>
  <si>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</si>
  <si>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</si>
  <si>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</si>
  <si>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</si>
  <si>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</si>
  <si>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</si>
  <si>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</si>
  <si>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</si>
  <si>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</si>
  <si>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</si>
  <si>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</si>
  <si>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</si>
  <si>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</si>
  <si>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</si>
  <si>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</si>
  <si>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</si>
  <si>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</si>
  <si>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</si>
  <si>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</si>
  <si>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</si>
  <si>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</si>
  <si>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</si>
  <si>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</si>
  <si>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</si>
  <si>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</si>
  <si>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</si>
  <si>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</si>
  <si>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</si>
  <si>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</si>
  <si>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</si>
  <si>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</si>
  <si>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</si>
  <si>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</si>
  <si>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</si>
  <si>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</si>
  <si>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</si>
  <si>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</si>
  <si>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</si>
  <si>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</si>
  <si>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</si>
  <si>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</si>
  <si>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</si>
  <si>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</si>
  <si>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</si>
  <si>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</si>
  <si>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</si>
  <si>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</si>
  <si>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</si>
  <si>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</si>
  <si>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</si>
  <si>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</si>
  <si>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</si>
  <si>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</si>
  <si>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</si>
  <si>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</si>
  <si>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</si>
  <si>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</si>
  <si>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</si>
  <si>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</si>
  <si>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</si>
  <si>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</si>
  <si>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</si>
  <si>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</si>
  <si>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</si>
  <si>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</si>
  <si>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</si>
  <si>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</si>
  <si>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</si>
  <si>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</si>
  <si>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</si>
  <si>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</si>
  <si>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</si>
  <si>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</si>
  <si>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</si>
  <si>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</si>
  <si>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</si>
  <si>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FireTempleKeeperElemental.mdx</t>
  </si>
  <si>
    <t>gw32.mdx</t>
  </si>
  <si>
    <t>Mr.War3_KLW1.mdx</t>
  </si>
  <si>
    <t>二郎</t>
  </si>
  <si>
    <t>判官</t>
  </si>
  <si>
    <t>rongyanxieziqing.mdx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</si>
  <si>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</si>
  <si>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</si>
  <si>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</si>
  <si>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</si>
  <si>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</si>
  <si>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</si>
  <si>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</si>
  <si>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</si>
  <si>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</si>
  <si>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</si>
  <si>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</si>
  <si>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</si>
  <si>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</si>
  <si>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</si>
  <si>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</si>
  <si>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</si>
  <si>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</si>
  <si>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</si>
  <si>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</si>
  <si>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</si>
  <si>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</si>
  <si>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</si>
  <si>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</si>
  <si>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</si>
  <si>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</si>
  <si>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</si>
  <si>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</si>
  <si>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</si>
  <si>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</si>
  <si>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</si>
  <si>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</si>
  <si>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</si>
  <si>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</si>
  <si>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</si>
  <si>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</si>
  <si>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</si>
  <si>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</si>
  <si>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</si>
  <si>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</si>
  <si>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</si>
  <si>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</si>
  <si>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</si>
  <si>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</si>
  <si>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</si>
  <si>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</si>
  <si>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</si>
  <si>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</si>
  <si>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</si>
  <si>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</si>
  <si>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</si>
  <si>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</si>
  <si>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</si>
  <si>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</si>
  <si>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</si>
  <si>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</si>
  <si>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</si>
  <si>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</si>
  <si>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</si>
  <si>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</si>
  <si>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</si>
  <si>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</si>
  <si>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</si>
  <si>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</si>
  <si>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</si>
  <si>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</si>
  <si>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</si>
  <si>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</si>
  <si>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</si>
  <si>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</si>
  <si>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</si>
  <si>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</si>
  <si>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</si>
  <si>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</si>
  <si>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</si>
  <si>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</si>
  <si>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</si>
  <si>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</si>
  <si>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</si>
  <si>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</si>
  <si>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</si>
  <si>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</si>
  <si>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</si>
  <si>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</si>
  <si>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</si>
  <si>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</si>
  <si>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</si>
  <si>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</si>
  <si>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</si>
  <si>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</si>
  <si>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</si>
  <si>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</si>
  <si>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</si>
  <si>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</si>
  <si>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</si>
  <si>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</si>
  <si>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</si>
  <si>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</si>
  <si>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</si>
  <si>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</si>
  <si>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</si>
  <si>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</si>
  <si>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</si>
  <si>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</si>
  <si>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</si>
  <si>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</si>
  <si>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</si>
  <si>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</si>
  <si>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</si>
  <si>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</si>
  <si>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</si>
  <si>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</si>
  <si>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</si>
  <si>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</si>
  <si>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</si>
  <si>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</si>
  <si>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</si>
  <si>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</si>
  <si>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</si>
  <si>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</si>
  <si>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</si>
  <si>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</si>
  <si>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</si>
  <si>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</si>
  <si>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</si>
  <si>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</si>
  <si>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</si>
  <si>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</si>
  <si>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</si>
  <si>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</si>
  <si>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</si>
  <si>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</si>
  <si>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</si>
  <si>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</si>
  <si>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crystaldragon.mdx</t>
  </si>
  <si>
    <t>DracoLich_High.mdx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</si>
  <si>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</si>
  <si>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</si>
  <si>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</si>
  <si>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</si>
  <si>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</si>
  <si>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</si>
  <si>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</si>
  <si>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</si>
  <si>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</si>
  <si>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</si>
  <si>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</si>
  <si>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</si>
  <si>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</si>
  <si>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</si>
  <si>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</si>
  <si>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</si>
  <si>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</si>
  <si>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</si>
  <si>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</si>
  <si>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</si>
  <si>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</si>
  <si>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</si>
  <si>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</si>
  <si>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</si>
  <si>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</si>
  <si>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</si>
  <si>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</si>
  <si>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</si>
  <si>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</si>
  <si>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</si>
  <si>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</si>
  <si>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</si>
  <si>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</si>
  <si>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</si>
  <si>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</si>
  <si>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</si>
  <si>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</si>
  <si>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</si>
  <si>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</si>
  <si>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</si>
  <si>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</si>
  <si>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</si>
  <si>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</si>
  <si>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</si>
  <si>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</si>
  <si>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</si>
  <si>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</si>
  <si>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</si>
  <si>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</si>
  <si>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</si>
  <si>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</si>
  <si>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</si>
  <si>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</si>
  <si>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</si>
  <si>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</si>
  <si>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</si>
  <si>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</si>
  <si>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</si>
  <si>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</si>
  <si>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</si>
  <si>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</si>
  <si>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</si>
  <si>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</si>
  <si>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</si>
  <si>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</si>
  <si>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</si>
  <si>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</si>
  <si>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</si>
  <si>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</si>
  <si>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</si>
  <si>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</si>
  <si>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</si>
  <si>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</si>
  <si>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</si>
  <si>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</si>
  <si>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</si>
  <si>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</si>
  <si>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</si>
  <si>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</si>
  <si>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</si>
  <si>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</si>
  <si>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</si>
  <si>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</si>
  <si>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</si>
  <si>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</si>
  <si>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</si>
  <si>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</si>
  <si>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</si>
  <si>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</si>
  <si>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</si>
  <si>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</si>
  <si>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</si>
  <si>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</si>
  <si>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</si>
  <si>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</si>
  <si>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</si>
  <si>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</si>
  <si>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</si>
  <si>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</si>
  <si>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</si>
  <si>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</si>
  <si>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</si>
  <si>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</si>
  <si>
    <t>u222</t>
  </si>
  <si>
    <t>u223</t>
  </si>
  <si>
    <t>u224</t>
  </si>
  <si>
    <t>u225</t>
  </si>
  <si>
    <t>u226</t>
  </si>
  <si>
    <t>熔炼石侍卫1</t>
    <phoneticPr fontId="10" type="noConversion"/>
  </si>
  <si>
    <t>熔炼石侍卫2</t>
    <phoneticPr fontId="10" type="noConversion"/>
  </si>
  <si>
    <t>熔炼石侍卫3</t>
    <phoneticPr fontId="10" type="noConversion"/>
  </si>
  <si>
    <t>熔炼石侍卫4</t>
    <phoneticPr fontId="10" type="noConversion"/>
  </si>
  <si>
    <t>五号熔炼石BOSS</t>
    <phoneticPr fontId="10" type="noConversion"/>
  </si>
  <si>
    <t>Hero_Tusk_N2.mdx</t>
    <phoneticPr fontId="10" type="noConversion"/>
  </si>
  <si>
    <t>u227</t>
  </si>
  <si>
    <t>huolinger.mdx</t>
    <phoneticPr fontId="10" type="noConversion"/>
  </si>
  <si>
    <t>风骚</t>
    <phoneticPr fontId="10" type="noConversion"/>
  </si>
  <si>
    <t>u228</t>
  </si>
  <si>
    <t>爱我你就爆了我6</t>
    <phoneticPr fontId="10" type="noConversion"/>
  </si>
  <si>
    <t>celsiusattacksspecial2.mdx</t>
    <phoneticPr fontId="10" type="noConversion"/>
  </si>
  <si>
    <t>888666 (7).mdx</t>
    <phoneticPr fontId="10" type="noConversion"/>
  </si>
  <si>
    <t>Beth`tilac.mdx</t>
    <phoneticPr fontId="10" type="noConversion"/>
  </si>
  <si>
    <t>FireElemental.mdx</t>
    <phoneticPr fontId="10" type="noConversion"/>
  </si>
  <si>
    <t>CrystalDryad.mdx</t>
    <phoneticPr fontId="10" type="noConversion"/>
  </si>
  <si>
    <t>VioletNetherDrake.mdx</t>
    <phoneticPr fontId="10" type="noConversion"/>
  </si>
  <si>
    <t>rongyanxiezihuang.mdx</t>
    <phoneticPr fontId="10" type="noConversion"/>
  </si>
  <si>
    <t>PaladinJudgement.mdx</t>
    <phoneticPr fontId="10" type="noConversion"/>
  </si>
  <si>
    <t>Udre</t>
    <phoneticPr fontId="10" type="noConversion"/>
  </si>
  <si>
    <t>nvlw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</si>
</sst>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31"/>
  <sheetViews>
    <sheetView tabSelected="1" workbookViewId="0">
      <pane xSplit="1" ySplit="3" topLeftCell="B82" activePane="bottomRight" state="frozen"/>
      <selection pane="topRight"/>
      <selection pane="bottomLeft"/>
      <selection pane="bottomRight" activeCell="G105" sqref="G105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678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651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355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342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651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651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651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651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651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357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357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357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357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357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340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341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339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326</v>
      </c>
      <c r="B89" s="13" t="s">
        <v>283</v>
      </c>
      <c r="C89" s="35" t="s">
        <v>29</v>
      </c>
      <c r="D89" s="43" t="s">
        <v>680</v>
      </c>
      <c r="F89" s="3"/>
      <c r="G89" s="43">
        <v>1.05</v>
      </c>
      <c r="I89" s="6">
        <v>60</v>
      </c>
    </row>
    <row r="90" spans="1:9" ht="15" x14ac:dyDescent="0.15">
      <c r="A90" s="44" t="s">
        <v>327</v>
      </c>
      <c r="B90" s="13" t="s">
        <v>284</v>
      </c>
      <c r="C90" s="35" t="s">
        <v>29</v>
      </c>
      <c r="D90" s="6" t="s">
        <v>322</v>
      </c>
      <c r="F90" s="3"/>
      <c r="G90" s="43">
        <v>2.1</v>
      </c>
      <c r="I90" s="6">
        <v>60</v>
      </c>
    </row>
    <row r="91" spans="1:9" ht="15" x14ac:dyDescent="0.15">
      <c r="A91" s="42" t="s">
        <v>324</v>
      </c>
      <c r="B91" s="13" t="s">
        <v>285</v>
      </c>
      <c r="C91" s="35" t="s">
        <v>29</v>
      </c>
      <c r="D91" s="43" t="s">
        <v>323</v>
      </c>
      <c r="F91" s="3"/>
      <c r="G91" s="43">
        <v>2.5</v>
      </c>
      <c r="I91" s="6">
        <v>60</v>
      </c>
    </row>
    <row r="92" spans="1:9" ht="15" x14ac:dyDescent="0.15">
      <c r="A92" s="42" t="s">
        <v>328</v>
      </c>
      <c r="B92" s="13" t="s">
        <v>333</v>
      </c>
      <c r="C92" s="35" t="s">
        <v>29</v>
      </c>
      <c r="D92" s="6" t="s">
        <v>325</v>
      </c>
      <c r="F92" s="3"/>
      <c r="G92" s="6">
        <v>1.5</v>
      </c>
      <c r="I92" s="6">
        <v>60</v>
      </c>
    </row>
    <row r="93" spans="1:9" ht="15" x14ac:dyDescent="0.15">
      <c r="A93" s="46" t="s">
        <v>329</v>
      </c>
      <c r="B93" s="13" t="s">
        <v>334</v>
      </c>
      <c r="C93" s="35" t="s">
        <v>29</v>
      </c>
      <c r="D93" s="3" t="s">
        <v>337</v>
      </c>
      <c r="G93" s="43">
        <v>0.7</v>
      </c>
      <c r="I93" s="6">
        <v>60</v>
      </c>
    </row>
    <row r="94" spans="1:9" ht="15" x14ac:dyDescent="0.15">
      <c r="A94" s="46" t="s">
        <v>330</v>
      </c>
      <c r="B94" s="13" t="s">
        <v>335</v>
      </c>
      <c r="C94" s="35" t="s">
        <v>29</v>
      </c>
      <c r="D94" s="3" t="s">
        <v>336</v>
      </c>
      <c r="G94" s="43">
        <v>0.8</v>
      </c>
      <c r="I94" s="6">
        <v>60</v>
      </c>
    </row>
    <row r="95" spans="1:9" ht="15" x14ac:dyDescent="0.15">
      <c r="A95" s="46" t="s">
        <v>331</v>
      </c>
      <c r="B95" s="13" t="s">
        <v>338</v>
      </c>
      <c r="C95" s="35" t="s">
        <v>29</v>
      </c>
      <c r="D95" s="3" t="s">
        <v>336</v>
      </c>
      <c r="G95" s="43">
        <v>0.9</v>
      </c>
      <c r="I95" s="6">
        <v>60</v>
      </c>
    </row>
    <row r="96" spans="1:9" ht="15" x14ac:dyDescent="0.15">
      <c r="A96" s="46" t="s">
        <v>332</v>
      </c>
      <c r="B96" s="13" t="s">
        <v>344</v>
      </c>
      <c r="C96" s="35" t="s">
        <v>29</v>
      </c>
      <c r="D96" s="3" t="s">
        <v>336</v>
      </c>
      <c r="G96">
        <v>1</v>
      </c>
      <c r="I96" s="6">
        <v>60</v>
      </c>
    </row>
    <row r="97" spans="1:9" ht="15" x14ac:dyDescent="0.15">
      <c r="A97" s="46" t="s">
        <v>345</v>
      </c>
      <c r="B97" s="13" t="s">
        <v>346</v>
      </c>
      <c r="C97" s="35" t="s">
        <v>347</v>
      </c>
      <c r="D97" s="3" t="s">
        <v>356</v>
      </c>
      <c r="G97">
        <v>2</v>
      </c>
      <c r="I97" s="6">
        <v>60</v>
      </c>
    </row>
    <row r="98" spans="1:9" ht="15" x14ac:dyDescent="0.15">
      <c r="A98" s="28" t="s">
        <v>359</v>
      </c>
      <c r="B98" s="13" t="s">
        <v>361</v>
      </c>
      <c r="C98" s="35" t="s">
        <v>29</v>
      </c>
      <c r="D98" s="3" t="s">
        <v>363</v>
      </c>
      <c r="G98" s="9">
        <v>1</v>
      </c>
      <c r="I98" s="9">
        <v>10</v>
      </c>
    </row>
    <row r="99" spans="1:9" ht="15" x14ac:dyDescent="0.15">
      <c r="A99" s="28" t="s">
        <v>360</v>
      </c>
      <c r="B99" s="13" t="s">
        <v>362</v>
      </c>
      <c r="C99" s="35" t="s">
        <v>29</v>
      </c>
      <c r="D99" s="3" t="s">
        <v>364</v>
      </c>
      <c r="G99">
        <v>1.5</v>
      </c>
      <c r="I99" s="6">
        <v>60</v>
      </c>
    </row>
    <row r="100" spans="1:9" ht="15" x14ac:dyDescent="0.15">
      <c r="A100" s="28" t="s">
        <v>365</v>
      </c>
      <c r="B100" s="13" t="s">
        <v>367</v>
      </c>
      <c r="C100" s="35" t="s">
        <v>29</v>
      </c>
      <c r="D100" s="3" t="s">
        <v>374</v>
      </c>
      <c r="G100" s="9">
        <v>1.75</v>
      </c>
      <c r="I100" s="9">
        <v>10</v>
      </c>
    </row>
    <row r="101" spans="1:9" ht="15" x14ac:dyDescent="0.15">
      <c r="A101" s="28" t="s">
        <v>366</v>
      </c>
      <c r="B101" s="13" t="s">
        <v>368</v>
      </c>
      <c r="C101" s="35" t="s">
        <v>29</v>
      </c>
      <c r="D101" s="3" t="s">
        <v>375</v>
      </c>
      <c r="G101">
        <v>2.5499999999999998</v>
      </c>
      <c r="I101" s="6">
        <v>60</v>
      </c>
    </row>
    <row r="102" spans="1:9" ht="15" x14ac:dyDescent="0.15">
      <c r="A102" s="11" t="s">
        <v>369</v>
      </c>
      <c r="B102" s="13" t="s">
        <v>370</v>
      </c>
      <c r="C102" s="35" t="s">
        <v>29</v>
      </c>
      <c r="D102" s="3" t="s">
        <v>372</v>
      </c>
      <c r="G102" s="9">
        <v>2.25</v>
      </c>
      <c r="I102" s="9">
        <v>10</v>
      </c>
    </row>
    <row r="103" spans="1:9" ht="15" x14ac:dyDescent="0.15">
      <c r="A103" s="11" t="s">
        <v>394</v>
      </c>
      <c r="B103" s="13" t="s">
        <v>371</v>
      </c>
      <c r="C103" s="35" t="s">
        <v>29</v>
      </c>
      <c r="D103" s="3" t="s">
        <v>373</v>
      </c>
      <c r="G103">
        <v>1.5</v>
      </c>
      <c r="I103" s="6">
        <v>60</v>
      </c>
    </row>
    <row r="104" spans="1:9" ht="15" x14ac:dyDescent="0.15">
      <c r="A104" s="28" t="s">
        <v>376</v>
      </c>
      <c r="B104" s="13" t="s">
        <v>378</v>
      </c>
      <c r="C104" s="35" t="s">
        <v>687</v>
      </c>
      <c r="G104" s="9">
        <v>1.4</v>
      </c>
      <c r="I104" s="9">
        <v>10</v>
      </c>
    </row>
    <row r="105" spans="1:9" ht="15" x14ac:dyDescent="0.15">
      <c r="A105" s="28" t="s">
        <v>377</v>
      </c>
      <c r="B105" s="13" t="s">
        <v>379</v>
      </c>
      <c r="C105" s="35" t="s">
        <v>29</v>
      </c>
      <c r="D105" s="3" t="s">
        <v>380</v>
      </c>
      <c r="G105">
        <v>1.5</v>
      </c>
      <c r="I105" s="6">
        <v>60</v>
      </c>
    </row>
    <row r="106" spans="1:9" ht="15" x14ac:dyDescent="0.15">
      <c r="A106" s="28" t="s">
        <v>381</v>
      </c>
      <c r="B106" s="13" t="s">
        <v>383</v>
      </c>
      <c r="C106" s="35" t="s">
        <v>29</v>
      </c>
      <c r="D106" s="3" t="s">
        <v>385</v>
      </c>
      <c r="G106" s="9">
        <v>1</v>
      </c>
      <c r="I106" s="9">
        <v>10</v>
      </c>
    </row>
    <row r="107" spans="1:9" ht="15" x14ac:dyDescent="0.15">
      <c r="A107" s="28" t="s">
        <v>382</v>
      </c>
      <c r="B107" s="13" t="s">
        <v>384</v>
      </c>
      <c r="C107" s="35" t="s">
        <v>29</v>
      </c>
      <c r="D107" s="3" t="s">
        <v>386</v>
      </c>
      <c r="G107">
        <v>1.5</v>
      </c>
      <c r="I107" s="6">
        <v>60</v>
      </c>
    </row>
    <row r="108" spans="1:9" ht="15" x14ac:dyDescent="0.15">
      <c r="A108" s="28" t="s">
        <v>387</v>
      </c>
      <c r="B108" s="13" t="s">
        <v>389</v>
      </c>
      <c r="C108" s="35" t="s">
        <v>29</v>
      </c>
      <c r="D108" s="3" t="s">
        <v>391</v>
      </c>
      <c r="G108" s="9">
        <v>1</v>
      </c>
      <c r="I108" s="9">
        <v>10</v>
      </c>
    </row>
    <row r="109" spans="1:9" ht="15" x14ac:dyDescent="0.15">
      <c r="A109" s="28" t="s">
        <v>388</v>
      </c>
      <c r="B109" s="13" t="s">
        <v>390</v>
      </c>
      <c r="C109" s="35" t="s">
        <v>29</v>
      </c>
      <c r="D109" s="3" t="s">
        <v>393</v>
      </c>
      <c r="G109">
        <v>1.8</v>
      </c>
      <c r="I109" s="6">
        <v>60</v>
      </c>
    </row>
    <row r="110" spans="1:9" ht="15" x14ac:dyDescent="0.15">
      <c r="A110" s="54" t="s">
        <v>395</v>
      </c>
      <c r="B110" s="13" t="s">
        <v>405</v>
      </c>
      <c r="C110" s="35" t="s">
        <v>29</v>
      </c>
      <c r="D110" s="54" t="s">
        <v>415</v>
      </c>
      <c r="G110">
        <v>1.8</v>
      </c>
      <c r="I110" s="6">
        <v>60</v>
      </c>
    </row>
    <row r="111" spans="1:9" ht="15" x14ac:dyDescent="0.15">
      <c r="A111" s="54" t="s">
        <v>396</v>
      </c>
      <c r="B111" s="13" t="s">
        <v>406</v>
      </c>
      <c r="C111" s="35" t="s">
        <v>29</v>
      </c>
      <c r="D111" s="54" t="s">
        <v>567</v>
      </c>
      <c r="G111">
        <v>1.8</v>
      </c>
      <c r="I111" s="6">
        <v>60</v>
      </c>
    </row>
    <row r="112" spans="1:9" ht="15" x14ac:dyDescent="0.15">
      <c r="A112" s="54" t="s">
        <v>397</v>
      </c>
      <c r="B112" s="13" t="s">
        <v>407</v>
      </c>
      <c r="C112" s="35" t="s">
        <v>29</v>
      </c>
      <c r="D112" s="54" t="s">
        <v>416</v>
      </c>
      <c r="G112">
        <v>1.1000000000000001</v>
      </c>
      <c r="I112" s="6">
        <v>60</v>
      </c>
    </row>
    <row r="113" spans="1:9" ht="15" x14ac:dyDescent="0.15">
      <c r="A113" s="54" t="s">
        <v>398</v>
      </c>
      <c r="B113" s="13" t="s">
        <v>408</v>
      </c>
      <c r="C113" s="35" t="s">
        <v>29</v>
      </c>
      <c r="D113" s="54" t="s">
        <v>417</v>
      </c>
      <c r="G113">
        <v>2.5</v>
      </c>
      <c r="I113" s="6">
        <v>60</v>
      </c>
    </row>
    <row r="114" spans="1:9" ht="15" x14ac:dyDescent="0.15">
      <c r="A114" s="54" t="s">
        <v>399</v>
      </c>
      <c r="B114" s="13" t="s">
        <v>409</v>
      </c>
      <c r="C114" s="35" t="s">
        <v>686</v>
      </c>
      <c r="D114" s="54"/>
      <c r="G114">
        <v>2.2000000000000002</v>
      </c>
      <c r="I114" s="6">
        <v>60</v>
      </c>
    </row>
    <row r="115" spans="1:9" ht="15" x14ac:dyDescent="0.15">
      <c r="A115" s="54" t="s">
        <v>400</v>
      </c>
      <c r="B115" s="13" t="s">
        <v>410</v>
      </c>
      <c r="C115" s="35" t="s">
        <v>29</v>
      </c>
      <c r="D115" s="54" t="s">
        <v>679</v>
      </c>
      <c r="G115">
        <v>1.9</v>
      </c>
      <c r="I115" s="6">
        <v>60</v>
      </c>
    </row>
    <row r="116" spans="1:9" ht="15" x14ac:dyDescent="0.15">
      <c r="A116" s="54" t="s">
        <v>401</v>
      </c>
      <c r="B116" s="13" t="s">
        <v>411</v>
      </c>
      <c r="C116" s="35" t="s">
        <v>29</v>
      </c>
      <c r="D116" s="54" t="s">
        <v>678</v>
      </c>
      <c r="G116">
        <v>2</v>
      </c>
      <c r="I116" s="6">
        <v>60</v>
      </c>
    </row>
    <row r="117" spans="1:9" ht="15" x14ac:dyDescent="0.15">
      <c r="A117" s="54" t="s">
        <v>402</v>
      </c>
      <c r="B117" s="13" t="s">
        <v>412</v>
      </c>
      <c r="C117" s="35" t="s">
        <v>29</v>
      </c>
      <c r="D117" s="54" t="s">
        <v>418</v>
      </c>
      <c r="G117">
        <v>1.5</v>
      </c>
      <c r="I117" s="6">
        <v>60</v>
      </c>
    </row>
    <row r="118" spans="1:9" ht="15" x14ac:dyDescent="0.15">
      <c r="A118" s="54" t="s">
        <v>403</v>
      </c>
      <c r="B118" s="13" t="s">
        <v>413</v>
      </c>
      <c r="C118" s="35" t="s">
        <v>29</v>
      </c>
      <c r="D118" s="54" t="s">
        <v>419</v>
      </c>
      <c r="G118">
        <v>1.5</v>
      </c>
      <c r="I118" s="6">
        <v>60</v>
      </c>
    </row>
    <row r="119" spans="1:9" ht="15" x14ac:dyDescent="0.15">
      <c r="A119" s="54" t="s">
        <v>404</v>
      </c>
      <c r="B119" s="13" t="s">
        <v>414</v>
      </c>
      <c r="C119" s="35" t="s">
        <v>29</v>
      </c>
      <c r="D119" s="54" t="s">
        <v>420</v>
      </c>
      <c r="G119">
        <v>2.2000000000000002</v>
      </c>
      <c r="I119" s="6">
        <v>60</v>
      </c>
    </row>
    <row r="120" spans="1:9" ht="15" x14ac:dyDescent="0.15">
      <c r="A120" s="54" t="s">
        <v>446</v>
      </c>
      <c r="B120" s="13" t="s">
        <v>427</v>
      </c>
      <c r="C120" s="35" t="s">
        <v>29</v>
      </c>
      <c r="D120" s="54" t="s">
        <v>437</v>
      </c>
      <c r="G120">
        <v>1.3</v>
      </c>
      <c r="I120" s="6">
        <v>60</v>
      </c>
    </row>
    <row r="121" spans="1:9" ht="15" x14ac:dyDescent="0.15">
      <c r="A121" s="54" t="s">
        <v>447</v>
      </c>
      <c r="B121" s="13" t="s">
        <v>428</v>
      </c>
      <c r="C121" s="35" t="s">
        <v>29</v>
      </c>
      <c r="D121" s="54" t="s">
        <v>437</v>
      </c>
      <c r="G121">
        <v>1.35</v>
      </c>
      <c r="I121" s="6">
        <v>60</v>
      </c>
    </row>
    <row r="122" spans="1:9" ht="15" x14ac:dyDescent="0.15">
      <c r="A122" s="54" t="s">
        <v>448</v>
      </c>
      <c r="B122" s="13" t="s">
        <v>429</v>
      </c>
      <c r="C122" s="35" t="s">
        <v>29</v>
      </c>
      <c r="D122" s="54" t="s">
        <v>437</v>
      </c>
      <c r="G122">
        <v>1.4</v>
      </c>
      <c r="I122" s="6">
        <v>60</v>
      </c>
    </row>
    <row r="123" spans="1:9" ht="15" x14ac:dyDescent="0.15">
      <c r="A123" s="54" t="s">
        <v>449</v>
      </c>
      <c r="B123" s="13" t="s">
        <v>430</v>
      </c>
      <c r="C123" s="35" t="s">
        <v>29</v>
      </c>
      <c r="D123" s="54" t="s">
        <v>437</v>
      </c>
      <c r="G123">
        <v>1.45</v>
      </c>
      <c r="I123" s="6">
        <v>60</v>
      </c>
    </row>
    <row r="124" spans="1:9" ht="15" x14ac:dyDescent="0.15">
      <c r="A124" s="54" t="s">
        <v>421</v>
      </c>
      <c r="B124" s="13" t="s">
        <v>431</v>
      </c>
      <c r="C124" s="35" t="s">
        <v>29</v>
      </c>
      <c r="D124" s="54" t="s">
        <v>423</v>
      </c>
      <c r="G124">
        <v>1.5</v>
      </c>
      <c r="I124" s="6">
        <v>60</v>
      </c>
    </row>
    <row r="125" spans="1:9" ht="15" x14ac:dyDescent="0.15">
      <c r="A125" s="54" t="s">
        <v>451</v>
      </c>
      <c r="B125" s="13" t="s">
        <v>432</v>
      </c>
      <c r="C125" s="35" t="s">
        <v>29</v>
      </c>
      <c r="D125" s="54" t="s">
        <v>438</v>
      </c>
      <c r="G125">
        <v>1.3</v>
      </c>
      <c r="I125" s="6">
        <v>60</v>
      </c>
    </row>
    <row r="126" spans="1:9" ht="15" x14ac:dyDescent="0.15">
      <c r="A126" s="54" t="s">
        <v>452</v>
      </c>
      <c r="B126" s="13" t="s">
        <v>433</v>
      </c>
      <c r="C126" s="35" t="s">
        <v>29</v>
      </c>
      <c r="D126" s="54" t="s">
        <v>438</v>
      </c>
      <c r="G126">
        <v>1.35</v>
      </c>
      <c r="I126" s="6">
        <v>60</v>
      </c>
    </row>
    <row r="127" spans="1:9" ht="15" x14ac:dyDescent="0.15">
      <c r="A127" s="54" t="s">
        <v>453</v>
      </c>
      <c r="B127" s="13" t="s">
        <v>434</v>
      </c>
      <c r="C127" s="35" t="s">
        <v>29</v>
      </c>
      <c r="D127" s="54" t="s">
        <v>438</v>
      </c>
      <c r="G127">
        <v>1.4</v>
      </c>
      <c r="I127" s="6">
        <v>60</v>
      </c>
    </row>
    <row r="128" spans="1:9" ht="15" x14ac:dyDescent="0.15">
      <c r="A128" s="54" t="s">
        <v>454</v>
      </c>
      <c r="B128" s="13" t="s">
        <v>435</v>
      </c>
      <c r="C128" s="35" t="s">
        <v>29</v>
      </c>
      <c r="D128" s="54" t="s">
        <v>438</v>
      </c>
      <c r="G128">
        <v>1.45</v>
      </c>
      <c r="I128" s="6">
        <v>60</v>
      </c>
    </row>
    <row r="129" spans="1:9" ht="15" x14ac:dyDescent="0.15">
      <c r="A129" s="54" t="s">
        <v>450</v>
      </c>
      <c r="B129" s="13" t="s">
        <v>436</v>
      </c>
      <c r="C129" s="35" t="s">
        <v>29</v>
      </c>
      <c r="D129" s="54" t="s">
        <v>684</v>
      </c>
      <c r="G129">
        <v>1.5</v>
      </c>
      <c r="I129" s="6">
        <v>60</v>
      </c>
    </row>
    <row r="130" spans="1:9" ht="15" x14ac:dyDescent="0.15">
      <c r="A130" s="54" t="s">
        <v>455</v>
      </c>
      <c r="B130" s="13" t="s">
        <v>494</v>
      </c>
      <c r="C130" s="35" t="s">
        <v>29</v>
      </c>
      <c r="D130" s="54" t="s">
        <v>439</v>
      </c>
      <c r="G130">
        <v>1.5</v>
      </c>
      <c r="I130" s="6">
        <v>60</v>
      </c>
    </row>
    <row r="131" spans="1:9" ht="15" x14ac:dyDescent="0.15">
      <c r="A131" s="54" t="s">
        <v>456</v>
      </c>
      <c r="B131" s="13" t="s">
        <v>495</v>
      </c>
      <c r="C131" s="35" t="s">
        <v>29</v>
      </c>
      <c r="D131" s="54" t="s">
        <v>439</v>
      </c>
      <c r="G131">
        <v>1.55</v>
      </c>
      <c r="I131" s="6">
        <v>60</v>
      </c>
    </row>
    <row r="132" spans="1:9" ht="15" x14ac:dyDescent="0.15">
      <c r="A132" s="54" t="s">
        <v>457</v>
      </c>
      <c r="B132" s="13" t="s">
        <v>496</v>
      </c>
      <c r="C132" s="35" t="s">
        <v>29</v>
      </c>
      <c r="D132" s="54" t="s">
        <v>439</v>
      </c>
      <c r="G132">
        <v>1.6</v>
      </c>
      <c r="I132" s="6">
        <v>60</v>
      </c>
    </row>
    <row r="133" spans="1:9" ht="15" x14ac:dyDescent="0.15">
      <c r="A133" s="54" t="s">
        <v>458</v>
      </c>
      <c r="B133" s="13" t="s">
        <v>497</v>
      </c>
      <c r="C133" s="35" t="s">
        <v>29</v>
      </c>
      <c r="D133" s="54" t="s">
        <v>439</v>
      </c>
      <c r="G133">
        <v>1.65</v>
      </c>
      <c r="I133" s="6">
        <v>60</v>
      </c>
    </row>
    <row r="134" spans="1:9" ht="15" x14ac:dyDescent="0.15">
      <c r="A134" s="54" t="s">
        <v>422</v>
      </c>
      <c r="B134" s="13" t="s">
        <v>498</v>
      </c>
      <c r="C134" s="35" t="s">
        <v>29</v>
      </c>
      <c r="D134" s="54" t="s">
        <v>685</v>
      </c>
      <c r="G134">
        <v>1.9</v>
      </c>
      <c r="I134" s="6">
        <v>60</v>
      </c>
    </row>
    <row r="135" spans="1:9" ht="15" x14ac:dyDescent="0.15">
      <c r="A135" s="54" t="s">
        <v>460</v>
      </c>
      <c r="B135" s="13" t="s">
        <v>499</v>
      </c>
      <c r="C135" s="35" t="s">
        <v>29</v>
      </c>
      <c r="D135" s="54" t="s">
        <v>440</v>
      </c>
      <c r="G135">
        <v>1.7</v>
      </c>
      <c r="I135" s="6">
        <v>60</v>
      </c>
    </row>
    <row r="136" spans="1:9" ht="15" x14ac:dyDescent="0.15">
      <c r="A136" s="54" t="s">
        <v>461</v>
      </c>
      <c r="B136" s="13" t="s">
        <v>500</v>
      </c>
      <c r="C136" s="35" t="s">
        <v>29</v>
      </c>
      <c r="D136" s="54" t="s">
        <v>440</v>
      </c>
      <c r="G136">
        <v>1.75</v>
      </c>
      <c r="I136" s="6">
        <v>60</v>
      </c>
    </row>
    <row r="137" spans="1:9" ht="15" x14ac:dyDescent="0.15">
      <c r="A137" s="54" t="s">
        <v>462</v>
      </c>
      <c r="B137" s="13" t="s">
        <v>501</v>
      </c>
      <c r="C137" s="35" t="s">
        <v>29</v>
      </c>
      <c r="D137" s="54" t="s">
        <v>440</v>
      </c>
      <c r="G137">
        <v>1.8</v>
      </c>
      <c r="I137" s="6">
        <v>60</v>
      </c>
    </row>
    <row r="138" spans="1:9" ht="15" x14ac:dyDescent="0.15">
      <c r="A138" s="54" t="s">
        <v>463</v>
      </c>
      <c r="B138" s="13" t="s">
        <v>502</v>
      </c>
      <c r="C138" s="35" t="s">
        <v>29</v>
      </c>
      <c r="D138" s="54" t="s">
        <v>440</v>
      </c>
      <c r="G138">
        <v>1.85</v>
      </c>
      <c r="I138" s="6">
        <v>60</v>
      </c>
    </row>
    <row r="139" spans="1:9" ht="15" x14ac:dyDescent="0.15">
      <c r="A139" s="54" t="s">
        <v>459</v>
      </c>
      <c r="B139" s="13" t="s">
        <v>503</v>
      </c>
      <c r="C139" s="35" t="s">
        <v>29</v>
      </c>
      <c r="D139" s="54" t="s">
        <v>392</v>
      </c>
      <c r="G139">
        <v>1.5</v>
      </c>
      <c r="I139" s="6">
        <v>60</v>
      </c>
    </row>
    <row r="140" spans="1:9" ht="15" x14ac:dyDescent="0.15">
      <c r="A140" s="54" t="s">
        <v>465</v>
      </c>
      <c r="B140" s="13" t="s">
        <v>504</v>
      </c>
      <c r="C140" s="35" t="s">
        <v>29</v>
      </c>
      <c r="D140" s="54" t="s">
        <v>440</v>
      </c>
      <c r="G140">
        <v>1.7</v>
      </c>
      <c r="I140" s="6">
        <v>60</v>
      </c>
    </row>
    <row r="141" spans="1:9" ht="15" x14ac:dyDescent="0.15">
      <c r="A141" s="54" t="s">
        <v>466</v>
      </c>
      <c r="B141" s="13" t="s">
        <v>505</v>
      </c>
      <c r="C141" s="35" t="s">
        <v>29</v>
      </c>
      <c r="D141" s="54" t="s">
        <v>440</v>
      </c>
      <c r="G141">
        <v>1.75</v>
      </c>
      <c r="I141" s="6">
        <v>60</v>
      </c>
    </row>
    <row r="142" spans="1:9" ht="15" x14ac:dyDescent="0.15">
      <c r="A142" s="54" t="s">
        <v>467</v>
      </c>
      <c r="B142" s="13" t="s">
        <v>506</v>
      </c>
      <c r="C142" s="35" t="s">
        <v>29</v>
      </c>
      <c r="D142" s="54" t="s">
        <v>440</v>
      </c>
      <c r="G142">
        <v>1.8</v>
      </c>
      <c r="I142" s="6">
        <v>60</v>
      </c>
    </row>
    <row r="143" spans="1:9" ht="15" x14ac:dyDescent="0.15">
      <c r="A143" s="54" t="s">
        <v>468</v>
      </c>
      <c r="B143" s="13" t="s">
        <v>507</v>
      </c>
      <c r="C143" s="35" t="s">
        <v>29</v>
      </c>
      <c r="D143" s="54" t="s">
        <v>440</v>
      </c>
      <c r="G143">
        <v>1.85</v>
      </c>
      <c r="I143" s="6">
        <v>60</v>
      </c>
    </row>
    <row r="144" spans="1:9" ht="15" x14ac:dyDescent="0.15">
      <c r="A144" s="54" t="s">
        <v>464</v>
      </c>
      <c r="B144" s="13" t="s">
        <v>508</v>
      </c>
      <c r="C144" s="35" t="s">
        <v>29</v>
      </c>
      <c r="D144" s="54" t="s">
        <v>392</v>
      </c>
      <c r="G144">
        <v>1.5</v>
      </c>
      <c r="I144" s="6">
        <v>60</v>
      </c>
    </row>
    <row r="145" spans="1:9" ht="15" x14ac:dyDescent="0.15">
      <c r="A145" s="54" t="s">
        <v>470</v>
      </c>
      <c r="B145" s="13" t="s">
        <v>509</v>
      </c>
      <c r="C145" s="35" t="s">
        <v>29</v>
      </c>
      <c r="D145" s="54" t="s">
        <v>441</v>
      </c>
      <c r="G145">
        <v>1.7</v>
      </c>
      <c r="I145" s="6">
        <v>60</v>
      </c>
    </row>
    <row r="146" spans="1:9" ht="15" x14ac:dyDescent="0.15">
      <c r="A146" s="54" t="s">
        <v>471</v>
      </c>
      <c r="B146" s="13" t="s">
        <v>510</v>
      </c>
      <c r="C146" s="35" t="s">
        <v>29</v>
      </c>
      <c r="D146" s="54" t="s">
        <v>441</v>
      </c>
      <c r="G146">
        <v>1.75</v>
      </c>
      <c r="I146" s="6">
        <v>60</v>
      </c>
    </row>
    <row r="147" spans="1:9" ht="15" x14ac:dyDescent="0.15">
      <c r="A147" s="54" t="s">
        <v>472</v>
      </c>
      <c r="B147" s="13" t="s">
        <v>511</v>
      </c>
      <c r="C147" s="35" t="s">
        <v>29</v>
      </c>
      <c r="D147" s="54" t="s">
        <v>441</v>
      </c>
      <c r="G147">
        <v>1.8</v>
      </c>
      <c r="I147" s="6">
        <v>60</v>
      </c>
    </row>
    <row r="148" spans="1:9" ht="15" x14ac:dyDescent="0.15">
      <c r="A148" s="54" t="s">
        <v>473</v>
      </c>
      <c r="B148" s="13" t="s">
        <v>512</v>
      </c>
      <c r="C148" s="35" t="s">
        <v>29</v>
      </c>
      <c r="D148" s="54" t="s">
        <v>441</v>
      </c>
      <c r="G148">
        <v>1.85</v>
      </c>
      <c r="I148" s="6">
        <v>60</v>
      </c>
    </row>
    <row r="149" spans="1:9" ht="15" x14ac:dyDescent="0.15">
      <c r="A149" s="54" t="s">
        <v>469</v>
      </c>
      <c r="B149" s="13" t="s">
        <v>513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475</v>
      </c>
      <c r="B150" s="13" t="s">
        <v>514</v>
      </c>
      <c r="C150" s="35" t="s">
        <v>29</v>
      </c>
      <c r="D150" s="54" t="s">
        <v>442</v>
      </c>
      <c r="G150">
        <v>1.5</v>
      </c>
      <c r="I150" s="6">
        <v>60</v>
      </c>
    </row>
    <row r="151" spans="1:9" ht="15" x14ac:dyDescent="0.15">
      <c r="A151" s="54" t="s">
        <v>476</v>
      </c>
      <c r="B151" s="13" t="s">
        <v>515</v>
      </c>
      <c r="C151" s="35" t="s">
        <v>29</v>
      </c>
      <c r="D151" s="54" t="s">
        <v>442</v>
      </c>
      <c r="G151">
        <v>1.55</v>
      </c>
      <c r="I151" s="6">
        <v>60</v>
      </c>
    </row>
    <row r="152" spans="1:9" ht="15" x14ac:dyDescent="0.15">
      <c r="A152" s="54" t="s">
        <v>477</v>
      </c>
      <c r="B152" s="13" t="s">
        <v>516</v>
      </c>
      <c r="C152" s="35" t="s">
        <v>29</v>
      </c>
      <c r="D152" s="54" t="s">
        <v>442</v>
      </c>
      <c r="G152">
        <v>1.6</v>
      </c>
      <c r="I152" s="6">
        <v>60</v>
      </c>
    </row>
    <row r="153" spans="1:9" ht="15" x14ac:dyDescent="0.15">
      <c r="A153" s="54" t="s">
        <v>478</v>
      </c>
      <c r="B153" s="13" t="s">
        <v>517</v>
      </c>
      <c r="C153" s="35" t="s">
        <v>29</v>
      </c>
      <c r="D153" s="54" t="s">
        <v>442</v>
      </c>
      <c r="G153">
        <v>1.65</v>
      </c>
      <c r="I153" s="6">
        <v>60</v>
      </c>
    </row>
    <row r="154" spans="1:9" ht="15" x14ac:dyDescent="0.15">
      <c r="A154" s="54" t="s">
        <v>474</v>
      </c>
      <c r="B154" s="13" t="s">
        <v>518</v>
      </c>
      <c r="C154" s="35" t="s">
        <v>29</v>
      </c>
      <c r="D154" s="54" t="s">
        <v>424</v>
      </c>
      <c r="G154">
        <v>1.3</v>
      </c>
      <c r="I154" s="6">
        <v>60</v>
      </c>
    </row>
    <row r="155" spans="1:9" ht="15" x14ac:dyDescent="0.15">
      <c r="A155" s="54" t="s">
        <v>480</v>
      </c>
      <c r="B155" s="13" t="s">
        <v>519</v>
      </c>
      <c r="C155" s="35" t="s">
        <v>313</v>
      </c>
      <c r="D155" s="54" t="s">
        <v>443</v>
      </c>
      <c r="G155">
        <v>1.7</v>
      </c>
      <c r="I155" s="6">
        <v>60</v>
      </c>
    </row>
    <row r="156" spans="1:9" ht="15" x14ac:dyDescent="0.15">
      <c r="A156" s="54" t="s">
        <v>481</v>
      </c>
      <c r="B156" s="13" t="s">
        <v>520</v>
      </c>
      <c r="C156" s="35" t="s">
        <v>313</v>
      </c>
      <c r="D156" s="54" t="s">
        <v>443</v>
      </c>
      <c r="G156">
        <v>1.75</v>
      </c>
      <c r="I156" s="6">
        <v>60</v>
      </c>
    </row>
    <row r="157" spans="1:9" ht="15" x14ac:dyDescent="0.15">
      <c r="A157" s="54" t="s">
        <v>482</v>
      </c>
      <c r="B157" s="13" t="s">
        <v>521</v>
      </c>
      <c r="C157" s="35" t="s">
        <v>313</v>
      </c>
      <c r="D157" s="54" t="s">
        <v>443</v>
      </c>
      <c r="G157">
        <v>1.8</v>
      </c>
      <c r="I157" s="6">
        <v>60</v>
      </c>
    </row>
    <row r="158" spans="1:9" ht="15" x14ac:dyDescent="0.15">
      <c r="A158" s="54" t="s">
        <v>483</v>
      </c>
      <c r="B158" s="13" t="s">
        <v>522</v>
      </c>
      <c r="C158" s="35" t="s">
        <v>313</v>
      </c>
      <c r="D158" s="54" t="s">
        <v>443</v>
      </c>
      <c r="G158">
        <v>1.85</v>
      </c>
      <c r="I158" s="6">
        <v>60</v>
      </c>
    </row>
    <row r="159" spans="1:9" ht="15" x14ac:dyDescent="0.15">
      <c r="A159" s="54" t="s">
        <v>479</v>
      </c>
      <c r="B159" s="13" t="s">
        <v>523</v>
      </c>
      <c r="C159" s="35" t="s">
        <v>29</v>
      </c>
      <c r="D159" s="54" t="s">
        <v>682</v>
      </c>
      <c r="G159">
        <v>3.5</v>
      </c>
      <c r="I159" s="6">
        <v>60</v>
      </c>
    </row>
    <row r="160" spans="1:9" ht="15" x14ac:dyDescent="0.15">
      <c r="A160" s="54" t="s">
        <v>485</v>
      </c>
      <c r="B160" s="13" t="s">
        <v>524</v>
      </c>
      <c r="C160" s="35" t="s">
        <v>29</v>
      </c>
      <c r="D160" s="54" t="s">
        <v>444</v>
      </c>
      <c r="G160">
        <v>1.5</v>
      </c>
      <c r="I160" s="6">
        <v>60</v>
      </c>
    </row>
    <row r="161" spans="1:9" ht="15" x14ac:dyDescent="0.15">
      <c r="A161" s="54" t="s">
        <v>486</v>
      </c>
      <c r="B161" s="13" t="s">
        <v>525</v>
      </c>
      <c r="C161" s="35" t="s">
        <v>29</v>
      </c>
      <c r="D161" s="54" t="s">
        <v>444</v>
      </c>
      <c r="G161">
        <v>1.55</v>
      </c>
      <c r="I161" s="6">
        <v>60</v>
      </c>
    </row>
    <row r="162" spans="1:9" ht="15" x14ac:dyDescent="0.15">
      <c r="A162" s="54" t="s">
        <v>487</v>
      </c>
      <c r="B162" s="13" t="s">
        <v>526</v>
      </c>
      <c r="C162" s="35" t="s">
        <v>29</v>
      </c>
      <c r="D162" s="54" t="s">
        <v>444</v>
      </c>
      <c r="G162">
        <v>1.6</v>
      </c>
      <c r="I162" s="6">
        <v>60</v>
      </c>
    </row>
    <row r="163" spans="1:9" ht="15" x14ac:dyDescent="0.15">
      <c r="A163" s="54" t="s">
        <v>488</v>
      </c>
      <c r="B163" s="13" t="s">
        <v>527</v>
      </c>
      <c r="C163" s="35" t="s">
        <v>29</v>
      </c>
      <c r="D163" s="54" t="s">
        <v>444</v>
      </c>
      <c r="G163">
        <v>1.65</v>
      </c>
      <c r="I163" s="6">
        <v>60</v>
      </c>
    </row>
    <row r="164" spans="1:9" ht="15" x14ac:dyDescent="0.15">
      <c r="A164" s="54" t="s">
        <v>484</v>
      </c>
      <c r="B164" s="13" t="s">
        <v>528</v>
      </c>
      <c r="C164" s="35" t="s">
        <v>29</v>
      </c>
      <c r="D164" s="54" t="s">
        <v>425</v>
      </c>
      <c r="G164">
        <v>1.75</v>
      </c>
      <c r="I164" s="6">
        <v>60</v>
      </c>
    </row>
    <row r="165" spans="1:9" ht="15" x14ac:dyDescent="0.15">
      <c r="A165" s="54" t="s">
        <v>490</v>
      </c>
      <c r="B165" s="13" t="s">
        <v>529</v>
      </c>
      <c r="C165" s="35" t="s">
        <v>29</v>
      </c>
      <c r="D165" s="54" t="s">
        <v>445</v>
      </c>
      <c r="G165">
        <v>1.5</v>
      </c>
      <c r="I165" s="6">
        <v>60</v>
      </c>
    </row>
    <row r="166" spans="1:9" ht="15" x14ac:dyDescent="0.15">
      <c r="A166" s="54" t="s">
        <v>491</v>
      </c>
      <c r="B166" s="13" t="s">
        <v>530</v>
      </c>
      <c r="C166" s="35" t="s">
        <v>29</v>
      </c>
      <c r="D166" s="54" t="s">
        <v>445</v>
      </c>
      <c r="G166">
        <v>1.55</v>
      </c>
      <c r="I166" s="6">
        <v>60</v>
      </c>
    </row>
    <row r="167" spans="1:9" ht="15" x14ac:dyDescent="0.15">
      <c r="A167" s="54" t="s">
        <v>492</v>
      </c>
      <c r="B167" s="13" t="s">
        <v>531</v>
      </c>
      <c r="C167" s="35" t="s">
        <v>29</v>
      </c>
      <c r="D167" s="54" t="s">
        <v>445</v>
      </c>
      <c r="G167">
        <v>1.6</v>
      </c>
      <c r="I167" s="6">
        <v>60</v>
      </c>
    </row>
    <row r="168" spans="1:9" ht="15" x14ac:dyDescent="0.15">
      <c r="A168" s="54" t="s">
        <v>493</v>
      </c>
      <c r="B168" s="13" t="s">
        <v>532</v>
      </c>
      <c r="C168" s="35" t="s">
        <v>29</v>
      </c>
      <c r="D168" s="54" t="s">
        <v>445</v>
      </c>
      <c r="G168">
        <v>1.65</v>
      </c>
      <c r="I168" s="6">
        <v>60</v>
      </c>
    </row>
    <row r="169" spans="1:9" ht="15" x14ac:dyDescent="0.15">
      <c r="A169" s="54" t="s">
        <v>489</v>
      </c>
      <c r="B169" s="13" t="s">
        <v>533</v>
      </c>
      <c r="C169" s="35" t="s">
        <v>29</v>
      </c>
      <c r="D169" s="54" t="s">
        <v>426</v>
      </c>
      <c r="G169">
        <v>1.2</v>
      </c>
      <c r="I169" s="6">
        <v>60</v>
      </c>
    </row>
    <row r="170" spans="1:9" ht="15" x14ac:dyDescent="0.15">
      <c r="A170" s="54" t="s">
        <v>534</v>
      </c>
      <c r="B170" s="13" t="s">
        <v>544</v>
      </c>
      <c r="C170" s="35" t="s">
        <v>29</v>
      </c>
      <c r="D170" s="54" t="s">
        <v>554</v>
      </c>
      <c r="G170">
        <v>0.8</v>
      </c>
      <c r="I170" s="6">
        <v>60</v>
      </c>
    </row>
    <row r="171" spans="1:9" ht="15" x14ac:dyDescent="0.15">
      <c r="A171" s="54" t="s">
        <v>535</v>
      </c>
      <c r="B171" s="13" t="s">
        <v>545</v>
      </c>
      <c r="C171" s="35" t="s">
        <v>29</v>
      </c>
      <c r="D171" s="54" t="s">
        <v>555</v>
      </c>
      <c r="G171">
        <v>0.56999999999999995</v>
      </c>
      <c r="I171" s="6">
        <v>60</v>
      </c>
    </row>
    <row r="172" spans="1:9" ht="15" x14ac:dyDescent="0.15">
      <c r="A172" s="54" t="s">
        <v>536</v>
      </c>
      <c r="B172" s="13" t="s">
        <v>546</v>
      </c>
      <c r="C172" s="35" t="s">
        <v>313</v>
      </c>
      <c r="D172" s="54" t="s">
        <v>556</v>
      </c>
      <c r="G172">
        <v>1</v>
      </c>
      <c r="I172" s="6">
        <v>60</v>
      </c>
    </row>
    <row r="173" spans="1:9" ht="15" x14ac:dyDescent="0.15">
      <c r="A173" s="54" t="s">
        <v>537</v>
      </c>
      <c r="B173" s="13" t="s">
        <v>547</v>
      </c>
      <c r="C173" s="35" t="s">
        <v>313</v>
      </c>
      <c r="D173" s="54" t="s">
        <v>683</v>
      </c>
      <c r="G173">
        <v>2</v>
      </c>
      <c r="I173" s="6">
        <v>60</v>
      </c>
    </row>
    <row r="174" spans="1:9" ht="15" x14ac:dyDescent="0.15">
      <c r="A174" s="54" t="s">
        <v>538</v>
      </c>
      <c r="B174" s="13" t="s">
        <v>548</v>
      </c>
      <c r="C174" s="35" t="s">
        <v>29</v>
      </c>
      <c r="D174" s="54" t="s">
        <v>557</v>
      </c>
      <c r="G174">
        <v>0.62</v>
      </c>
      <c r="I174" s="6">
        <v>60</v>
      </c>
    </row>
    <row r="175" spans="1:9" ht="15" x14ac:dyDescent="0.15">
      <c r="A175" s="54" t="s">
        <v>539</v>
      </c>
      <c r="B175" s="13" t="s">
        <v>549</v>
      </c>
      <c r="C175" s="35" t="s">
        <v>29</v>
      </c>
      <c r="D175" s="54" t="s">
        <v>558</v>
      </c>
      <c r="G175">
        <v>0.7</v>
      </c>
      <c r="I175" s="6">
        <v>60</v>
      </c>
    </row>
    <row r="176" spans="1:9" ht="15" x14ac:dyDescent="0.15">
      <c r="A176" s="54" t="s">
        <v>540</v>
      </c>
      <c r="B176" s="13" t="s">
        <v>550</v>
      </c>
      <c r="C176" s="35" t="s">
        <v>29</v>
      </c>
      <c r="D176" s="54" t="s">
        <v>336</v>
      </c>
      <c r="G176">
        <v>0.75</v>
      </c>
      <c r="I176" s="6">
        <v>60</v>
      </c>
    </row>
    <row r="177" spans="1:9" ht="15" x14ac:dyDescent="0.15">
      <c r="A177" s="54" t="s">
        <v>541</v>
      </c>
      <c r="B177" s="13" t="s">
        <v>551</v>
      </c>
      <c r="C177" s="35" t="s">
        <v>29</v>
      </c>
      <c r="D177" s="54" t="s">
        <v>681</v>
      </c>
      <c r="G177">
        <v>2</v>
      </c>
      <c r="I177" s="6">
        <v>60</v>
      </c>
    </row>
    <row r="178" spans="1:9" ht="15" x14ac:dyDescent="0.15">
      <c r="A178" s="54" t="s">
        <v>542</v>
      </c>
      <c r="B178" s="13" t="s">
        <v>552</v>
      </c>
      <c r="C178" s="35" t="s">
        <v>29</v>
      </c>
      <c r="D178" s="54" t="s">
        <v>568</v>
      </c>
      <c r="G178">
        <v>1</v>
      </c>
      <c r="I178" s="6">
        <v>60</v>
      </c>
    </row>
    <row r="179" spans="1:9" ht="15" x14ac:dyDescent="0.15">
      <c r="A179" s="54" t="s">
        <v>543</v>
      </c>
      <c r="B179" s="13" t="s">
        <v>553</v>
      </c>
      <c r="C179" s="35" t="s">
        <v>29</v>
      </c>
      <c r="D179" s="54" t="s">
        <v>559</v>
      </c>
      <c r="G179">
        <v>1.2</v>
      </c>
      <c r="I179" s="6">
        <v>60</v>
      </c>
    </row>
    <row r="180" spans="1:9" ht="15" x14ac:dyDescent="0.15">
      <c r="A180" s="5" t="s">
        <v>564</v>
      </c>
      <c r="B180" s="13" t="s">
        <v>562</v>
      </c>
      <c r="C180" s="12" t="s">
        <v>29</v>
      </c>
      <c r="D180" s="3" t="s">
        <v>561</v>
      </c>
      <c r="G180" s="6">
        <v>1</v>
      </c>
      <c r="I180" s="6">
        <v>10</v>
      </c>
    </row>
    <row r="181" spans="1:9" ht="15" x14ac:dyDescent="0.15">
      <c r="A181" s="46" t="s">
        <v>565</v>
      </c>
      <c r="B181" s="13" t="s">
        <v>566</v>
      </c>
      <c r="C181" s="12" t="s">
        <v>29</v>
      </c>
      <c r="D181" s="3" t="s">
        <v>356</v>
      </c>
      <c r="G181">
        <v>3.5</v>
      </c>
      <c r="I181" s="6">
        <v>60</v>
      </c>
    </row>
    <row r="182" spans="1:9" ht="15" x14ac:dyDescent="0.15">
      <c r="A182" s="28" t="s">
        <v>569</v>
      </c>
      <c r="B182" s="13" t="s">
        <v>589</v>
      </c>
      <c r="C182" s="12" t="s">
        <v>29</v>
      </c>
      <c r="D182" s="3" t="s">
        <v>609</v>
      </c>
      <c r="G182">
        <v>1</v>
      </c>
      <c r="I182" s="6">
        <v>60</v>
      </c>
    </row>
    <row r="183" spans="1:9" ht="15" x14ac:dyDescent="0.15">
      <c r="A183" s="28" t="s">
        <v>570</v>
      </c>
      <c r="B183" s="13" t="s">
        <v>590</v>
      </c>
      <c r="C183" s="12" t="s">
        <v>29</v>
      </c>
      <c r="D183" s="3" t="s">
        <v>609</v>
      </c>
      <c r="G183">
        <v>1.05</v>
      </c>
      <c r="I183" s="6">
        <v>60</v>
      </c>
    </row>
    <row r="184" spans="1:9" ht="15" x14ac:dyDescent="0.15">
      <c r="A184" s="28" t="s">
        <v>571</v>
      </c>
      <c r="B184" s="13" t="s">
        <v>591</v>
      </c>
      <c r="C184" s="12" t="s">
        <v>29</v>
      </c>
      <c r="D184" s="3" t="s">
        <v>609</v>
      </c>
      <c r="G184">
        <v>1.1000000000000001</v>
      </c>
      <c r="I184" s="6">
        <v>60</v>
      </c>
    </row>
    <row r="185" spans="1:9" ht="15" x14ac:dyDescent="0.15">
      <c r="A185" s="28" t="s">
        <v>572</v>
      </c>
      <c r="B185" s="13" t="s">
        <v>592</v>
      </c>
      <c r="C185" s="12" t="s">
        <v>29</v>
      </c>
      <c r="D185" s="3" t="s">
        <v>609</v>
      </c>
      <c r="G185">
        <v>1.1499999999999999</v>
      </c>
      <c r="I185" s="6">
        <v>60</v>
      </c>
    </row>
    <row r="186" spans="1:9" ht="15" x14ac:dyDescent="0.15">
      <c r="A186" s="28" t="s">
        <v>573</v>
      </c>
      <c r="B186" s="13" t="s">
        <v>593</v>
      </c>
      <c r="C186" s="12" t="s">
        <v>29</v>
      </c>
      <c r="D186" s="3" t="s">
        <v>609</v>
      </c>
      <c r="G186">
        <v>1.2</v>
      </c>
      <c r="I186" s="6">
        <v>60</v>
      </c>
    </row>
    <row r="187" spans="1:9" ht="15" x14ac:dyDescent="0.15">
      <c r="A187" s="28" t="s">
        <v>574</v>
      </c>
      <c r="B187" s="13" t="s">
        <v>594</v>
      </c>
      <c r="C187" s="12" t="s">
        <v>29</v>
      </c>
      <c r="D187" s="3" t="s">
        <v>609</v>
      </c>
      <c r="G187">
        <v>1.25</v>
      </c>
      <c r="I187" s="6">
        <v>60</v>
      </c>
    </row>
    <row r="188" spans="1:9" ht="15" x14ac:dyDescent="0.15">
      <c r="A188" s="28" t="s">
        <v>575</v>
      </c>
      <c r="B188" s="13" t="s">
        <v>595</v>
      </c>
      <c r="C188" s="12" t="s">
        <v>29</v>
      </c>
      <c r="D188" s="3" t="s">
        <v>609</v>
      </c>
      <c r="G188">
        <v>1.3</v>
      </c>
      <c r="I188" s="6">
        <v>60</v>
      </c>
    </row>
    <row r="189" spans="1:9" ht="15" x14ac:dyDescent="0.15">
      <c r="A189" s="28" t="s">
        <v>576</v>
      </c>
      <c r="B189" s="13" t="s">
        <v>596</v>
      </c>
      <c r="C189" s="12" t="s">
        <v>29</v>
      </c>
      <c r="D189" s="3" t="s">
        <v>609</v>
      </c>
      <c r="G189">
        <v>1.35</v>
      </c>
      <c r="I189" s="6">
        <v>60</v>
      </c>
    </row>
    <row r="190" spans="1:9" ht="15" x14ac:dyDescent="0.15">
      <c r="A190" s="28" t="s">
        <v>577</v>
      </c>
      <c r="B190" s="13" t="s">
        <v>597</v>
      </c>
      <c r="C190" s="12" t="s">
        <v>29</v>
      </c>
      <c r="D190" s="3" t="s">
        <v>609</v>
      </c>
      <c r="G190">
        <v>1.4</v>
      </c>
      <c r="I190" s="6">
        <v>60</v>
      </c>
    </row>
    <row r="191" spans="1:9" ht="15" x14ac:dyDescent="0.15">
      <c r="A191" s="28" t="s">
        <v>578</v>
      </c>
      <c r="B191" s="13" t="s">
        <v>598</v>
      </c>
      <c r="C191" s="12" t="s">
        <v>29</v>
      </c>
      <c r="D191" s="3" t="s">
        <v>609</v>
      </c>
      <c r="G191">
        <v>1.45</v>
      </c>
      <c r="I191" s="6">
        <v>60</v>
      </c>
    </row>
    <row r="192" spans="1:9" ht="15" x14ac:dyDescent="0.15">
      <c r="A192" s="28" t="s">
        <v>579</v>
      </c>
      <c r="B192" s="13" t="s">
        <v>599</v>
      </c>
      <c r="C192" s="12" t="s">
        <v>29</v>
      </c>
      <c r="D192" s="3" t="s">
        <v>609</v>
      </c>
      <c r="G192">
        <v>1.5</v>
      </c>
      <c r="I192" s="6">
        <v>60</v>
      </c>
    </row>
    <row r="193" spans="1:9" ht="15" x14ac:dyDescent="0.15">
      <c r="A193" s="28" t="s">
        <v>580</v>
      </c>
      <c r="B193" s="13" t="s">
        <v>600</v>
      </c>
      <c r="C193" s="12" t="s">
        <v>29</v>
      </c>
      <c r="D193" s="3" t="s">
        <v>609</v>
      </c>
      <c r="G193">
        <v>1.55</v>
      </c>
      <c r="I193" s="6">
        <v>60</v>
      </c>
    </row>
    <row r="194" spans="1:9" ht="15" x14ac:dyDescent="0.15">
      <c r="A194" s="28" t="s">
        <v>581</v>
      </c>
      <c r="B194" s="13" t="s">
        <v>601</v>
      </c>
      <c r="C194" s="12" t="s">
        <v>29</v>
      </c>
      <c r="D194" s="3" t="s">
        <v>609</v>
      </c>
      <c r="G194">
        <v>1.6</v>
      </c>
      <c r="I194" s="6">
        <v>60</v>
      </c>
    </row>
    <row r="195" spans="1:9" ht="15" x14ac:dyDescent="0.15">
      <c r="A195" s="28" t="s">
        <v>582</v>
      </c>
      <c r="B195" s="13" t="s">
        <v>602</v>
      </c>
      <c r="C195" s="12" t="s">
        <v>29</v>
      </c>
      <c r="D195" s="3" t="s">
        <v>609</v>
      </c>
      <c r="G195">
        <v>1.65</v>
      </c>
      <c r="I195" s="6">
        <v>60</v>
      </c>
    </row>
    <row r="196" spans="1:9" ht="15" x14ac:dyDescent="0.15">
      <c r="A196" s="28" t="s">
        <v>583</v>
      </c>
      <c r="B196" s="13" t="s">
        <v>603</v>
      </c>
      <c r="C196" s="12" t="s">
        <v>29</v>
      </c>
      <c r="D196" s="3" t="s">
        <v>609</v>
      </c>
      <c r="G196">
        <v>1.7</v>
      </c>
      <c r="I196" s="6">
        <v>60</v>
      </c>
    </row>
    <row r="197" spans="1:9" ht="15" x14ac:dyDescent="0.15">
      <c r="A197" s="28" t="s">
        <v>584</v>
      </c>
      <c r="B197" s="13" t="s">
        <v>604</v>
      </c>
      <c r="C197" s="12" t="s">
        <v>29</v>
      </c>
      <c r="D197" s="3" t="s">
        <v>609</v>
      </c>
      <c r="G197">
        <v>1.75</v>
      </c>
      <c r="I197" s="6">
        <v>60</v>
      </c>
    </row>
    <row r="198" spans="1:9" ht="15" x14ac:dyDescent="0.15">
      <c r="A198" s="28" t="s">
        <v>585</v>
      </c>
      <c r="B198" s="13" t="s">
        <v>605</v>
      </c>
      <c r="C198" s="12" t="s">
        <v>29</v>
      </c>
      <c r="D198" s="3" t="s">
        <v>609</v>
      </c>
      <c r="G198">
        <v>1.8</v>
      </c>
      <c r="I198" s="6">
        <v>60</v>
      </c>
    </row>
    <row r="199" spans="1:9" ht="15" x14ac:dyDescent="0.15">
      <c r="A199" s="28" t="s">
        <v>586</v>
      </c>
      <c r="B199" s="13" t="s">
        <v>606</v>
      </c>
      <c r="C199" s="12" t="s">
        <v>29</v>
      </c>
      <c r="D199" s="3" t="s">
        <v>609</v>
      </c>
      <c r="G199">
        <v>1.85</v>
      </c>
      <c r="I199" s="6">
        <v>60</v>
      </c>
    </row>
    <row r="200" spans="1:9" ht="15" x14ac:dyDescent="0.15">
      <c r="A200" s="28" t="s">
        <v>587</v>
      </c>
      <c r="B200" s="13" t="s">
        <v>607</v>
      </c>
      <c r="C200" s="12" t="s">
        <v>29</v>
      </c>
      <c r="D200" s="3" t="s">
        <v>609</v>
      </c>
      <c r="G200">
        <v>1.9</v>
      </c>
      <c r="I200" s="6">
        <v>60</v>
      </c>
    </row>
    <row r="201" spans="1:9" ht="15" x14ac:dyDescent="0.15">
      <c r="A201" s="28" t="s">
        <v>588</v>
      </c>
      <c r="B201" s="13" t="s">
        <v>608</v>
      </c>
      <c r="C201" s="12" t="s">
        <v>29</v>
      </c>
      <c r="D201" s="3" t="s">
        <v>609</v>
      </c>
      <c r="G201">
        <v>1.95</v>
      </c>
      <c r="I201" s="6">
        <v>60</v>
      </c>
    </row>
    <row r="202" spans="1:9" ht="15" x14ac:dyDescent="0.15">
      <c r="A202" s="28" t="s">
        <v>610</v>
      </c>
      <c r="B202" s="13" t="s">
        <v>630</v>
      </c>
      <c r="C202" s="12" t="s">
        <v>29</v>
      </c>
      <c r="D202" s="3" t="s">
        <v>650</v>
      </c>
      <c r="G202">
        <v>1</v>
      </c>
      <c r="I202" s="6">
        <v>60</v>
      </c>
    </row>
    <row r="203" spans="1:9" ht="15" x14ac:dyDescent="0.15">
      <c r="A203" s="28" t="s">
        <v>611</v>
      </c>
      <c r="B203" s="13" t="s">
        <v>631</v>
      </c>
      <c r="C203" s="12" t="s">
        <v>29</v>
      </c>
      <c r="D203" s="3" t="s">
        <v>650</v>
      </c>
      <c r="G203">
        <v>1.05</v>
      </c>
      <c r="I203" s="6">
        <v>60</v>
      </c>
    </row>
    <row r="204" spans="1:9" ht="15" x14ac:dyDescent="0.15">
      <c r="A204" s="28" t="s">
        <v>612</v>
      </c>
      <c r="B204" s="13" t="s">
        <v>632</v>
      </c>
      <c r="C204" s="12" t="s">
        <v>29</v>
      </c>
      <c r="D204" s="3" t="s">
        <v>650</v>
      </c>
      <c r="G204">
        <v>1.1000000000000001</v>
      </c>
      <c r="I204" s="6">
        <v>60</v>
      </c>
    </row>
    <row r="205" spans="1:9" ht="15" x14ac:dyDescent="0.15">
      <c r="A205" s="28" t="s">
        <v>613</v>
      </c>
      <c r="B205" s="13" t="s">
        <v>633</v>
      </c>
      <c r="C205" s="12" t="s">
        <v>29</v>
      </c>
      <c r="D205" s="3" t="s">
        <v>650</v>
      </c>
      <c r="G205">
        <v>1.1499999999999999</v>
      </c>
      <c r="I205" s="6">
        <v>60</v>
      </c>
    </row>
    <row r="206" spans="1:9" ht="15" x14ac:dyDescent="0.15">
      <c r="A206" s="28" t="s">
        <v>614</v>
      </c>
      <c r="B206" s="13" t="s">
        <v>634</v>
      </c>
      <c r="C206" s="12" t="s">
        <v>29</v>
      </c>
      <c r="D206" s="3" t="s">
        <v>650</v>
      </c>
      <c r="G206">
        <v>1.2</v>
      </c>
      <c r="I206" s="6">
        <v>60</v>
      </c>
    </row>
    <row r="207" spans="1:9" ht="15" x14ac:dyDescent="0.15">
      <c r="A207" s="28" t="s">
        <v>615</v>
      </c>
      <c r="B207" s="13" t="s">
        <v>635</v>
      </c>
      <c r="C207" s="12" t="s">
        <v>29</v>
      </c>
      <c r="D207" s="3" t="s">
        <v>650</v>
      </c>
      <c r="G207">
        <v>1.25</v>
      </c>
      <c r="I207" s="6">
        <v>60</v>
      </c>
    </row>
    <row r="208" spans="1:9" ht="15" x14ac:dyDescent="0.15">
      <c r="A208" s="28" t="s">
        <v>616</v>
      </c>
      <c r="B208" s="13" t="s">
        <v>636</v>
      </c>
      <c r="C208" s="12" t="s">
        <v>29</v>
      </c>
      <c r="D208" s="3" t="s">
        <v>650</v>
      </c>
      <c r="G208">
        <v>1.3</v>
      </c>
      <c r="I208" s="6">
        <v>60</v>
      </c>
    </row>
    <row r="209" spans="1:9" ht="15" x14ac:dyDescent="0.15">
      <c r="A209" s="28" t="s">
        <v>617</v>
      </c>
      <c r="B209" s="13" t="s">
        <v>637</v>
      </c>
      <c r="C209" s="12" t="s">
        <v>29</v>
      </c>
      <c r="D209" s="3" t="s">
        <v>650</v>
      </c>
      <c r="G209">
        <v>1.35</v>
      </c>
      <c r="I209" s="6">
        <v>60</v>
      </c>
    </row>
    <row r="210" spans="1:9" ht="15" x14ac:dyDescent="0.15">
      <c r="A210" s="28" t="s">
        <v>618</v>
      </c>
      <c r="B210" s="13" t="s">
        <v>638</v>
      </c>
      <c r="C210" s="12" t="s">
        <v>29</v>
      </c>
      <c r="D210" s="3" t="s">
        <v>650</v>
      </c>
      <c r="G210">
        <v>1.4</v>
      </c>
      <c r="I210" s="6">
        <v>60</v>
      </c>
    </row>
    <row r="211" spans="1:9" ht="15" x14ac:dyDescent="0.15">
      <c r="A211" s="28" t="s">
        <v>619</v>
      </c>
      <c r="B211" s="13" t="s">
        <v>639</v>
      </c>
      <c r="C211" s="12" t="s">
        <v>29</v>
      </c>
      <c r="D211" s="3" t="s">
        <v>650</v>
      </c>
      <c r="G211">
        <v>1.45</v>
      </c>
      <c r="I211" s="6">
        <v>60</v>
      </c>
    </row>
    <row r="212" spans="1:9" ht="15" x14ac:dyDescent="0.15">
      <c r="A212" s="28" t="s">
        <v>620</v>
      </c>
      <c r="B212" s="13" t="s">
        <v>640</v>
      </c>
      <c r="C212" s="12" t="s">
        <v>29</v>
      </c>
      <c r="D212" s="3" t="s">
        <v>650</v>
      </c>
      <c r="G212">
        <v>1.5</v>
      </c>
      <c r="I212" s="6">
        <v>60</v>
      </c>
    </row>
    <row r="213" spans="1:9" ht="15" x14ac:dyDescent="0.15">
      <c r="A213" s="28" t="s">
        <v>621</v>
      </c>
      <c r="B213" s="13" t="s">
        <v>641</v>
      </c>
      <c r="C213" s="12" t="s">
        <v>29</v>
      </c>
      <c r="D213" s="3" t="s">
        <v>650</v>
      </c>
      <c r="G213">
        <v>1.55</v>
      </c>
      <c r="I213" s="6">
        <v>60</v>
      </c>
    </row>
    <row r="214" spans="1:9" ht="15" x14ac:dyDescent="0.15">
      <c r="A214" s="28" t="s">
        <v>622</v>
      </c>
      <c r="B214" s="13" t="s">
        <v>642</v>
      </c>
      <c r="C214" s="12" t="s">
        <v>29</v>
      </c>
      <c r="D214" s="3" t="s">
        <v>650</v>
      </c>
      <c r="G214">
        <v>1.6</v>
      </c>
      <c r="I214" s="6">
        <v>60</v>
      </c>
    </row>
    <row r="215" spans="1:9" ht="15" x14ac:dyDescent="0.15">
      <c r="A215" s="28" t="s">
        <v>623</v>
      </c>
      <c r="B215" s="13" t="s">
        <v>643</v>
      </c>
      <c r="C215" s="12" t="s">
        <v>29</v>
      </c>
      <c r="D215" s="3" t="s">
        <v>650</v>
      </c>
      <c r="G215">
        <v>1.65</v>
      </c>
      <c r="I215" s="6">
        <v>60</v>
      </c>
    </row>
    <row r="216" spans="1:9" ht="15" x14ac:dyDescent="0.15">
      <c r="A216" s="28" t="s">
        <v>624</v>
      </c>
      <c r="B216" s="13" t="s">
        <v>644</v>
      </c>
      <c r="C216" s="12" t="s">
        <v>29</v>
      </c>
      <c r="D216" s="3" t="s">
        <v>650</v>
      </c>
      <c r="G216">
        <v>1.7</v>
      </c>
      <c r="I216" s="6">
        <v>60</v>
      </c>
    </row>
    <row r="217" spans="1:9" ht="15" x14ac:dyDescent="0.15">
      <c r="A217" s="28" t="s">
        <v>625</v>
      </c>
      <c r="B217" s="13" t="s">
        <v>645</v>
      </c>
      <c r="C217" s="12" t="s">
        <v>29</v>
      </c>
      <c r="D217" s="3" t="s">
        <v>650</v>
      </c>
      <c r="G217">
        <v>1.75</v>
      </c>
      <c r="I217" s="6">
        <v>60</v>
      </c>
    </row>
    <row r="218" spans="1:9" ht="15" x14ac:dyDescent="0.15">
      <c r="A218" s="28" t="s">
        <v>626</v>
      </c>
      <c r="B218" s="13" t="s">
        <v>646</v>
      </c>
      <c r="C218" s="12" t="s">
        <v>29</v>
      </c>
      <c r="D218" s="3" t="s">
        <v>650</v>
      </c>
      <c r="G218">
        <v>1.8</v>
      </c>
      <c r="I218" s="6">
        <v>60</v>
      </c>
    </row>
    <row r="219" spans="1:9" ht="15" x14ac:dyDescent="0.15">
      <c r="A219" s="28" t="s">
        <v>627</v>
      </c>
      <c r="B219" s="13" t="s">
        <v>647</v>
      </c>
      <c r="C219" s="12" t="s">
        <v>29</v>
      </c>
      <c r="D219" s="3" t="s">
        <v>650</v>
      </c>
      <c r="G219">
        <v>1.85</v>
      </c>
      <c r="I219" s="6">
        <v>60</v>
      </c>
    </row>
    <row r="220" spans="1:9" ht="15" x14ac:dyDescent="0.15">
      <c r="A220" s="28" t="s">
        <v>628</v>
      </c>
      <c r="B220" s="13" t="s">
        <v>648</v>
      </c>
      <c r="C220" s="12" t="s">
        <v>29</v>
      </c>
      <c r="D220" s="3" t="s">
        <v>650</v>
      </c>
      <c r="G220">
        <v>1.9</v>
      </c>
      <c r="I220" s="6">
        <v>60</v>
      </c>
    </row>
    <row r="221" spans="1:9" ht="15" x14ac:dyDescent="0.15">
      <c r="A221" s="28" t="s">
        <v>629</v>
      </c>
      <c r="B221" s="13" t="s">
        <v>649</v>
      </c>
      <c r="C221" s="12" t="s">
        <v>29</v>
      </c>
      <c r="D221" s="3" t="s">
        <v>650</v>
      </c>
      <c r="G221">
        <v>1.95</v>
      </c>
      <c r="I221" s="6">
        <v>60</v>
      </c>
    </row>
    <row r="222" spans="1:9" ht="15" x14ac:dyDescent="0.15">
      <c r="A222" s="28" t="s">
        <v>654</v>
      </c>
      <c r="B222" s="13" t="s">
        <v>653</v>
      </c>
      <c r="C222" s="12" t="s">
        <v>29</v>
      </c>
      <c r="D222" s="62" t="s">
        <v>655</v>
      </c>
      <c r="G222">
        <v>4</v>
      </c>
      <c r="I222" s="6">
        <v>10</v>
      </c>
    </row>
    <row r="223" spans="1:9" s="45" customFormat="1" ht="15" x14ac:dyDescent="0.15">
      <c r="A223" s="61" t="s">
        <v>652</v>
      </c>
      <c r="B223" s="13" t="s">
        <v>656</v>
      </c>
      <c r="C223" s="46" t="s">
        <v>29</v>
      </c>
      <c r="D223" s="62" t="s">
        <v>655</v>
      </c>
      <c r="G223" s="63">
        <v>1.8</v>
      </c>
      <c r="I223" s="63">
        <v>10</v>
      </c>
    </row>
    <row r="224" spans="1:9" ht="15" x14ac:dyDescent="0.15">
      <c r="A224" s="28" t="s">
        <v>658</v>
      </c>
      <c r="B224" s="13" t="s">
        <v>659</v>
      </c>
      <c r="C224" s="46" t="s">
        <v>661</v>
      </c>
      <c r="D224" s="3" t="s">
        <v>660</v>
      </c>
      <c r="G224" s="63">
        <v>1</v>
      </c>
      <c r="H224" s="45"/>
      <c r="I224" s="63">
        <v>30</v>
      </c>
    </row>
    <row r="225" spans="1:12" ht="15" x14ac:dyDescent="0.15">
      <c r="A225" s="54" t="s">
        <v>667</v>
      </c>
      <c r="B225" s="13" t="s">
        <v>662</v>
      </c>
      <c r="C225" s="46" t="s">
        <v>29</v>
      </c>
      <c r="D225" s="3" t="s">
        <v>672</v>
      </c>
      <c r="G225">
        <v>1.1000000000000001</v>
      </c>
      <c r="I225" s="6">
        <v>60</v>
      </c>
    </row>
    <row r="226" spans="1:12" ht="15" x14ac:dyDescent="0.15">
      <c r="A226" s="54" t="s">
        <v>668</v>
      </c>
      <c r="B226" s="13" t="s">
        <v>663</v>
      </c>
      <c r="C226" s="46" t="s">
        <v>29</v>
      </c>
      <c r="D226" s="3" t="s">
        <v>672</v>
      </c>
      <c r="G226">
        <v>1.1499999999999999</v>
      </c>
      <c r="I226" s="6">
        <v>60</v>
      </c>
    </row>
    <row r="227" spans="1:12" ht="15" x14ac:dyDescent="0.15">
      <c r="A227" s="54" t="s">
        <v>669</v>
      </c>
      <c r="B227" s="13" t="s">
        <v>664</v>
      </c>
      <c r="C227" s="46" t="s">
        <v>29</v>
      </c>
      <c r="D227" s="3" t="s">
        <v>672</v>
      </c>
      <c r="G227">
        <v>1.2</v>
      </c>
      <c r="I227" s="6">
        <v>60</v>
      </c>
    </row>
    <row r="228" spans="1:12" ht="15" x14ac:dyDescent="0.15">
      <c r="A228" s="54" t="s">
        <v>670</v>
      </c>
      <c r="B228" s="13" t="s">
        <v>665</v>
      </c>
      <c r="C228" s="46" t="s">
        <v>29</v>
      </c>
      <c r="D228" s="3" t="s">
        <v>672</v>
      </c>
      <c r="G228">
        <v>1.25</v>
      </c>
      <c r="I228" s="6">
        <v>60</v>
      </c>
    </row>
    <row r="229" spans="1:12" ht="15" x14ac:dyDescent="0.15">
      <c r="A229" s="54" t="s">
        <v>671</v>
      </c>
      <c r="B229" s="13" t="s">
        <v>666</v>
      </c>
      <c r="C229" s="46" t="s">
        <v>29</v>
      </c>
      <c r="D229" s="3" t="s">
        <v>672</v>
      </c>
      <c r="G229">
        <v>1.5</v>
      </c>
      <c r="I229" s="6">
        <v>60</v>
      </c>
    </row>
    <row r="230" spans="1:12" ht="15" x14ac:dyDescent="0.15">
      <c r="A230" s="61" t="s">
        <v>675</v>
      </c>
      <c r="B230" s="13" t="s">
        <v>673</v>
      </c>
      <c r="C230" s="46" t="s">
        <v>29</v>
      </c>
      <c r="D230" s="3" t="s">
        <v>674</v>
      </c>
      <c r="G230">
        <v>0.9</v>
      </c>
      <c r="I230" s="6">
        <v>10</v>
      </c>
    </row>
    <row r="231" spans="1:12" ht="15" x14ac:dyDescent="0.15">
      <c r="A231" s="12" t="s">
        <v>677</v>
      </c>
      <c r="B231" s="13" t="s">
        <v>676</v>
      </c>
      <c r="C231" s="12" t="s">
        <v>29</v>
      </c>
      <c r="D231" s="36" t="s">
        <v>357</v>
      </c>
      <c r="E231" s="9"/>
      <c r="F231" s="9"/>
      <c r="G231" s="9">
        <v>0.8</v>
      </c>
      <c r="H231" s="9"/>
      <c r="I231" s="9">
        <v>35</v>
      </c>
      <c r="J231" s="9"/>
      <c r="K231" s="9"/>
      <c r="L231" s="9"/>
    </row>
  </sheetData>
  <phoneticPr fontId="10" type="noConversion"/>
  <conditionalFormatting sqref="D4:D7">
    <cfRule type="duplicateValues" dxfId="5" priority="6"/>
  </conditionalFormatting>
  <conditionalFormatting sqref="D14:D27">
    <cfRule type="duplicateValues" dxfId="4" priority="5"/>
  </conditionalFormatting>
  <conditionalFormatting sqref="D39:D62">
    <cfRule type="duplicateValues" dxfId="3" priority="4"/>
  </conditionalFormatting>
  <conditionalFormatting sqref="D63:D92">
    <cfRule type="duplicateValues" dxfId="2" priority="3"/>
  </conditionalFormatting>
  <conditionalFormatting sqref="D28">
    <cfRule type="duplicateValues" dxfId="1" priority="2"/>
  </conditionalFormatting>
  <conditionalFormatting sqref="D231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31"/>
  <sheetViews>
    <sheetView topLeftCell="A168" zoomScaleNormal="100" workbookViewId="0">
      <pane xSplit="1" topLeftCell="B1" activePane="topRight" state="frozen"/>
      <selection pane="topRight" activeCell="H244" sqref="H244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349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353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352</v>
      </c>
      <c r="D3" s="5" t="s">
        <v>351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358</v>
      </c>
      <c r="J3" s="1" t="s">
        <v>202</v>
      </c>
      <c r="K3" s="23" t="s">
        <v>203</v>
      </c>
      <c r="L3" s="23" t="s">
        <v>354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560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5.8999999999999997E-2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35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350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350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563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5.8999999999999997E-2</v>
      </c>
      <c r="L8" s="24"/>
      <c r="M8" s="21" t="s">
        <v>221</v>
      </c>
      <c r="N8" s="28" t="str">
        <f>"{'sylh1', '"&amp;A8&amp;"*1',10,270,10,13,'烧火棍*1' }"</f>
        <v>{'sylh1', '三眼灵猴*1',10,270,10,13,'烧火棍*1'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5.8999999999999997E-2</v>
      </c>
      <c r="L9" s="24"/>
      <c r="M9" s="21" t="s">
        <v>221</v>
      </c>
      <c r="N9" s="28" t="str">
        <f>"{'yanhuang1', '"&amp;A9&amp;"*1',10,270,10,13,'赤炎甲*1' }"</f>
        <v>{'yanhuang1', '焰皇*1',10,270,10,13,'赤炎甲*1'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5.8999999999999997E-2</v>
      </c>
      <c r="L10" s="24"/>
      <c r="M10" s="21" t="s">
        <v>221</v>
      </c>
      <c r="N10" s="28" t="str">
        <f>"{'miyiyang1', '"&amp;A10&amp;"*1',10,270,10,13,'谜一样的箱子*1' }"</f>
        <v>{'miyiyang1', '灵魂*1',10,270,10,13,'谜一样的箱子*1'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5.8999999999999997E-2</v>
      </c>
      <c r="L11" s="24"/>
      <c r="M11" s="21" t="s">
        <v>221</v>
      </c>
      <c r="N11" s="28" t="str">
        <f>"{'tianshu1', '"&amp;A11&amp;"*1',10,270,10,13,'谜一样的天书*1' }"</f>
        <v>{'tianshu1', '熊猫人*1',10,270,10,13,'谜一样的天书*1'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5.8999999999999997E-2</v>
      </c>
      <c r="L12" s="24"/>
      <c r="M12" s="21" t="s">
        <v>221</v>
      </c>
      <c r="N12" s="28" t="str">
        <f>"{'jingpo1', '"&amp;A12&amp;"*1',10,270,10,13,'圣龙精魄碎片一*1' }"</f>
        <v>{'jingpo1', '九幽地冥蟒*1',10,270,10,13,'圣龙精魄碎片一*1'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5.8999999999999997E-2</v>
      </c>
      <c r="L13" s="24"/>
      <c r="M13" s="21" t="s">
        <v>221</v>
      </c>
      <c r="N13" s="28" t="str">
        <f>"{'jingpo2', '"&amp;A13&amp;"*1',10,270,10,13,'圣龙精魄碎片二*1' }"</f>
        <v>{'jingpo2', '九幽雀*1',10,270,10,13,'圣龙精魄碎片二*1'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5.8999999999999997E-2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1.2</v>
      </c>
      <c r="V14" s="27">
        <f t="shared" si="2"/>
        <v>625</v>
      </c>
      <c r="W14" s="29">
        <v>0</v>
      </c>
      <c r="X14" s="27">
        <v>200</v>
      </c>
      <c r="Y14" s="27">
        <v>0</v>
      </c>
      <c r="Z14" s="27">
        <v>0</v>
      </c>
      <c r="AA14" s="27">
        <v>5</v>
      </c>
      <c r="AB14" s="27">
        <v>50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5.8999999999999997E-2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5.8999999999999997E-2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5.8999999999999997E-2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5.8999999999999997E-2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5.8999999999999997E-2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5.8999999999999997E-2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5.8999999999999997E-2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5.8999999999999997E-2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5.8999999999999997E-2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5.8999999999999997E-2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5.8999999999999997E-2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5.8999999999999997E-2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5.8999999999999997E-2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343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5.8999999999999997E-2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5.8999999999999997E-2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5.8999999999999997E-2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5.8999999999999997E-2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5.8999999999999997E-2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5.8999999999999997E-2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5.8999999999999997E-2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5.8999999999999997E-2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5.8999999999999997E-2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5.8999999999999997E-2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5.8999999999999997E-2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5.8999999999999997E-2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5.8999999999999997E-2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5.8999999999999997E-2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5.8999999999999997E-2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5.8999999999999997E-2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5</v>
      </c>
      <c r="I44" s="14"/>
      <c r="J44" s="14">
        <v>500</v>
      </c>
      <c r="K44" s="24">
        <v>5.8999999999999997E-2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5.8999999999999997E-2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5.8999999999999997E-2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10</v>
      </c>
      <c r="J47" s="14">
        <v>500</v>
      </c>
      <c r="K47" s="24">
        <v>5.8999999999999997E-2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25</v>
      </c>
      <c r="J48" s="14">
        <v>500</v>
      </c>
      <c r="K48" s="24">
        <v>5.8999999999999997E-2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5.8999999999999997E-2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5.8999999999999997E-2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5.8999999999999997E-2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5.8999999999999997E-2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5.8999999999999997E-2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5.8999999999999997E-2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5.8999999999999997E-2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5.8999999999999997E-2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5.8999999999999997E-2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5.8999999999999997E-2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5.8999999999999997E-2</v>
      </c>
      <c r="L59" s="24"/>
      <c r="M59" s="21" t="s">
        <v>221</v>
      </c>
      <c r="N59" s="28" t="str">
        <f>"{'sylz1', '"&amp;A59&amp;"*1',10,270,10,13,'三眼赤痕*1' }"</f>
        <v>{'sylz1', '三眼老祖*1',10,270,10,13,'三眼赤痕*1'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5.8999999999999997E-2</v>
      </c>
      <c r="L60" s="24"/>
      <c r="M60" s="21" t="s">
        <v>221</v>
      </c>
      <c r="N60" s="28" t="str">
        <f>"{'bhhl1', '"&amp;A60&amp;"*1',10,270,10,13,'火龙气息*1' }"</f>
        <v>{'bhhl1', '八荒火龙*1',10,270,10,13,'火龙气息*1'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5.8999999999999997E-2</v>
      </c>
      <c r="L61" s="24"/>
      <c r="M61" s="21" t="s">
        <v>221</v>
      </c>
      <c r="N61" s="28" t="str">
        <f>"{'yijie1', '"&amp;A61&amp;"*1',10,270,10,13,'地魂融血丹*1' }"</f>
        <v>{'yijie1', '一姐*1',10,270,10,13,'地魂融血丹*1'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5.8999999999999997E-2</v>
      </c>
      <c r="L62" s="24"/>
      <c r="M62" s="21" t="s">
        <v>221</v>
      </c>
      <c r="N62" s="28" t="str">
        <f>"{'yandi1', '"&amp;A62&amp;"*1',10,270,10,13,'天魂融血丹*1' }"</f>
        <v>{'yandi1', '炎帝*1',10,270,10,13,'天魂融血丹*1'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5.8999999999999997E-2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210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220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230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240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250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260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270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280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290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300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310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320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330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340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350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360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370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380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390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400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410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420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430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440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450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2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250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326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2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300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327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2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350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324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2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400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328</v>
      </c>
      <c r="B92" s="13" t="s">
        <v>333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8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450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329</v>
      </c>
      <c r="B93" s="13" t="s">
        <v>334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5.8999999999999997E-2</v>
      </c>
      <c r="L93" s="24"/>
      <c r="M93" s="21" t="s">
        <v>221</v>
      </c>
      <c r="N93" s="28" t="str">
        <f>"{'ronglian11', '"&amp;A93&amp;"*1',10,270,10,13,'一号熔炼石*1' }"</f>
        <v>{'ronglian11', '熔炼石boss1*1',10,270,10,13,'一号熔炼石*1'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330</v>
      </c>
      <c r="B94" s="13" t="s">
        <v>335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5.8999999999999997E-2</v>
      </c>
      <c r="L94" s="24"/>
      <c r="M94" s="21" t="s">
        <v>221</v>
      </c>
      <c r="N94" s="28" t="str">
        <f>"{'ronglian22', '"&amp;A94&amp;"*1',10,270,10,13,'二号熔炼石*1' }"</f>
        <v>{'ronglian22', '熔炼石boss2*1',10,270,10,13,'二号熔炼石*1' }</v>
      </c>
      <c r="P94" s="50">
        <f>P93*5</f>
        <v>195312500</v>
      </c>
      <c r="Q94" s="50">
        <f t="shared" ref="Q94:R95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331</v>
      </c>
      <c r="B95" s="13" t="s">
        <v>338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5.8999999999999997E-2</v>
      </c>
      <c r="L95" s="24"/>
      <c r="M95" s="21" t="s">
        <v>221</v>
      </c>
      <c r="N95" s="28" t="str">
        <f>"{'ronglian33', '"&amp;A95&amp;"*1',10,270,10,13,'三号熔炼石*1' }"</f>
        <v>{'ronglian33', '熔炼石boss3*1',10,270,10,13,'三号熔炼石*1'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332</v>
      </c>
      <c r="B96" s="13" t="s">
        <v>344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5.8999999999999997E-2</v>
      </c>
      <c r="L96" s="24"/>
      <c r="M96" s="21" t="s">
        <v>221</v>
      </c>
      <c r="N96" s="28" t="str">
        <f>"{'ronglian44', '"&amp;A96&amp;"*1',10,270,10,13,'四号熔炼石*1' }"</f>
        <v>{'ronglian44', '熔炼石boss4*1',10,270,10,13,'四号熔炼石*1' }</v>
      </c>
      <c r="P96" s="50">
        <f>P95*4</f>
        <v>3906250000</v>
      </c>
      <c r="Q96" s="50">
        <f t="shared" ref="Q96:R96" si="54">Q95*4</f>
        <v>63281.25</v>
      </c>
      <c r="R96" s="50">
        <f t="shared" si="54"/>
        <v>7812500000</v>
      </c>
      <c r="S96" s="27">
        <v>100</v>
      </c>
      <c r="T96" s="50">
        <v>440</v>
      </c>
      <c r="U96" s="58">
        <v>0.75</v>
      </c>
      <c r="V96" s="27">
        <f t="shared" si="40"/>
        <v>39062500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348</v>
      </c>
      <c r="B97" s="13" t="s">
        <v>346</v>
      </c>
      <c r="C97" s="47" t="s">
        <v>222</v>
      </c>
      <c r="D97" s="11" t="s">
        <v>350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359</v>
      </c>
      <c r="B98" s="13" t="s">
        <v>361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0.04</v>
      </c>
      <c r="M98" s="21" t="s">
        <v>221</v>
      </c>
      <c r="N98" s="25" t="str">
        <f>"{{'cbg2', '"&amp;A98&amp;"*14',1,270,1 },
{'cbg3', '"&amp;A98&amp;"*10',1,270,1 }
}"</f>
        <v>{{'cbg2', '藏宝阁小弟*14',1,270,1 },
{'cbg3', '藏宝阁小弟*10',1,270,1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5">T11</f>
        <v>350</v>
      </c>
      <c r="U98" s="57">
        <v>0.8</v>
      </c>
      <c r="V98" s="27">
        <f t="shared" si="40"/>
        <v>27324.000000000004</v>
      </c>
      <c r="W98" s="41">
        <f t="shared" si="55"/>
        <v>0</v>
      </c>
      <c r="X98" s="41">
        <f t="shared" si="55"/>
        <v>200</v>
      </c>
      <c r="Y98" s="41">
        <f t="shared" si="55"/>
        <v>50</v>
      </c>
      <c r="Z98" s="27">
        <v>0</v>
      </c>
      <c r="AA98" s="1">
        <v>20</v>
      </c>
      <c r="AB98" s="1">
        <v>500</v>
      </c>
      <c r="AC98" s="41">
        <f t="shared" ref="AC98:AD98" si="56">AC42</f>
        <v>0</v>
      </c>
      <c r="AD98" s="41">
        <f t="shared" si="56"/>
        <v>0</v>
      </c>
    </row>
    <row r="99" spans="1:31" ht="15" x14ac:dyDescent="0.15">
      <c r="A99" s="28" t="s">
        <v>360</v>
      </c>
      <c r="B99" s="13" t="s">
        <v>362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0.04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7">Q13*1.2</f>
        <v>1224.1152000000002</v>
      </c>
      <c r="R99" s="41">
        <f t="shared" si="57"/>
        <v>43718400.000000007</v>
      </c>
      <c r="S99" s="27">
        <v>100</v>
      </c>
      <c r="T99" s="41">
        <f t="shared" si="55"/>
        <v>350</v>
      </c>
      <c r="U99" s="57">
        <v>0.8</v>
      </c>
      <c r="V99" s="27">
        <f t="shared" si="40"/>
        <v>218592.00000000003</v>
      </c>
      <c r="W99" s="41">
        <f t="shared" si="55"/>
        <v>0</v>
      </c>
      <c r="X99" s="41">
        <f t="shared" si="55"/>
        <v>200</v>
      </c>
      <c r="Y99" s="41">
        <v>100</v>
      </c>
      <c r="Z99" s="27">
        <v>0</v>
      </c>
      <c r="AA99" s="41">
        <f t="shared" si="55"/>
        <v>20</v>
      </c>
      <c r="AB99" s="41">
        <v>2500</v>
      </c>
      <c r="AC99" s="41">
        <f t="shared" si="55"/>
        <v>0</v>
      </c>
      <c r="AD99" s="41">
        <f t="shared" si="55"/>
        <v>0</v>
      </c>
    </row>
    <row r="100" spans="1:31" ht="68.25" customHeight="1" x14ac:dyDescent="0.15">
      <c r="A100" s="28" t="s">
        <v>365</v>
      </c>
      <c r="B100" s="13" t="s">
        <v>367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0</v>
      </c>
      <c r="M100" s="21" t="s">
        <v>221</v>
      </c>
      <c r="N100" s="25" t="str">
        <f>"{{'cjg2', '"&amp;A100&amp;"*7',1,270,1 },
{'cjg3', '"&amp;A100&amp;"*7',1,270,1 },
{'cjg4', '"&amp;A100&amp;"*7',1,270,1 },
{'cjg5', '"&amp;A100&amp;"*7',1,270,1 }
}"</f>
        <v>{{'cjg2', '藏经阁小弟*7',1,270,1 },
{'cjg3', '藏经阁小弟*7',1,270,1 },
{'cjg4', '藏经阁小弟*7',1,270,1 },
{'cjg5', '藏经阁小弟*7',1,270,1 }
}</v>
      </c>
      <c r="P100" s="41">
        <f>P98*1.2</f>
        <v>13685760</v>
      </c>
      <c r="Q100" s="41">
        <f t="shared" ref="Q100:R100" si="58">Q98*1.2</f>
        <v>183.61728000000002</v>
      </c>
      <c r="R100" s="41">
        <f t="shared" si="58"/>
        <v>6557760.0000000009</v>
      </c>
      <c r="S100" s="27">
        <v>100</v>
      </c>
      <c r="T100" s="41">
        <f t="shared" ref="T100:Y100" si="59">T13</f>
        <v>350</v>
      </c>
      <c r="U100" s="57">
        <v>0.8</v>
      </c>
      <c r="V100" s="27">
        <f t="shared" si="40"/>
        <v>32788.800000000003</v>
      </c>
      <c r="W100" s="41">
        <f t="shared" si="59"/>
        <v>0</v>
      </c>
      <c r="X100" s="41">
        <f t="shared" si="59"/>
        <v>200</v>
      </c>
      <c r="Y100" s="41">
        <f t="shared" si="59"/>
        <v>50</v>
      </c>
      <c r="Z100" s="27">
        <v>0</v>
      </c>
      <c r="AA100" s="1">
        <v>20</v>
      </c>
      <c r="AB100" s="1">
        <v>600</v>
      </c>
      <c r="AC100" s="41">
        <f t="shared" ref="AC100:AD100" si="60">AC44</f>
        <v>0</v>
      </c>
      <c r="AD100" s="41">
        <f t="shared" si="60"/>
        <v>0</v>
      </c>
    </row>
    <row r="101" spans="1:31" ht="15" x14ac:dyDescent="0.15">
      <c r="A101" s="28" t="s">
        <v>366</v>
      </c>
      <c r="B101" s="13" t="s">
        <v>368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0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1">Q99*1.2</f>
        <v>1468.9382400000002</v>
      </c>
      <c r="R101" s="41">
        <f t="shared" si="61"/>
        <v>52462080.000000007</v>
      </c>
      <c r="S101" s="27">
        <v>100</v>
      </c>
      <c r="T101" s="41">
        <f t="shared" ref="T101:AD101" si="62">T14</f>
        <v>350</v>
      </c>
      <c r="U101" s="57">
        <v>0.8</v>
      </c>
      <c r="V101" s="27">
        <f t="shared" si="40"/>
        <v>262310.40000000002</v>
      </c>
      <c r="W101" s="41">
        <f t="shared" si="62"/>
        <v>0</v>
      </c>
      <c r="X101" s="41">
        <f t="shared" si="62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2"/>
        <v>0</v>
      </c>
      <c r="AD101" s="41">
        <f t="shared" si="62"/>
        <v>0</v>
      </c>
    </row>
    <row r="102" spans="1:31" s="1" customFormat="1" ht="43.5" customHeight="1" x14ac:dyDescent="0.15">
      <c r="A102" s="11" t="s">
        <v>369</v>
      </c>
      <c r="B102" s="13" t="s">
        <v>370</v>
      </c>
      <c r="C102" s="1" t="s">
        <v>220</v>
      </c>
      <c r="G102" s="1">
        <v>500</v>
      </c>
      <c r="J102" s="1">
        <v>500</v>
      </c>
      <c r="K102" s="48">
        <v>0.04</v>
      </c>
      <c r="L102" s="53"/>
      <c r="M102" s="21" t="s">
        <v>221</v>
      </c>
      <c r="N102" s="25" t="str">
        <f>"{{'jianzhong2', '"&amp;A102&amp;"*12',1,270,1 },
{'jianzhong3', '"&amp;A102&amp;"*12',1,270,1 }
}"</f>
        <v>{{'jianzhong2', '剑冢小弟*12',1,270,1 },
{'jianzhong3', '剑冢小弟*12',1,270,1 }
}</v>
      </c>
      <c r="O102" s="11"/>
      <c r="P102" s="41">
        <f>P100*1.2</f>
        <v>16422912</v>
      </c>
      <c r="Q102" s="41">
        <f t="shared" ref="Q102:R102" si="63">Q100*1.2</f>
        <v>220.34073600000002</v>
      </c>
      <c r="R102" s="41">
        <f t="shared" si="63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394</v>
      </c>
      <c r="B103" s="13" t="s">
        <v>371</v>
      </c>
      <c r="C103" s="1" t="s">
        <v>222</v>
      </c>
      <c r="G103" s="1">
        <v>500</v>
      </c>
      <c r="J103" s="1">
        <v>500</v>
      </c>
      <c r="K103" s="48">
        <v>0.04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4">P101*1.2</f>
        <v>131383296</v>
      </c>
      <c r="Q103" s="41">
        <f t="shared" si="64"/>
        <v>1762.7258880000002</v>
      </c>
      <c r="R103" s="41">
        <f t="shared" si="64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376</v>
      </c>
      <c r="B104" s="13" t="s">
        <v>378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0.02</v>
      </c>
      <c r="M104" s="21" t="s">
        <v>221</v>
      </c>
      <c r="N104" s="25" t="str">
        <f>"{{'bhg2', '"&amp;A104&amp;"*6',1,270,1 },
{'bhg3', '"&amp;A104&amp;"*7',1,270,1 },
{'bhg4', '"&amp;A104&amp;"*6',1,270,1 },
{'bhg5', '"&amp;A104&amp;"*7',1,270,1 },
{'bhg6', '"&amp;A104&amp;"*6',1,270,1 }
}"</f>
        <v>{{'bhg2', '百花宫宫女*6',1,270,1 },
{'bhg3', '百花宫宫女*7',1,270,1 },
{'bhg4', '百花宫宫女*6',1,270,1 },
{'bhg5', '百花宫宫女*7',1,270,1 },
{'bhg6', '百花宫宫女*6',1,270,1 }
}</v>
      </c>
      <c r="P104" s="41">
        <f t="shared" si="64"/>
        <v>19707494.399999999</v>
      </c>
      <c r="Q104" s="41">
        <f t="shared" si="64"/>
        <v>264.40888319999999</v>
      </c>
      <c r="R104" s="41">
        <f t="shared" si="64"/>
        <v>9443174.4000000004</v>
      </c>
      <c r="S104" s="27">
        <v>100</v>
      </c>
      <c r="T104" s="41">
        <f t="shared" ref="T104:Y104" si="65">T17</f>
        <v>350</v>
      </c>
      <c r="U104" s="57">
        <v>0.8</v>
      </c>
      <c r="V104" s="27">
        <f t="shared" si="40"/>
        <v>47215.872000000003</v>
      </c>
      <c r="W104" s="41">
        <f t="shared" si="65"/>
        <v>0</v>
      </c>
      <c r="X104" s="41">
        <f t="shared" si="65"/>
        <v>200</v>
      </c>
      <c r="Y104" s="41">
        <f t="shared" si="65"/>
        <v>50</v>
      </c>
      <c r="Z104" s="27">
        <v>0</v>
      </c>
      <c r="AA104" s="1">
        <v>20</v>
      </c>
      <c r="AB104" s="1">
        <v>800</v>
      </c>
      <c r="AC104" s="41">
        <f t="shared" ref="AC104:AD104" si="66">AC48</f>
        <v>0</v>
      </c>
      <c r="AD104" s="41">
        <f t="shared" si="66"/>
        <v>0</v>
      </c>
    </row>
    <row r="105" spans="1:31" ht="15" x14ac:dyDescent="0.15">
      <c r="A105" s="28" t="s">
        <v>377</v>
      </c>
      <c r="B105" s="13" t="s">
        <v>379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0.02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4"/>
        <v>157659955.19999999</v>
      </c>
      <c r="Q105" s="41">
        <f t="shared" si="64"/>
        <v>2115.2710655999999</v>
      </c>
      <c r="R105" s="41">
        <f t="shared" si="64"/>
        <v>75545395.200000003</v>
      </c>
      <c r="S105" s="27">
        <v>100</v>
      </c>
      <c r="T105" s="41">
        <f t="shared" ref="T105:AD105" si="67">T18</f>
        <v>350</v>
      </c>
      <c r="U105" s="57">
        <v>0.7</v>
      </c>
      <c r="V105" s="27">
        <f t="shared" si="40"/>
        <v>377726.97600000002</v>
      </c>
      <c r="W105" s="41">
        <f t="shared" si="67"/>
        <v>0</v>
      </c>
      <c r="X105" s="41">
        <f t="shared" si="67"/>
        <v>200</v>
      </c>
      <c r="Y105" s="41">
        <v>100</v>
      </c>
      <c r="Z105" s="27">
        <v>0</v>
      </c>
      <c r="AA105" s="41">
        <f t="shared" si="67"/>
        <v>20</v>
      </c>
      <c r="AB105" s="41">
        <v>3250</v>
      </c>
      <c r="AC105" s="41">
        <v>20</v>
      </c>
      <c r="AD105" s="41">
        <f t="shared" si="67"/>
        <v>0</v>
      </c>
    </row>
    <row r="106" spans="1:31" ht="94.5" x14ac:dyDescent="0.15">
      <c r="A106" s="28" t="s">
        <v>381</v>
      </c>
      <c r="B106" s="13" t="s">
        <v>383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0.04</v>
      </c>
      <c r="M106" s="21" t="s">
        <v>221</v>
      </c>
      <c r="N106" s="25" t="str">
        <f>"{{'longgong2', '"&amp;A106&amp;"*8',1,nil,1 },
{'longgong3', '"&amp;A106&amp;"*8',1,270,1 },
{'longgong4', '"&amp;A106&amp;"*8',1,270,1 },
{'longgong5', '"&amp;A106&amp;"*8',1,270,1 },
{'longgong6', '"&amp;A106&amp;"*8',1,270,1 },
{'longgong7', '"&amp;A106&amp;"*8',1,270,1 }
}"</f>
        <v>{{'longgong2', '龙宫守卫*8',1,nil,1 },
{'longgong3', '龙宫守卫*8',1,270,1 },
{'longgong4', '龙宫守卫*8',1,270,1 },
{'longgong5', '龙宫守卫*8',1,270,1 },
{'longgong6', '龙宫守卫*8',1,270,1 },
{'longgong7', '龙宫守卫*8',1,270,1 }
}</v>
      </c>
      <c r="P106" s="41">
        <f t="shared" si="64"/>
        <v>23648993.279999997</v>
      </c>
      <c r="Q106" s="41">
        <f t="shared" si="64"/>
        <v>317.29065983999999</v>
      </c>
      <c r="R106" s="41">
        <f t="shared" si="64"/>
        <v>11331809.279999999</v>
      </c>
      <c r="S106" s="27">
        <v>100</v>
      </c>
      <c r="T106" s="41">
        <f t="shared" ref="T106:Y106" si="68">T19</f>
        <v>350</v>
      </c>
      <c r="U106" s="57">
        <v>0.8</v>
      </c>
      <c r="V106" s="27">
        <f t="shared" si="40"/>
        <v>56659.046399999999</v>
      </c>
      <c r="W106" s="41">
        <f t="shared" si="68"/>
        <v>0</v>
      </c>
      <c r="X106" s="41">
        <f t="shared" si="68"/>
        <v>200</v>
      </c>
      <c r="Y106" s="41">
        <f t="shared" si="68"/>
        <v>50</v>
      </c>
      <c r="Z106" s="27">
        <v>0</v>
      </c>
      <c r="AA106" s="1">
        <v>20</v>
      </c>
      <c r="AB106" s="1">
        <v>900</v>
      </c>
      <c r="AC106" s="41">
        <f t="shared" ref="AC106:AD106" si="69">AC50</f>
        <v>0</v>
      </c>
      <c r="AD106" s="41">
        <f t="shared" si="69"/>
        <v>0</v>
      </c>
    </row>
    <row r="107" spans="1:31" ht="15" x14ac:dyDescent="0.15">
      <c r="A107" s="28" t="s">
        <v>382</v>
      </c>
      <c r="B107" s="13" t="s">
        <v>384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0.04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4"/>
        <v>189191946.23999998</v>
      </c>
      <c r="Q107" s="41">
        <f t="shared" si="64"/>
        <v>2538.3252787199999</v>
      </c>
      <c r="R107" s="41">
        <f t="shared" si="64"/>
        <v>90654474.239999995</v>
      </c>
      <c r="S107" s="27">
        <v>100</v>
      </c>
      <c r="T107" s="41">
        <f t="shared" ref="T107:AA107" si="70">T20</f>
        <v>350</v>
      </c>
      <c r="U107" s="57">
        <v>0.7</v>
      </c>
      <c r="V107" s="27">
        <f t="shared" si="40"/>
        <v>453272.37119999999</v>
      </c>
      <c r="W107" s="41">
        <f t="shared" si="70"/>
        <v>0</v>
      </c>
      <c r="X107" s="41">
        <f t="shared" si="70"/>
        <v>200</v>
      </c>
      <c r="Y107" s="41">
        <v>100</v>
      </c>
      <c r="Z107" s="27">
        <v>0</v>
      </c>
      <c r="AA107" s="41">
        <f t="shared" si="70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387</v>
      </c>
      <c r="B108" s="13" t="s">
        <v>389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0.04</v>
      </c>
      <c r="M108" s="21" t="s">
        <v>221</v>
      </c>
      <c r="N108" s="25" t="str">
        <f>"{{'zeds2', '"&amp;A108&amp;"*7',1,nil,1 },
{'zeds3', '"&amp;A108&amp;"*7',1,nil,1 },
{'zeds4', '"&amp;A108&amp;"*7',1,nil,1 },
{'zeds5', '"&amp;A108&amp;"*7',1,nil,1 },
{'zeds6', '"&amp;A108&amp;"*7',1,nil,1 }
}"</f>
        <v>{{'zeds2', '城堡守卫*7',1,nil,1 },
{'zeds3', '城堡守卫*7',1,nil,1 },
{'zeds4', '城堡守卫*7',1,nil,1 },
{'zeds5', '城堡守卫*7',1,nil,1 },
{'zeds6', '城堡守卫*7',1,nil,1 }
}</v>
      </c>
      <c r="P108" s="41">
        <f t="shared" si="64"/>
        <v>28378791.935999997</v>
      </c>
      <c r="Q108" s="41">
        <f t="shared" si="64"/>
        <v>380.74879180799996</v>
      </c>
      <c r="R108" s="41">
        <f t="shared" si="64"/>
        <v>13598171.135999998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67990.855679999993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388</v>
      </c>
      <c r="B109" s="13" t="s">
        <v>390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5.8999999999999997E-2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4"/>
        <v>227030335.48799998</v>
      </c>
      <c r="Q109" s="41">
        <f>Q107*1.2</f>
        <v>3045.9903344639997</v>
      </c>
      <c r="R109" s="41">
        <f t="shared" si="64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395</v>
      </c>
      <c r="B110" s="13" t="s">
        <v>405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5.8999999999999997E-2</v>
      </c>
      <c r="M110" s="21" t="s">
        <v>221</v>
      </c>
      <c r="N110" s="28"/>
      <c r="P110" s="41">
        <f>P109*1.5</f>
        <v>340545503.23199999</v>
      </c>
      <c r="Q110" s="41">
        <f t="shared" ref="Q110:R110" si="74">Q109*1.5</f>
        <v>4568.9855016959991</v>
      </c>
      <c r="R110" s="41">
        <f t="shared" si="74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3"/>
        <v>200</v>
      </c>
      <c r="Y110" s="41">
        <v>150</v>
      </c>
      <c r="Z110" s="27">
        <v>0</v>
      </c>
      <c r="AA110" s="41">
        <f t="shared" si="73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396</v>
      </c>
      <c r="B111" s="13" t="s">
        <v>406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5.8999999999999997E-2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3"/>
        <v>200</v>
      </c>
      <c r="Y111" s="41">
        <v>150</v>
      </c>
      <c r="Z111" s="27">
        <v>0</v>
      </c>
      <c r="AA111" s="41">
        <f t="shared" si="73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397</v>
      </c>
      <c r="B112" s="13" t="s">
        <v>407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5.8999999999999997E-2</v>
      </c>
      <c r="M112" s="21" t="s">
        <v>221</v>
      </c>
      <c r="N112" s="28"/>
      <c r="P112" s="41">
        <f t="shared" ref="P112:P119" si="75">P111*1.1</f>
        <v>412060058.91072005</v>
      </c>
      <c r="Q112" s="41">
        <f t="shared" ref="Q112:Q119" si="76">Q111*1.2</f>
        <v>6579.3391224422385</v>
      </c>
      <c r="R112" s="41">
        <f t="shared" ref="R112:R119" si="77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3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398</v>
      </c>
      <c r="B113" s="13" t="s">
        <v>408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5.8999999999999997E-2</v>
      </c>
      <c r="M113" s="21" t="s">
        <v>221</v>
      </c>
      <c r="N113" s="28"/>
      <c r="P113" s="41">
        <f t="shared" si="75"/>
        <v>453266064.80179209</v>
      </c>
      <c r="Q113" s="41">
        <f t="shared" si="76"/>
        <v>7895.2069469306862</v>
      </c>
      <c r="R113" s="41">
        <f t="shared" si="77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3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399</v>
      </c>
      <c r="B114" s="13" t="s">
        <v>409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5.8999999999999997E-2</v>
      </c>
      <c r="M114" s="21" t="s">
        <v>221</v>
      </c>
      <c r="N114" s="28"/>
      <c r="P114" s="41">
        <f t="shared" si="75"/>
        <v>498592671.28197134</v>
      </c>
      <c r="Q114" s="41">
        <f t="shared" si="76"/>
        <v>9474.248336316823</v>
      </c>
      <c r="R114" s="41">
        <f t="shared" si="77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400</v>
      </c>
      <c r="B115" s="13" t="s">
        <v>410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5.8999999999999997E-2</v>
      </c>
      <c r="M115" s="21" t="s">
        <v>221</v>
      </c>
      <c r="N115" s="28"/>
      <c r="P115" s="41">
        <f t="shared" si="75"/>
        <v>548451938.41016853</v>
      </c>
      <c r="Q115" s="41">
        <f t="shared" si="76"/>
        <v>11369.098003580188</v>
      </c>
      <c r="R115" s="41">
        <f t="shared" si="77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3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401</v>
      </c>
      <c r="B116" s="13" t="s">
        <v>411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5.8999999999999997E-2</v>
      </c>
      <c r="M116" s="21" t="s">
        <v>221</v>
      </c>
      <c r="N116" s="28"/>
      <c r="P116" s="41">
        <f t="shared" si="75"/>
        <v>603297132.25118542</v>
      </c>
      <c r="Q116" s="41">
        <f t="shared" si="76"/>
        <v>13642.917604296224</v>
      </c>
      <c r="R116" s="41">
        <f t="shared" si="77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3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402</v>
      </c>
      <c r="B117" s="13" t="s">
        <v>412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5.8999999999999997E-2</v>
      </c>
      <c r="M117" s="21" t="s">
        <v>221</v>
      </c>
      <c r="N117" s="28"/>
      <c r="P117" s="41">
        <f t="shared" si="75"/>
        <v>663626845.47630405</v>
      </c>
      <c r="Q117" s="41">
        <f t="shared" si="76"/>
        <v>16371.501125155468</v>
      </c>
      <c r="R117" s="41">
        <f t="shared" si="77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3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403</v>
      </c>
      <c r="B118" s="13" t="s">
        <v>413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5.8999999999999997E-2</v>
      </c>
      <c r="M118" s="21" t="s">
        <v>221</v>
      </c>
      <c r="N118" s="28"/>
      <c r="P118" s="41">
        <f t="shared" si="75"/>
        <v>729989530.02393448</v>
      </c>
      <c r="Q118" s="41">
        <f t="shared" si="76"/>
        <v>19645.801350186561</v>
      </c>
      <c r="R118" s="41">
        <f t="shared" si="77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3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404</v>
      </c>
      <c r="B119" s="13" t="s">
        <v>414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5.8999999999999997E-2</v>
      </c>
      <c r="M119" s="21" t="s">
        <v>221</v>
      </c>
      <c r="N119" s="28"/>
      <c r="P119" s="41">
        <f t="shared" si="75"/>
        <v>802988483.02632797</v>
      </c>
      <c r="Q119" s="41">
        <f t="shared" si="76"/>
        <v>23574.961620223872</v>
      </c>
      <c r="R119" s="41">
        <f t="shared" si="77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446</v>
      </c>
      <c r="B120" s="13" t="s">
        <v>427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5.8999999999999997E-2</v>
      </c>
      <c r="M120" s="21" t="s">
        <v>221</v>
      </c>
      <c r="N120" s="28" t="str">
        <f>"{'shoulei12', '"&amp;A120&amp;"*1',10,270,10,13 }"</f>
        <v>{'shoulei12', '二郎侍卫1*1',10,270,10,13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8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9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447</v>
      </c>
      <c r="B121" s="13" t="s">
        <v>428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5.8999999999999997E-2</v>
      </c>
      <c r="M121" s="21" t="s">
        <v>221</v>
      </c>
      <c r="N121" s="28" t="str">
        <f>"{'shoulei13', '"&amp;A121&amp;"*1',10,270,10,13 }"</f>
        <v>{'shoulei13', '二郎侍卫2*1',10,270,10,13 }</v>
      </c>
      <c r="P121" s="41">
        <f>P120*1.02</f>
        <v>900953077.95554006</v>
      </c>
      <c r="Q121" s="41">
        <f t="shared" ref="Q121:R121" si="80">Q120*1.02</f>
        <v>26451.106937891185</v>
      </c>
      <c r="R121" s="41">
        <f t="shared" si="80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1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448</v>
      </c>
      <c r="B122" s="13" t="s">
        <v>429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5.8999999999999997E-2</v>
      </c>
      <c r="M122" s="21" t="s">
        <v>221</v>
      </c>
      <c r="N122" s="28" t="str">
        <f>"{'shoulei14', '"&amp;A122&amp;"*1',10,270,10,13 }"</f>
        <v>{'shoulei14', '二郎侍卫3*1',10,270,10,13 }</v>
      </c>
      <c r="P122" s="41">
        <f t="shared" ref="P122:R128" si="82">P121*1.02</f>
        <v>918972139.51465082</v>
      </c>
      <c r="Q122" s="41">
        <f t="shared" si="82"/>
        <v>26980.129076649009</v>
      </c>
      <c r="R122" s="41">
        <f t="shared" si="82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3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449</v>
      </c>
      <c r="B123" s="13" t="s">
        <v>430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5.8999999999999997E-2</v>
      </c>
      <c r="M123" s="21" t="s">
        <v>221</v>
      </c>
      <c r="N123" s="28" t="str">
        <f>"{'shoulei15', '"&amp;A123&amp;"*1',10,270,10,13 }"</f>
        <v>{'shoulei15', '二郎侍卫4*1',10,270,10,13 }</v>
      </c>
      <c r="P123" s="41">
        <f t="shared" si="82"/>
        <v>937351582.3049438</v>
      </c>
      <c r="Q123" s="41">
        <f t="shared" si="82"/>
        <v>27519.73165818199</v>
      </c>
      <c r="R123" s="41">
        <f t="shared" si="82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4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421</v>
      </c>
      <c r="B124" s="13" t="s">
        <v>431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5.8999999999999997E-2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5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451</v>
      </c>
      <c r="B125" s="13" t="s">
        <v>432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5.8999999999999997E-2</v>
      </c>
      <c r="M125" s="21" t="s">
        <v>221</v>
      </c>
      <c r="N125" s="28" t="str">
        <f>"{'shoulei22', '"&amp;A125&amp;"*1',10,270,10,13 }"</f>
        <v>{'shoulei22', '七郎侍卫1*1',10,270,10,13 }</v>
      </c>
      <c r="P125" s="41">
        <f t="shared" si="82"/>
        <v>1003903544.6485949</v>
      </c>
      <c r="Q125" s="41">
        <f t="shared" ref="Q125:R125" si="86">Q124*1.02</f>
        <v>29473.632605912913</v>
      </c>
      <c r="R125" s="41">
        <f t="shared" si="86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7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452</v>
      </c>
      <c r="B126" s="13" t="s">
        <v>433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5.8999999999999997E-2</v>
      </c>
      <c r="M126" s="21" t="s">
        <v>221</v>
      </c>
      <c r="N126" s="28" t="str">
        <f>"{'shoulei23', '"&amp;A126&amp;"*1',10,270,10,13 }"</f>
        <v>{'shoulei23', '七郎侍卫2*1',10,270,10,13 }</v>
      </c>
      <c r="P126" s="41">
        <f t="shared" si="82"/>
        <v>1023981615.5415667</v>
      </c>
      <c r="Q126" s="41">
        <f t="shared" ref="Q126:R126" si="88">Q125*1.02</f>
        <v>30063.105258031173</v>
      </c>
      <c r="R126" s="41">
        <f t="shared" si="88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9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453</v>
      </c>
      <c r="B127" s="13" t="s">
        <v>434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5.8999999999999997E-2</v>
      </c>
      <c r="M127" s="21" t="s">
        <v>221</v>
      </c>
      <c r="N127" s="28" t="str">
        <f>"{'shoulei24', '"&amp;A127&amp;"*1',10,270,10,13 }"</f>
        <v>{'shoulei24', '七郎侍卫3*1',10,270,10,13 }</v>
      </c>
      <c r="P127" s="41">
        <f t="shared" si="82"/>
        <v>1044461247.852398</v>
      </c>
      <c r="Q127" s="41">
        <f t="shared" ref="Q127:R127" si="90">Q126*1.02</f>
        <v>30664.367363191799</v>
      </c>
      <c r="R127" s="41">
        <f t="shared" si="90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1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454</v>
      </c>
      <c r="B128" s="13" t="s">
        <v>435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5.8999999999999997E-2</v>
      </c>
      <c r="M128" s="21" t="s">
        <v>221</v>
      </c>
      <c r="N128" s="28" t="str">
        <f>"{'shoulei25', '"&amp;A128&amp;"*1',10,270,10,13 }"</f>
        <v>{'shoulei25', '七郎侍卫4*1',10,270,10,13 }</v>
      </c>
      <c r="P128" s="41">
        <f t="shared" si="82"/>
        <v>1065350472.809446</v>
      </c>
      <c r="Q128" s="41">
        <f t="shared" ref="Q128:R128" si="92">Q127*1.02</f>
        <v>31277.654710455634</v>
      </c>
      <c r="R128" s="41">
        <f t="shared" si="92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3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450</v>
      </c>
      <c r="B129" s="13" t="s">
        <v>436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5.8999999999999997E-2</v>
      </c>
      <c r="M129" s="21" t="s">
        <v>221</v>
      </c>
      <c r="N129" s="28"/>
      <c r="P129" s="41">
        <f>P128*1.05</f>
        <v>1118617996.4499183</v>
      </c>
      <c r="Q129" s="41">
        <f t="shared" ref="Q129:R129" si="94">Q128*1.05</f>
        <v>32841.537445978414</v>
      </c>
      <c r="R129" s="41">
        <f t="shared" si="94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5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455</v>
      </c>
      <c r="B130" s="13" t="s">
        <v>494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5.8999999999999997E-2</v>
      </c>
      <c r="M130" s="21" t="s">
        <v>221</v>
      </c>
      <c r="N130" s="28" t="str">
        <f>"{'shoulei32', '"&amp;A130&amp;"*1',10,270,10,13 }"</f>
        <v>{'shoulei32', '判官侍卫1*1',10,270,10,13 }</v>
      </c>
      <c r="P130" s="41">
        <f t="shared" ref="P130:R130" si="96">P129*1.02</f>
        <v>1140990356.3789167</v>
      </c>
      <c r="Q130" s="41">
        <f t="shared" si="96"/>
        <v>33498.368194897987</v>
      </c>
      <c r="R130" s="41">
        <f t="shared" si="96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7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456</v>
      </c>
      <c r="B131" s="13" t="s">
        <v>495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5.8999999999999997E-2</v>
      </c>
      <c r="M131" s="21" t="s">
        <v>221</v>
      </c>
      <c r="N131" s="28" t="str">
        <f>"{'shoulei33', '"&amp;A131&amp;"*1',10,270,10,13 }"</f>
        <v>{'shoulei33', '判官侍卫2*1',10,270,10,13 }</v>
      </c>
      <c r="P131" s="41">
        <f t="shared" ref="P131:R131" si="98">P130*1.02</f>
        <v>1163810163.506495</v>
      </c>
      <c r="Q131" s="41">
        <f t="shared" si="98"/>
        <v>34168.335558795945</v>
      </c>
      <c r="R131" s="41">
        <f t="shared" si="98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9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457</v>
      </c>
      <c r="B132" s="13" t="s">
        <v>496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5.8999999999999997E-2</v>
      </c>
      <c r="M132" s="21" t="s">
        <v>221</v>
      </c>
      <c r="N132" s="28" t="str">
        <f>"{'shoulei34', '"&amp;A132&amp;"*1',10,270,10,13 }"</f>
        <v>{'shoulei34', '判官侍卫3*1',10,270,10,13 }</v>
      </c>
      <c r="P132" s="41">
        <f t="shared" ref="P132:R132" si="100">P131*1.02</f>
        <v>1187086366.7766249</v>
      </c>
      <c r="Q132" s="41">
        <f t="shared" si="100"/>
        <v>34851.702269971865</v>
      </c>
      <c r="R132" s="41">
        <f t="shared" si="100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1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458</v>
      </c>
      <c r="B133" s="13" t="s">
        <v>497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5.8999999999999997E-2</v>
      </c>
      <c r="M133" s="21" t="s">
        <v>221</v>
      </c>
      <c r="N133" s="28" t="str">
        <f>"{'shoulei35', '"&amp;A133&amp;"*1',10,270,10,13 }"</f>
        <v>{'shoulei35', '判官侍卫4*1',10,270,10,13 }</v>
      </c>
      <c r="P133" s="41">
        <f t="shared" ref="P133:R133" si="102">P132*1.02</f>
        <v>1210828094.1121573</v>
      </c>
      <c r="Q133" s="41">
        <f t="shared" si="102"/>
        <v>35548.736315371301</v>
      </c>
      <c r="R133" s="41">
        <f t="shared" si="102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3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422</v>
      </c>
      <c r="B134" s="13" t="s">
        <v>498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5.8999999999999997E-2</v>
      </c>
      <c r="M134" s="21" t="s">
        <v>221</v>
      </c>
      <c r="N134" s="28"/>
      <c r="P134" s="41">
        <f>P133*1.05</f>
        <v>1271369498.8177652</v>
      </c>
      <c r="Q134" s="41">
        <f t="shared" ref="Q134" si="104">Q133*1.05</f>
        <v>37326.173131139869</v>
      </c>
      <c r="R134" s="41">
        <f t="shared" ref="R134" si="105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6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460</v>
      </c>
      <c r="B135" s="13" t="s">
        <v>499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5.8999999999999997E-2</v>
      </c>
      <c r="M135" s="21" t="s">
        <v>221</v>
      </c>
      <c r="N135" s="28" t="str">
        <f>"{'shoulei42', '"&amp;A135&amp;"*1',10,270,10,13 }"</f>
        <v>{'shoulei42', '马面侍卫1*1',10,270,10,13 }</v>
      </c>
      <c r="P135" s="41">
        <f t="shared" ref="P135:R135" si="107">P134*1.02</f>
        <v>1296796888.7941206</v>
      </c>
      <c r="Q135" s="41">
        <f t="shared" si="107"/>
        <v>38072.696593762666</v>
      </c>
      <c r="R135" s="41">
        <f t="shared" si="107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8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461</v>
      </c>
      <c r="B136" s="13" t="s">
        <v>500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5.8999999999999997E-2</v>
      </c>
      <c r="M136" s="21" t="s">
        <v>221</v>
      </c>
      <c r="N136" s="28" t="str">
        <f>"{'shoulei43', '"&amp;A136&amp;"*1',10,270,10,13 }"</f>
        <v>{'shoulei43', '马面侍卫2*1',10,270,10,13 }</v>
      </c>
      <c r="P136" s="41">
        <f t="shared" ref="P136:R136" si="109">P135*1.02</f>
        <v>1322732826.570003</v>
      </c>
      <c r="Q136" s="41">
        <f t="shared" si="109"/>
        <v>38834.150525637917</v>
      </c>
      <c r="R136" s="41">
        <f t="shared" si="109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10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462</v>
      </c>
      <c r="B137" s="13" t="s">
        <v>501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5.8999999999999997E-2</v>
      </c>
      <c r="M137" s="21" t="s">
        <v>221</v>
      </c>
      <c r="N137" s="28" t="str">
        <f>"{'shoulei44', '"&amp;A137&amp;"*1',10,270,10,13 }"</f>
        <v>{'shoulei44', '马面侍卫3*1',10,270,10,13 }</v>
      </c>
      <c r="P137" s="41">
        <f t="shared" ref="P137:R137" si="111">P136*1.02</f>
        <v>1349187483.101403</v>
      </c>
      <c r="Q137" s="41">
        <f t="shared" si="111"/>
        <v>39610.833536150676</v>
      </c>
      <c r="R137" s="41">
        <f t="shared" si="111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2">R137*0.005</f>
        <v>7073363.1314554764</v>
      </c>
      <c r="W137" s="41">
        <v>0</v>
      </c>
      <c r="X137" s="41">
        <f t="shared" ref="X137" si="113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463</v>
      </c>
      <c r="B138" s="13" t="s">
        <v>502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5.8999999999999997E-2</v>
      </c>
      <c r="M138" s="21" t="s">
        <v>221</v>
      </c>
      <c r="N138" s="28" t="str">
        <f>"{'shoulei45', '"&amp;A138&amp;"*1',10,270,10,13 }"</f>
        <v>{'shoulei45', '马面侍卫4*1',10,270,10,13 }</v>
      </c>
      <c r="P138" s="41">
        <f t="shared" ref="P138:R138" si="114">P137*1.02</f>
        <v>1376171232.7634311</v>
      </c>
      <c r="Q138" s="41">
        <f t="shared" si="114"/>
        <v>40403.05020687369</v>
      </c>
      <c r="R138" s="41">
        <f t="shared" si="114"/>
        <v>1442966078.8169172</v>
      </c>
      <c r="S138" s="27">
        <v>100</v>
      </c>
      <c r="T138" s="52">
        <v>450</v>
      </c>
      <c r="U138" s="57">
        <v>0.7</v>
      </c>
      <c r="V138" s="27">
        <f t="shared" si="112"/>
        <v>7214830.3940845858</v>
      </c>
      <c r="W138" s="41">
        <v>0</v>
      </c>
      <c r="X138" s="41">
        <f t="shared" ref="X138" si="115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459</v>
      </c>
      <c r="B139" s="13" t="s">
        <v>503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5.8999999999999997E-2</v>
      </c>
      <c r="M139" s="21" t="s">
        <v>221</v>
      </c>
      <c r="N139" s="28"/>
      <c r="P139" s="41">
        <f>P138*1.05</f>
        <v>1444979794.4016027</v>
      </c>
      <c r="Q139" s="41">
        <f t="shared" ref="Q139" si="116">Q138*1.05</f>
        <v>42423.202717217377</v>
      </c>
      <c r="R139" s="41">
        <f t="shared" ref="R139" si="117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2"/>
        <v>7575571.913788816</v>
      </c>
      <c r="W139" s="41">
        <v>0</v>
      </c>
      <c r="X139" s="41">
        <f t="shared" ref="X139" si="118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465</v>
      </c>
      <c r="B140" s="13" t="s">
        <v>504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5.8999999999999997E-2</v>
      </c>
      <c r="M140" s="21" t="s">
        <v>221</v>
      </c>
      <c r="N140" s="28" t="str">
        <f>"{'shoulei52', '"&amp;A140&amp;"*1',10,270,10,13 }"</f>
        <v>{'shoulei52', '牛头侍卫1*1',10,270,10,13 }</v>
      </c>
      <c r="P140" s="41">
        <f t="shared" ref="P140:R140" si="119">P139*1.02</f>
        <v>1473879390.2896349</v>
      </c>
      <c r="Q140" s="41">
        <f t="shared" si="119"/>
        <v>43271.666771561722</v>
      </c>
      <c r="R140" s="41">
        <f t="shared" si="119"/>
        <v>1545416670.4129183</v>
      </c>
      <c r="S140" s="27">
        <v>100</v>
      </c>
      <c r="T140" s="52">
        <v>450</v>
      </c>
      <c r="U140" s="57">
        <v>0.7</v>
      </c>
      <c r="V140" s="27">
        <f t="shared" si="112"/>
        <v>7727083.3520645918</v>
      </c>
      <c r="W140" s="41">
        <v>0</v>
      </c>
      <c r="X140" s="41">
        <f t="shared" ref="X140" si="120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466</v>
      </c>
      <c r="B141" s="13" t="s">
        <v>505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5.8999999999999997E-2</v>
      </c>
      <c r="M141" s="21" t="s">
        <v>221</v>
      </c>
      <c r="N141" s="28" t="str">
        <f>"{'shoulei53', '"&amp;A141&amp;"*1',10,270,10,13 }"</f>
        <v>{'shoulei53', '牛头侍卫2*1',10,270,10,13 }</v>
      </c>
      <c r="P141" s="41">
        <f t="shared" ref="P141:R141" si="121">P140*1.02</f>
        <v>1503356978.0954278</v>
      </c>
      <c r="Q141" s="41">
        <f t="shared" si="121"/>
        <v>44137.100106992955</v>
      </c>
      <c r="R141" s="41">
        <f t="shared" si="121"/>
        <v>1576325003.8211768</v>
      </c>
      <c r="S141" s="27">
        <v>100</v>
      </c>
      <c r="T141" s="52">
        <v>450</v>
      </c>
      <c r="U141" s="57">
        <v>0.7</v>
      </c>
      <c r="V141" s="27">
        <f t="shared" si="112"/>
        <v>7881625.0191058842</v>
      </c>
      <c r="W141" s="41">
        <v>0</v>
      </c>
      <c r="X141" s="41">
        <f t="shared" ref="X141" si="122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467</v>
      </c>
      <c r="B142" s="13" t="s">
        <v>506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5.8999999999999997E-2</v>
      </c>
      <c r="M142" s="21" t="s">
        <v>221</v>
      </c>
      <c r="N142" s="28" t="str">
        <f>"{'shoulei54', '"&amp;A142&amp;"*1',10,270,10,13 }"</f>
        <v>{'shoulei54', '牛头侍卫3*1',10,270,10,13 }</v>
      </c>
      <c r="P142" s="41">
        <f t="shared" ref="P142:R142" si="123">P141*1.02</f>
        <v>1533424117.6573362</v>
      </c>
      <c r="Q142" s="41">
        <f t="shared" si="123"/>
        <v>45019.842109132813</v>
      </c>
      <c r="R142" s="41">
        <f t="shared" si="123"/>
        <v>1607851503.8976004</v>
      </c>
      <c r="S142" s="27">
        <v>100</v>
      </c>
      <c r="T142" s="52">
        <v>450</v>
      </c>
      <c r="U142" s="57">
        <v>0.7</v>
      </c>
      <c r="V142" s="27">
        <f t="shared" si="112"/>
        <v>8039257.5194880022</v>
      </c>
      <c r="W142" s="41">
        <v>0</v>
      </c>
      <c r="X142" s="41">
        <f t="shared" ref="X142" si="124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468</v>
      </c>
      <c r="B143" s="13" t="s">
        <v>507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5.8999999999999997E-2</v>
      </c>
      <c r="M143" s="21" t="s">
        <v>221</v>
      </c>
      <c r="N143" s="28" t="str">
        <f>"{'shoulei55', '"&amp;A143&amp;"*1',10,270,10,13 }"</f>
        <v>{'shoulei55', '牛头侍卫4*1',10,270,10,13 }</v>
      </c>
      <c r="P143" s="41">
        <f t="shared" ref="P143:R143" si="125">P142*1.02</f>
        <v>1564092600.010483</v>
      </c>
      <c r="Q143" s="41">
        <f t="shared" si="125"/>
        <v>45920.23895131547</v>
      </c>
      <c r="R143" s="41">
        <f t="shared" si="125"/>
        <v>1640008533.9755526</v>
      </c>
      <c r="S143" s="27">
        <v>100</v>
      </c>
      <c r="T143" s="52">
        <v>450</v>
      </c>
      <c r="U143" s="57">
        <v>0.7</v>
      </c>
      <c r="V143" s="27">
        <f t="shared" si="112"/>
        <v>8200042.6698777629</v>
      </c>
      <c r="W143" s="41">
        <v>0</v>
      </c>
      <c r="X143" s="41">
        <f t="shared" ref="X143" si="126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464</v>
      </c>
      <c r="B144" s="13" t="s">
        <v>508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5.8999999999999997E-2</v>
      </c>
      <c r="M144" s="21" t="s">
        <v>221</v>
      </c>
      <c r="N144" s="28"/>
      <c r="P144" s="41">
        <f>P143*1.05</f>
        <v>1642297230.0110073</v>
      </c>
      <c r="Q144" s="41">
        <f t="shared" ref="Q144" si="127">Q143*1.05</f>
        <v>48216.250898881248</v>
      </c>
      <c r="R144" s="41">
        <f t="shared" ref="R144" si="128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2"/>
        <v>8610044.8033716511</v>
      </c>
      <c r="W144" s="41">
        <v>0</v>
      </c>
      <c r="X144" s="41">
        <f t="shared" ref="X144" si="129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470</v>
      </c>
      <c r="B145" s="13" t="s">
        <v>509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5.8999999999999997E-2</v>
      </c>
      <c r="M145" s="21" t="s">
        <v>221</v>
      </c>
      <c r="N145" s="28" t="str">
        <f>"{'shoulei62', '"&amp;A145&amp;"*1',10,270,10,13 }"</f>
        <v>{'shoulei62', '夜叉侍卫1*1',10,270,10,13 }</v>
      </c>
      <c r="P145" s="41">
        <f t="shared" ref="P145:R145" si="130">P144*1.02</f>
        <v>1675143174.6112275</v>
      </c>
      <c r="Q145" s="41">
        <f t="shared" si="130"/>
        <v>49180.57591685887</v>
      </c>
      <c r="R145" s="41">
        <f t="shared" si="130"/>
        <v>1756449139.8878169</v>
      </c>
      <c r="S145" s="27">
        <v>100</v>
      </c>
      <c r="T145" s="52">
        <v>450</v>
      </c>
      <c r="U145" s="57">
        <v>0.7</v>
      </c>
      <c r="V145" s="27">
        <f t="shared" si="112"/>
        <v>8782245.6994390842</v>
      </c>
      <c r="W145" s="41">
        <v>0</v>
      </c>
      <c r="X145" s="41">
        <f t="shared" ref="X145" si="131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471</v>
      </c>
      <c r="B146" s="13" t="s">
        <v>510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5.8999999999999997E-2</v>
      </c>
      <c r="M146" s="21" t="s">
        <v>221</v>
      </c>
      <c r="N146" s="28" t="str">
        <f>"{'shoulei63', '"&amp;A146&amp;"*1',10,270,10,13 }"</f>
        <v>{'shoulei63', '夜叉侍卫2*1',10,270,10,13 }</v>
      </c>
      <c r="P146" s="41">
        <f t="shared" ref="P146:R146" si="132">P145*1.02</f>
        <v>1708646038.1034522</v>
      </c>
      <c r="Q146" s="41">
        <f t="shared" si="132"/>
        <v>50164.187435196051</v>
      </c>
      <c r="R146" s="41">
        <f t="shared" si="132"/>
        <v>1791578122.6855733</v>
      </c>
      <c r="S146" s="27">
        <v>100</v>
      </c>
      <c r="T146" s="52">
        <v>450</v>
      </c>
      <c r="U146" s="57">
        <v>0.7</v>
      </c>
      <c r="V146" s="27">
        <f t="shared" si="112"/>
        <v>8957890.6134278663</v>
      </c>
      <c r="W146" s="41">
        <v>0</v>
      </c>
      <c r="X146" s="41">
        <f t="shared" ref="X146" si="133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472</v>
      </c>
      <c r="B147" s="13" t="s">
        <v>511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5.8999999999999997E-2</v>
      </c>
      <c r="M147" s="21" t="s">
        <v>221</v>
      </c>
      <c r="N147" s="28" t="str">
        <f>"{'shoulei64', '"&amp;A147&amp;"*1',10,270,10,13 }"</f>
        <v>{'shoulei64', '夜叉侍卫3*1',10,270,10,13 }</v>
      </c>
      <c r="P147" s="41">
        <f t="shared" ref="P147:R147" si="134">P146*1.02</f>
        <v>1742818958.8655212</v>
      </c>
      <c r="Q147" s="41">
        <f t="shared" si="134"/>
        <v>51167.471183899972</v>
      </c>
      <c r="R147" s="41">
        <f t="shared" si="134"/>
        <v>1827409685.1392848</v>
      </c>
      <c r="S147" s="27">
        <v>100</v>
      </c>
      <c r="T147" s="52">
        <v>450</v>
      </c>
      <c r="U147" s="57">
        <v>0.7</v>
      </c>
      <c r="V147" s="27">
        <f t="shared" si="112"/>
        <v>9137048.4256964251</v>
      </c>
      <c r="W147" s="41">
        <v>0</v>
      </c>
      <c r="X147" s="41">
        <f t="shared" ref="X147" si="135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473</v>
      </c>
      <c r="B148" s="13" t="s">
        <v>512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5.8999999999999997E-2</v>
      </c>
      <c r="M148" s="21" t="s">
        <v>221</v>
      </c>
      <c r="N148" s="28" t="str">
        <f>"{'shoulei65', '"&amp;A148&amp;"*1',10,270,10,13 }"</f>
        <v>{'shoulei65', '夜叉侍卫4*1',10,270,10,13 }</v>
      </c>
      <c r="P148" s="41">
        <f t="shared" ref="P148:R148" si="136">P147*1.02</f>
        <v>1777675338.0428317</v>
      </c>
      <c r="Q148" s="41">
        <f t="shared" si="136"/>
        <v>52190.820607577974</v>
      </c>
      <c r="R148" s="41">
        <f t="shared" si="136"/>
        <v>1863957878.8420706</v>
      </c>
      <c r="S148" s="27">
        <v>100</v>
      </c>
      <c r="T148" s="52">
        <v>450</v>
      </c>
      <c r="U148" s="57">
        <v>0.7</v>
      </c>
      <c r="V148" s="27">
        <f t="shared" si="112"/>
        <v>9319789.3942103535</v>
      </c>
      <c r="W148" s="41">
        <v>0</v>
      </c>
      <c r="X148" s="41">
        <f t="shared" ref="X148" si="137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469</v>
      </c>
      <c r="B149" s="13" t="s">
        <v>513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5.8999999999999997E-2</v>
      </c>
      <c r="M149" s="21" t="s">
        <v>221</v>
      </c>
      <c r="N149" s="28"/>
      <c r="P149" s="41">
        <f>P148*1.05</f>
        <v>1866559104.9449732</v>
      </c>
      <c r="Q149" s="41">
        <f t="shared" ref="Q149" si="138">Q148*1.05</f>
        <v>54800.361637956878</v>
      </c>
      <c r="R149" s="41">
        <f t="shared" ref="R149" si="139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2"/>
        <v>9785778.8639208712</v>
      </c>
      <c r="W149" s="41">
        <v>0</v>
      </c>
      <c r="X149" s="41">
        <f t="shared" ref="X149" si="140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475</v>
      </c>
      <c r="B150" s="13" t="s">
        <v>514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5.8999999999999997E-2</v>
      </c>
      <c r="M150" s="21" t="s">
        <v>221</v>
      </c>
      <c r="N150" s="28" t="str">
        <f>"{'shoulei72', '"&amp;A150&amp;"*1',10,270,10,13 }"</f>
        <v>{'shoulei72', '辟邪侍卫1*1',10,270,10,13 }</v>
      </c>
      <c r="P150" s="41">
        <f t="shared" ref="P150:R150" si="141">P149*1.02</f>
        <v>1903890287.0438728</v>
      </c>
      <c r="Q150" s="41">
        <f t="shared" si="141"/>
        <v>55896.368870716018</v>
      </c>
      <c r="R150" s="41">
        <f t="shared" si="141"/>
        <v>1996298888.2398577</v>
      </c>
      <c r="S150" s="27">
        <v>100</v>
      </c>
      <c r="T150" s="52">
        <v>450</v>
      </c>
      <c r="U150" s="57">
        <v>0.7</v>
      </c>
      <c r="V150" s="27">
        <f t="shared" si="112"/>
        <v>9981494.4411992878</v>
      </c>
      <c r="W150" s="41">
        <v>0</v>
      </c>
      <c r="X150" s="41">
        <f t="shared" ref="X150" si="142">X63</f>
        <v>210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476</v>
      </c>
      <c r="B151" s="13" t="s">
        <v>515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5.8999999999999997E-2</v>
      </c>
      <c r="M151" s="21" t="s">
        <v>221</v>
      </c>
      <c r="N151" s="28" t="str">
        <f>"{'shoulei73', '"&amp;A151&amp;"*1',10,270,10,13 }"</f>
        <v>{'shoulei73', '辟邪侍卫2*1',10,270,10,13 }</v>
      </c>
      <c r="P151" s="41">
        <f t="shared" ref="P151:R151" si="143">P150*1.02</f>
        <v>1941968092.7847502</v>
      </c>
      <c r="Q151" s="41">
        <f t="shared" si="143"/>
        <v>57014.29624813034</v>
      </c>
      <c r="R151" s="41">
        <f t="shared" si="143"/>
        <v>2036224866.0046549</v>
      </c>
      <c r="S151" s="27">
        <v>100</v>
      </c>
      <c r="T151" s="52">
        <v>450</v>
      </c>
      <c r="U151" s="57">
        <v>0.7</v>
      </c>
      <c r="V151" s="27">
        <f t="shared" si="112"/>
        <v>10181124.330023274</v>
      </c>
      <c r="W151" s="41">
        <v>0</v>
      </c>
      <c r="X151" s="41">
        <f t="shared" ref="X151" si="144">X64</f>
        <v>220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477</v>
      </c>
      <c r="B152" s="13" t="s">
        <v>516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5.8999999999999997E-2</v>
      </c>
      <c r="M152" s="21" t="s">
        <v>221</v>
      </c>
      <c r="N152" s="28" t="str">
        <f>"{'shoulei74', '"&amp;A152&amp;"*1',10,270,10,13 }"</f>
        <v>{'shoulei74', '辟邪侍卫3*1',10,270,10,13 }</v>
      </c>
      <c r="P152" s="41">
        <f t="shared" ref="P152:R152" si="145">P151*1.02</f>
        <v>1980807454.6404452</v>
      </c>
      <c r="Q152" s="41">
        <f t="shared" si="145"/>
        <v>58154.582173092946</v>
      </c>
      <c r="R152" s="41">
        <f t="shared" si="145"/>
        <v>2076949363.324748</v>
      </c>
      <c r="S152" s="27">
        <v>100</v>
      </c>
      <c r="T152" s="52">
        <v>450</v>
      </c>
      <c r="U152" s="57">
        <v>0.7</v>
      </c>
      <c r="V152" s="27">
        <f t="shared" si="112"/>
        <v>10384746.81662374</v>
      </c>
      <c r="W152" s="41">
        <v>0</v>
      </c>
      <c r="X152" s="41">
        <f t="shared" ref="X152" si="146">X65</f>
        <v>230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478</v>
      </c>
      <c r="B153" s="13" t="s">
        <v>517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5.8999999999999997E-2</v>
      </c>
      <c r="M153" s="21" t="s">
        <v>221</v>
      </c>
      <c r="N153" s="28" t="str">
        <f>"{'shoulei75', '"&amp;A153&amp;"*1',10,270,10,13 }"</f>
        <v>{'shoulei75', '辟邪侍卫4*1',10,270,10,13 }</v>
      </c>
      <c r="P153" s="41">
        <f t="shared" ref="P153:R153" si="147">P152*1.02</f>
        <v>2020423603.7332542</v>
      </c>
      <c r="Q153" s="41">
        <f t="shared" si="147"/>
        <v>59317.673816554809</v>
      </c>
      <c r="R153" s="41">
        <f t="shared" si="147"/>
        <v>2118488350.591243</v>
      </c>
      <c r="S153" s="27">
        <v>100</v>
      </c>
      <c r="T153" s="52">
        <v>450</v>
      </c>
      <c r="U153" s="57">
        <v>0.7</v>
      </c>
      <c r="V153" s="27">
        <f t="shared" si="112"/>
        <v>10592441.752956215</v>
      </c>
      <c r="W153" s="41">
        <v>0</v>
      </c>
      <c r="X153" s="41">
        <f t="shared" ref="X153" si="148">X66</f>
        <v>240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474</v>
      </c>
      <c r="B154" s="13" t="s">
        <v>518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5.8999999999999997E-2</v>
      </c>
      <c r="M154" s="21" t="s">
        <v>221</v>
      </c>
      <c r="N154" s="28"/>
      <c r="P154" s="41">
        <f>P153*1.05</f>
        <v>2121444783.9199171</v>
      </c>
      <c r="Q154" s="41">
        <f t="shared" ref="Q154" si="149">Q153*1.05</f>
        <v>62283.557507382553</v>
      </c>
      <c r="R154" s="41">
        <f t="shared" ref="R154" si="150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2"/>
        <v>11122063.840604026</v>
      </c>
      <c r="W154" s="41">
        <v>0</v>
      </c>
      <c r="X154" s="41">
        <f t="shared" ref="X154" si="151">X67</f>
        <v>250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480</v>
      </c>
      <c r="B155" s="13" t="s">
        <v>519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5.8999999999999997E-2</v>
      </c>
      <c r="M155" s="21" t="s">
        <v>221</v>
      </c>
      <c r="N155" s="28" t="str">
        <f>"{'shoulei82', '"&amp;A155&amp;"*1',10,270,10,13 }"</f>
        <v>{'shoulei82', '狐仙侍卫1*1',10,270,10,13 }</v>
      </c>
      <c r="P155" s="41">
        <f t="shared" ref="P155:R155" si="152">P154*1.02</f>
        <v>2163873679.5983157</v>
      </c>
      <c r="Q155" s="41">
        <f t="shared" si="152"/>
        <v>63529.228657530206</v>
      </c>
      <c r="R155" s="41">
        <f t="shared" si="152"/>
        <v>2268901023.4832215</v>
      </c>
      <c r="S155" s="27">
        <v>100</v>
      </c>
      <c r="T155" s="52">
        <v>450</v>
      </c>
      <c r="U155" s="57">
        <v>0.7</v>
      </c>
      <c r="V155" s="27">
        <f t="shared" si="112"/>
        <v>11344505.117416108</v>
      </c>
      <c r="W155" s="41">
        <v>0</v>
      </c>
      <c r="X155" s="41">
        <f t="shared" ref="X155" si="153">X68</f>
        <v>260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481</v>
      </c>
      <c r="B156" s="13" t="s">
        <v>520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5.8999999999999997E-2</v>
      </c>
      <c r="M156" s="21" t="s">
        <v>221</v>
      </c>
      <c r="N156" s="28" t="str">
        <f>"{'shoulei83', '"&amp;A156&amp;"*1',10,270,10,13 }"</f>
        <v>{'shoulei83', '狐仙侍卫2*1',10,270,10,13 }</v>
      </c>
      <c r="P156" s="41">
        <f t="shared" ref="P156:R156" si="154">P155*1.02</f>
        <v>2207151153.1902819</v>
      </c>
      <c r="Q156" s="41">
        <f t="shared" si="154"/>
        <v>64799.813230680811</v>
      </c>
      <c r="R156" s="41">
        <f t="shared" si="154"/>
        <v>2314279043.9528861</v>
      </c>
      <c r="S156" s="27">
        <v>100</v>
      </c>
      <c r="T156" s="52">
        <v>450</v>
      </c>
      <c r="U156" s="57">
        <v>0.7</v>
      </c>
      <c r="V156" s="27">
        <f t="shared" si="112"/>
        <v>11571395.21976443</v>
      </c>
      <c r="W156" s="41">
        <v>0</v>
      </c>
      <c r="X156" s="41">
        <f t="shared" ref="X156" si="155">X69</f>
        <v>270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482</v>
      </c>
      <c r="B157" s="13" t="s">
        <v>521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5.8999999999999997E-2</v>
      </c>
      <c r="M157" s="21" t="s">
        <v>221</v>
      </c>
      <c r="N157" s="28" t="str">
        <f>"{'shoulei84', '"&amp;A157&amp;"*1',10,270,10,13 }"</f>
        <v>{'shoulei84', '狐仙侍卫3*1',10,270,10,13 }</v>
      </c>
      <c r="P157" s="41">
        <f t="shared" ref="P157:R157" si="156">P156*1.02</f>
        <v>2251294176.2540874</v>
      </c>
      <c r="Q157" s="41">
        <f t="shared" si="156"/>
        <v>66095.809495294423</v>
      </c>
      <c r="R157" s="41">
        <f t="shared" si="156"/>
        <v>2360564624.831944</v>
      </c>
      <c r="S157" s="27">
        <v>100</v>
      </c>
      <c r="T157" s="52">
        <v>450</v>
      </c>
      <c r="U157" s="57">
        <v>0.7</v>
      </c>
      <c r="V157" s="27">
        <f t="shared" si="112"/>
        <v>11802823.12415972</v>
      </c>
      <c r="W157" s="41">
        <v>0</v>
      </c>
      <c r="X157" s="41">
        <f t="shared" ref="X157" si="157">X70</f>
        <v>280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483</v>
      </c>
      <c r="B158" s="13" t="s">
        <v>522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5.8999999999999997E-2</v>
      </c>
      <c r="M158" s="21" t="s">
        <v>221</v>
      </c>
      <c r="N158" s="28" t="str">
        <f>"{'shoulei85', '"&amp;A158&amp;"*1',10,270,10,13 }"</f>
        <v>{'shoulei85', '狐仙侍卫4*1',10,270,10,13 }</v>
      </c>
      <c r="P158" s="41">
        <f t="shared" ref="P158:R158" si="158">P157*1.02</f>
        <v>2296320059.7791691</v>
      </c>
      <c r="Q158" s="41">
        <f t="shared" si="158"/>
        <v>67417.725685200319</v>
      </c>
      <c r="R158" s="41">
        <f t="shared" si="158"/>
        <v>2407775917.3285828</v>
      </c>
      <c r="S158" s="27">
        <v>100</v>
      </c>
      <c r="T158" s="52">
        <v>450</v>
      </c>
      <c r="U158" s="57">
        <v>0.7</v>
      </c>
      <c r="V158" s="27">
        <f t="shared" si="112"/>
        <v>12038879.586642914</v>
      </c>
      <c r="W158" s="41">
        <v>0</v>
      </c>
      <c r="X158" s="41">
        <f t="shared" ref="X158" si="159">X71</f>
        <v>290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479</v>
      </c>
      <c r="B159" s="13" t="s">
        <v>523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5.8999999999999997E-2</v>
      </c>
      <c r="M159" s="21" t="s">
        <v>221</v>
      </c>
      <c r="N159" s="28"/>
      <c r="P159" s="41">
        <f>P158*1.05</f>
        <v>2411136062.7681274</v>
      </c>
      <c r="Q159" s="41">
        <f t="shared" ref="Q159" si="160">Q158*1.05</f>
        <v>70788.61196946034</v>
      </c>
      <c r="R159" s="41">
        <f t="shared" ref="R159" si="161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2"/>
        <v>12640823.565975061</v>
      </c>
      <c r="W159" s="41">
        <v>0</v>
      </c>
      <c r="X159" s="41">
        <f t="shared" ref="X159" si="162">X72</f>
        <v>300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485</v>
      </c>
      <c r="B160" s="13" t="s">
        <v>524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5.8999999999999997E-2</v>
      </c>
      <c r="M160" s="21" t="s">
        <v>221</v>
      </c>
      <c r="N160" s="28" t="str">
        <f>"{'shoulei92', '"&amp;A160&amp;"*1',10,270,10,13 }"</f>
        <v>{'shoulei92', '龙女侍卫1*1',10,270,10,13 }</v>
      </c>
      <c r="P160" s="41">
        <f t="shared" ref="P160:R160" si="163">P159*1.02</f>
        <v>2459358784.02349</v>
      </c>
      <c r="Q160" s="41">
        <f t="shared" si="163"/>
        <v>72204.384208849544</v>
      </c>
      <c r="R160" s="41">
        <f t="shared" si="163"/>
        <v>2578728007.4589124</v>
      </c>
      <c r="S160" s="27">
        <v>100</v>
      </c>
      <c r="T160" s="52">
        <v>450</v>
      </c>
      <c r="U160" s="57">
        <v>0.7</v>
      </c>
      <c r="V160" s="27">
        <f t="shared" si="112"/>
        <v>12893640.037294563</v>
      </c>
      <c r="W160" s="41">
        <v>0</v>
      </c>
      <c r="X160" s="41">
        <f t="shared" ref="X160" si="164">X73</f>
        <v>310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486</v>
      </c>
      <c r="B161" s="13" t="s">
        <v>525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5.8999999999999997E-2</v>
      </c>
      <c r="M161" s="21" t="s">
        <v>221</v>
      </c>
      <c r="N161" s="28" t="str">
        <f>"{'shoulei93', '"&amp;A161&amp;"*1',10,270,10,13 }"</f>
        <v>{'shoulei93', '龙女侍卫2*1',10,270,10,13 }</v>
      </c>
      <c r="P161" s="41">
        <f t="shared" ref="P161:R161" si="165">P160*1.02</f>
        <v>2508545959.7039599</v>
      </c>
      <c r="Q161" s="41">
        <f t="shared" si="165"/>
        <v>73648.471893026537</v>
      </c>
      <c r="R161" s="41">
        <f t="shared" si="165"/>
        <v>2630302567.6080909</v>
      </c>
      <c r="S161" s="27">
        <v>100</v>
      </c>
      <c r="T161" s="52">
        <v>450</v>
      </c>
      <c r="U161" s="57">
        <v>0.7</v>
      </c>
      <c r="V161" s="27">
        <f t="shared" si="112"/>
        <v>13151512.838040454</v>
      </c>
      <c r="W161" s="41">
        <v>0</v>
      </c>
      <c r="X161" s="41">
        <f t="shared" ref="X161" si="166">X74</f>
        <v>320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487</v>
      </c>
      <c r="B162" s="13" t="s">
        <v>526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5.8999999999999997E-2</v>
      </c>
      <c r="M162" s="21" t="s">
        <v>221</v>
      </c>
      <c r="N162" s="28" t="str">
        <f>"{'shoulei94', '"&amp;A162&amp;"*1',10,270,10,13 }"</f>
        <v>{'shoulei94', '龙女侍卫3*1',10,270,10,13 }</v>
      </c>
      <c r="P162" s="41">
        <f t="shared" ref="P162:R162" si="167">P161*1.02</f>
        <v>2558716878.8980393</v>
      </c>
      <c r="Q162" s="41">
        <f t="shared" si="167"/>
        <v>75121.441330887072</v>
      </c>
      <c r="R162" s="41">
        <f t="shared" si="167"/>
        <v>2682908618.9602528</v>
      </c>
      <c r="S162" s="27">
        <v>100</v>
      </c>
      <c r="T162" s="52">
        <v>450</v>
      </c>
      <c r="U162" s="57">
        <v>0.7</v>
      </c>
      <c r="V162" s="27">
        <f t="shared" si="112"/>
        <v>13414543.094801264</v>
      </c>
      <c r="W162" s="41">
        <v>0</v>
      </c>
      <c r="X162" s="41">
        <f t="shared" ref="X162" si="168">X75</f>
        <v>330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488</v>
      </c>
      <c r="B163" s="13" t="s">
        <v>527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5.8999999999999997E-2</v>
      </c>
      <c r="M163" s="21" t="s">
        <v>221</v>
      </c>
      <c r="N163" s="28" t="str">
        <f>"{'shoulei95', '"&amp;A163&amp;"*1',10,270,10,13 }"</f>
        <v>{'shoulei95', '龙女侍卫4*1',10,270,10,13 }</v>
      </c>
      <c r="P163" s="41">
        <f t="shared" ref="P163:R163" si="169">P162*1.02</f>
        <v>2609891216.4760003</v>
      </c>
      <c r="Q163" s="41">
        <f t="shared" si="169"/>
        <v>76623.870157504818</v>
      </c>
      <c r="R163" s="41">
        <f t="shared" si="169"/>
        <v>2736566791.339458</v>
      </c>
      <c r="S163" s="27">
        <v>100</v>
      </c>
      <c r="T163" s="52">
        <v>450</v>
      </c>
      <c r="U163" s="57">
        <v>0.7</v>
      </c>
      <c r="V163" s="27">
        <f t="shared" si="112"/>
        <v>13682833.956697291</v>
      </c>
      <c r="W163" s="41">
        <v>0</v>
      </c>
      <c r="X163" s="41">
        <f t="shared" ref="X163" si="170">X76</f>
        <v>340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484</v>
      </c>
      <c r="B164" s="13" t="s">
        <v>528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5.8999999999999997E-2</v>
      </c>
      <c r="M164" s="21" t="s">
        <v>221</v>
      </c>
      <c r="N164" s="28"/>
      <c r="P164" s="41">
        <f>P163*1.05</f>
        <v>2740385777.2998004</v>
      </c>
      <c r="Q164" s="41">
        <f t="shared" ref="Q164" si="171">Q163*1.05</f>
        <v>80455.063665380061</v>
      </c>
      <c r="R164" s="41">
        <f t="shared" ref="R164" si="172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2"/>
        <v>14366975.654532157</v>
      </c>
      <c r="W164" s="41">
        <v>0</v>
      </c>
      <c r="X164" s="41">
        <f t="shared" ref="X164" si="173">X77</f>
        <v>350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490</v>
      </c>
      <c r="B165" s="13" t="s">
        <v>529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5.8999999999999997E-2</v>
      </c>
      <c r="M165" s="21" t="s">
        <v>221</v>
      </c>
      <c r="N165" s="28" t="str">
        <f>"{'shoulei102', '"&amp;A165&amp;"*1',10,270,10,13 }"</f>
        <v>{'shoulei102', '刑天侍卫1*1',10,270,10,13 }</v>
      </c>
      <c r="P165" s="41">
        <f t="shared" ref="P165:R165" si="174">P164*1.02</f>
        <v>2795193492.8457966</v>
      </c>
      <c r="Q165" s="41">
        <f t="shared" si="174"/>
        <v>82064.164938687667</v>
      </c>
      <c r="R165" s="41">
        <f t="shared" si="174"/>
        <v>2930863033.52456</v>
      </c>
      <c r="S165" s="27">
        <v>100</v>
      </c>
      <c r="T165" s="52">
        <v>450</v>
      </c>
      <c r="U165" s="57">
        <v>0.7</v>
      </c>
      <c r="V165" s="27">
        <f t="shared" si="112"/>
        <v>14654315.167622801</v>
      </c>
      <c r="W165" s="41">
        <v>0</v>
      </c>
      <c r="X165" s="41">
        <f t="shared" ref="X165" si="175">X78</f>
        <v>360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491</v>
      </c>
      <c r="B166" s="13" t="s">
        <v>530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5.8999999999999997E-2</v>
      </c>
      <c r="M166" s="21" t="s">
        <v>221</v>
      </c>
      <c r="N166" s="28" t="str">
        <f>"{'shoulei103', '"&amp;A166&amp;"*1',10,270,10,13 }"</f>
        <v>{'shoulei103', '刑天侍卫2*1',10,270,10,13 }</v>
      </c>
      <c r="P166" s="41">
        <f t="shared" ref="P166:R166" si="176">P165*1.02</f>
        <v>2851097362.7027125</v>
      </c>
      <c r="Q166" s="41">
        <f t="shared" si="176"/>
        <v>83705.448237461416</v>
      </c>
      <c r="R166" s="41">
        <f t="shared" si="176"/>
        <v>2989480294.1950512</v>
      </c>
      <c r="S166" s="27">
        <v>100</v>
      </c>
      <c r="T166" s="52">
        <v>450</v>
      </c>
      <c r="U166" s="57">
        <v>0.7</v>
      </c>
      <c r="V166" s="27">
        <f t="shared" si="112"/>
        <v>14947401.470975256</v>
      </c>
      <c r="W166" s="41">
        <v>0</v>
      </c>
      <c r="X166" s="41">
        <f t="shared" ref="X166" si="177">X79</f>
        <v>370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492</v>
      </c>
      <c r="B167" s="13" t="s">
        <v>531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5.8999999999999997E-2</v>
      </c>
      <c r="M167" s="21" t="s">
        <v>221</v>
      </c>
      <c r="N167" s="28" t="str">
        <f>"{'shoulei104', '"&amp;A167&amp;"*1',10,270,10,13 }"</f>
        <v>{'shoulei104', '刑天侍卫3*1',10,270,10,13 }</v>
      </c>
      <c r="P167" s="41">
        <f t="shared" ref="P167:R167" si="178">P166*1.02</f>
        <v>2908119309.9567666</v>
      </c>
      <c r="Q167" s="41">
        <f t="shared" si="178"/>
        <v>85379.55720221065</v>
      </c>
      <c r="R167" s="41">
        <f t="shared" si="178"/>
        <v>3049269900.0789523</v>
      </c>
      <c r="S167" s="27">
        <v>100</v>
      </c>
      <c r="T167" s="52">
        <v>450</v>
      </c>
      <c r="U167" s="57">
        <v>0.7</v>
      </c>
      <c r="V167" s="27">
        <f t="shared" si="112"/>
        <v>15246349.500394762</v>
      </c>
      <c r="W167" s="41">
        <v>0</v>
      </c>
      <c r="X167" s="41">
        <f t="shared" ref="X167" si="179">X80</f>
        <v>380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493</v>
      </c>
      <c r="B168" s="13" t="s">
        <v>532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5.8999999999999997E-2</v>
      </c>
      <c r="M168" s="21" t="s">
        <v>221</v>
      </c>
      <c r="N168" s="28" t="str">
        <f>"{'shoulei105', '"&amp;A168&amp;"*1',10,270,10,13 }"</f>
        <v>{'shoulei105', '刑天侍卫4*1',10,270,10,13 }</v>
      </c>
      <c r="P168" s="41">
        <f t="shared" ref="P168:R168" si="180">P167*1.02</f>
        <v>2966281696.1559019</v>
      </c>
      <c r="Q168" s="41">
        <f t="shared" si="180"/>
        <v>87087.148346254864</v>
      </c>
      <c r="R168" s="41">
        <f t="shared" si="180"/>
        <v>3110255298.0805316</v>
      </c>
      <c r="S168" s="27">
        <v>100</v>
      </c>
      <c r="T168" s="52">
        <v>450</v>
      </c>
      <c r="U168" s="57">
        <v>0.7</v>
      </c>
      <c r="V168" s="27">
        <f t="shared" si="112"/>
        <v>15551276.490402658</v>
      </c>
      <c r="W168" s="41">
        <v>0</v>
      </c>
      <c r="X168" s="41">
        <f t="shared" ref="X168" si="181">X81</f>
        <v>390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489</v>
      </c>
      <c r="B169" s="13" t="s">
        <v>533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5.8999999999999997E-2</v>
      </c>
      <c r="M169" s="21" t="s">
        <v>221</v>
      </c>
      <c r="N169" s="28"/>
      <c r="P169" s="41">
        <f>P168*1.05</f>
        <v>3114595780.963697</v>
      </c>
      <c r="Q169" s="41">
        <f t="shared" ref="Q169" si="182">Q168*1.05</f>
        <v>91441.505763567606</v>
      </c>
      <c r="R169" s="41">
        <f t="shared" ref="R169" si="183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2"/>
        <v>16328840.314922791</v>
      </c>
      <c r="W169" s="41">
        <v>0</v>
      </c>
      <c r="X169" s="41">
        <f t="shared" ref="X169:X179" si="184">X82</f>
        <v>400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534</v>
      </c>
      <c r="B170" s="13" t="s">
        <v>544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5.8999999999999997E-2</v>
      </c>
      <c r="M170" s="21" t="s">
        <v>221</v>
      </c>
      <c r="N170" s="28"/>
      <c r="P170" s="41">
        <f>P169*1.1</f>
        <v>3426055359.0600667</v>
      </c>
      <c r="Q170" s="41">
        <f t="shared" ref="Q170:R170" si="185">Q169*1.1</f>
        <v>100585.65633992438</v>
      </c>
      <c r="R170" s="41">
        <f t="shared" si="185"/>
        <v>3592344869.2830143</v>
      </c>
      <c r="S170" s="27">
        <v>100</v>
      </c>
      <c r="T170" s="52">
        <v>450</v>
      </c>
      <c r="U170" s="57">
        <v>0.6</v>
      </c>
      <c r="V170" s="27">
        <f t="shared" si="112"/>
        <v>17961724.346415073</v>
      </c>
      <c r="W170" s="41">
        <v>0</v>
      </c>
      <c r="X170" s="41">
        <f t="shared" si="184"/>
        <v>410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535</v>
      </c>
      <c r="B171" s="13" t="s">
        <v>545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5.8999999999999997E-2</v>
      </c>
      <c r="M171" s="21" t="s">
        <v>221</v>
      </c>
      <c r="N171" s="28"/>
      <c r="P171" s="41">
        <f>P170*1.1</f>
        <v>3768660894.9660735</v>
      </c>
      <c r="Q171" s="41">
        <f t="shared" ref="Q171:R171" si="186">Q170*1.1</f>
        <v>110644.22197391682</v>
      </c>
      <c r="R171" s="41">
        <f t="shared" si="186"/>
        <v>3951579356.2113161</v>
      </c>
      <c r="S171" s="27">
        <v>100</v>
      </c>
      <c r="T171" s="52">
        <v>450</v>
      </c>
      <c r="U171" s="57">
        <v>0.6</v>
      </c>
      <c r="V171" s="27">
        <f t="shared" si="112"/>
        <v>19757896.781056579</v>
      </c>
      <c r="W171" s="41">
        <v>0</v>
      </c>
      <c r="X171" s="41">
        <f t="shared" si="184"/>
        <v>420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536</v>
      </c>
      <c r="B172" s="13" t="s">
        <v>546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5.8999999999999997E-2</v>
      </c>
      <c r="M172" s="21" t="s">
        <v>221</v>
      </c>
      <c r="N172" s="28"/>
      <c r="P172" s="41">
        <f t="shared" ref="P172:P179" si="187">P171*1.1</f>
        <v>4145526984.4626813</v>
      </c>
      <c r="Q172" s="41">
        <f t="shared" ref="Q172:Q179" si="188">Q171*1.1</f>
        <v>121708.64417130851</v>
      </c>
      <c r="R172" s="41">
        <f t="shared" ref="R172:R179" si="189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2"/>
        <v>21733686.459162239</v>
      </c>
      <c r="W172" s="41">
        <v>0</v>
      </c>
      <c r="X172" s="41">
        <f t="shared" si="184"/>
        <v>430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537</v>
      </c>
      <c r="B173" s="13" t="s">
        <v>547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5.8999999999999997E-2</v>
      </c>
      <c r="M173" s="21" t="s">
        <v>221</v>
      </c>
      <c r="N173" s="28"/>
      <c r="P173" s="41">
        <f t="shared" si="187"/>
        <v>4560079682.9089499</v>
      </c>
      <c r="Q173" s="41">
        <f t="shared" si="188"/>
        <v>133879.50858843938</v>
      </c>
      <c r="R173" s="41">
        <f t="shared" si="189"/>
        <v>4781411021.0156937</v>
      </c>
      <c r="S173" s="27">
        <v>100</v>
      </c>
      <c r="T173" s="52">
        <v>450</v>
      </c>
      <c r="U173" s="57">
        <v>0.6</v>
      </c>
      <c r="V173" s="27">
        <f t="shared" si="112"/>
        <v>23907055.10507847</v>
      </c>
      <c r="W173" s="41">
        <v>0</v>
      </c>
      <c r="X173" s="41">
        <f t="shared" si="184"/>
        <v>440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538</v>
      </c>
      <c r="B174" s="13" t="s">
        <v>548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5.8999999999999997E-2</v>
      </c>
      <c r="M174" s="21" t="s">
        <v>221</v>
      </c>
      <c r="N174" s="28"/>
      <c r="P174" s="41">
        <f t="shared" si="187"/>
        <v>5016087651.1998453</v>
      </c>
      <c r="Q174" s="41">
        <f t="shared" si="188"/>
        <v>147267.45944728333</v>
      </c>
      <c r="R174" s="41">
        <f t="shared" si="189"/>
        <v>5259552123.1172638</v>
      </c>
      <c r="S174" s="27">
        <v>100</v>
      </c>
      <c r="T174" s="52">
        <v>450</v>
      </c>
      <c r="U174" s="57">
        <v>0.6</v>
      </c>
      <c r="V174" s="27">
        <f t="shared" si="112"/>
        <v>26297760.615586318</v>
      </c>
      <c r="W174" s="41">
        <v>0</v>
      </c>
      <c r="X174" s="41">
        <f t="shared" si="184"/>
        <v>450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539</v>
      </c>
      <c r="B175" s="13" t="s">
        <v>549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5.8999999999999997E-2</v>
      </c>
      <c r="M175" s="21" t="s">
        <v>221</v>
      </c>
      <c r="N175" s="28"/>
      <c r="P175" s="41">
        <f t="shared" si="187"/>
        <v>5517696416.3198299</v>
      </c>
      <c r="Q175" s="41">
        <f t="shared" si="188"/>
        <v>161994.20539201167</v>
      </c>
      <c r="R175" s="41">
        <f t="shared" si="189"/>
        <v>5785507335.4289904</v>
      </c>
      <c r="S175" s="27">
        <v>100</v>
      </c>
      <c r="T175" s="52">
        <v>450</v>
      </c>
      <c r="U175" s="57">
        <v>0.6</v>
      </c>
      <c r="V175" s="27">
        <f t="shared" si="112"/>
        <v>28927536.677144952</v>
      </c>
      <c r="W175" s="41">
        <v>0</v>
      </c>
      <c r="X175" s="41">
        <f t="shared" si="184"/>
        <v>250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540</v>
      </c>
      <c r="B176" s="13" t="s">
        <v>550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5.8999999999999997E-2</v>
      </c>
      <c r="M176" s="21" t="s">
        <v>221</v>
      </c>
      <c r="N176" s="28"/>
      <c r="P176" s="41">
        <f t="shared" si="187"/>
        <v>6069466057.9518137</v>
      </c>
      <c r="Q176" s="41">
        <f t="shared" si="188"/>
        <v>178193.62593121285</v>
      </c>
      <c r="R176" s="41">
        <f t="shared" si="189"/>
        <v>6364058068.9718895</v>
      </c>
      <c r="S176" s="27">
        <v>100</v>
      </c>
      <c r="T176" s="52">
        <v>450</v>
      </c>
      <c r="U176" s="57">
        <v>0.6</v>
      </c>
      <c r="V176" s="27">
        <f t="shared" si="112"/>
        <v>31820290.344859447</v>
      </c>
      <c r="W176" s="41">
        <v>0</v>
      </c>
      <c r="X176" s="41">
        <f t="shared" si="184"/>
        <v>300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541</v>
      </c>
      <c r="B177" s="13" t="s">
        <v>551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5.8999999999999997E-2</v>
      </c>
      <c r="M177" s="21" t="s">
        <v>221</v>
      </c>
      <c r="N177" s="28"/>
      <c r="P177" s="41">
        <f t="shared" si="187"/>
        <v>6676412663.7469959</v>
      </c>
      <c r="Q177" s="41">
        <f t="shared" si="188"/>
        <v>196012.98852433416</v>
      </c>
      <c r="R177" s="41">
        <f t="shared" si="189"/>
        <v>7000463875.8690786</v>
      </c>
      <c r="S177" s="27">
        <v>100</v>
      </c>
      <c r="T177" s="52">
        <v>450</v>
      </c>
      <c r="U177" s="57">
        <v>0.6</v>
      </c>
      <c r="V177" s="27">
        <f t="shared" si="112"/>
        <v>35002319.379345395</v>
      </c>
      <c r="W177" s="41">
        <v>0</v>
      </c>
      <c r="X177" s="41">
        <f t="shared" si="184"/>
        <v>350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542</v>
      </c>
      <c r="B178" s="13" t="s">
        <v>552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5.8999999999999997E-2</v>
      </c>
      <c r="M178" s="21" t="s">
        <v>221</v>
      </c>
      <c r="N178" s="28"/>
      <c r="P178" s="41">
        <f t="shared" si="187"/>
        <v>7344053930.1216965</v>
      </c>
      <c r="Q178" s="41">
        <f t="shared" si="188"/>
        <v>215614.28737676758</v>
      </c>
      <c r="R178" s="41">
        <f t="shared" si="189"/>
        <v>7700510263.455987</v>
      </c>
      <c r="S178" s="27">
        <v>100</v>
      </c>
      <c r="T178" s="52">
        <v>450</v>
      </c>
      <c r="U178" s="57">
        <v>0.6</v>
      </c>
      <c r="V178" s="27">
        <f t="shared" si="112"/>
        <v>38502551.317279935</v>
      </c>
      <c r="W178" s="41">
        <v>0</v>
      </c>
      <c r="X178" s="41">
        <f t="shared" si="184"/>
        <v>400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543</v>
      </c>
      <c r="B179" s="13" t="s">
        <v>553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5.8999999999999997E-2</v>
      </c>
      <c r="M179" s="21" t="s">
        <v>221</v>
      </c>
      <c r="N179" s="28"/>
      <c r="P179" s="41">
        <f t="shared" si="187"/>
        <v>8078459323.1338663</v>
      </c>
      <c r="Q179" s="41">
        <f t="shared" si="188"/>
        <v>237175.71611444437</v>
      </c>
      <c r="R179" s="41">
        <f t="shared" si="189"/>
        <v>8470561289.8015862</v>
      </c>
      <c r="S179" s="27">
        <v>100</v>
      </c>
      <c r="T179" s="52">
        <v>450</v>
      </c>
      <c r="U179" s="57">
        <v>0.6</v>
      </c>
      <c r="V179" s="27">
        <f t="shared" si="112"/>
        <v>42352806.449007928</v>
      </c>
      <c r="W179" s="41">
        <v>0</v>
      </c>
      <c r="X179" s="41">
        <f t="shared" si="184"/>
        <v>450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564</v>
      </c>
      <c r="B180" s="13" t="s">
        <v>562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2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565</v>
      </c>
      <c r="B181" s="13" t="s">
        <v>566</v>
      </c>
      <c r="C181" s="47" t="s">
        <v>222</v>
      </c>
      <c r="D181" s="11" t="s">
        <v>350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2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569</v>
      </c>
      <c r="B182" s="13" t="s">
        <v>589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5.8999999999999997E-2</v>
      </c>
      <c r="M182" s="21" t="s">
        <v>221</v>
      </c>
      <c r="N182" s="28"/>
      <c r="P182" s="41">
        <f>P179*1.1</f>
        <v>8886305255.4472542</v>
      </c>
      <c r="Q182" s="41">
        <f t="shared" ref="Q182:R182" si="190">Q179*1.1</f>
        <v>260893.28772588883</v>
      </c>
      <c r="R182" s="41">
        <f t="shared" si="190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1">R182*0.005</f>
        <v>46588087.093908727</v>
      </c>
      <c r="W182" s="41">
        <v>0</v>
      </c>
      <c r="X182" s="41">
        <f t="shared" ref="X182:X201" si="192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570</v>
      </c>
      <c r="B183" s="13" t="s">
        <v>590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5.8999999999999997E-2</v>
      </c>
      <c r="M183" s="21" t="s">
        <v>221</v>
      </c>
      <c r="N183" s="28"/>
      <c r="P183" s="41">
        <f>P182*1.05</f>
        <v>9330620518.2196178</v>
      </c>
      <c r="Q183" s="41">
        <f t="shared" ref="Q183:R184" si="193">Q182*1.05</f>
        <v>273937.95211218327</v>
      </c>
      <c r="R183" s="41">
        <f t="shared" si="193"/>
        <v>9783498289.7208328</v>
      </c>
      <c r="S183" s="27">
        <v>100</v>
      </c>
      <c r="T183" s="52">
        <v>450</v>
      </c>
      <c r="U183" s="57">
        <v>0.5</v>
      </c>
      <c r="V183" s="27">
        <f t="shared" si="191"/>
        <v>48917491.448604167</v>
      </c>
      <c r="W183" s="41">
        <v>0</v>
      </c>
      <c r="X183" s="41">
        <f t="shared" si="192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571</v>
      </c>
      <c r="B184" s="13" t="s">
        <v>591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5.8999999999999997E-2</v>
      </c>
      <c r="M184" s="21" t="s">
        <v>221</v>
      </c>
      <c r="N184" s="28"/>
      <c r="P184" s="41">
        <f>P183*1.05</f>
        <v>9797151544.1306</v>
      </c>
      <c r="Q184" s="41">
        <f t="shared" si="193"/>
        <v>287634.84971779241</v>
      </c>
      <c r="R184" s="41">
        <f t="shared" si="193"/>
        <v>10272673204.206875</v>
      </c>
      <c r="S184" s="27">
        <v>100</v>
      </c>
      <c r="T184" s="52">
        <v>450</v>
      </c>
      <c r="U184" s="57">
        <v>0.5</v>
      </c>
      <c r="V184" s="27">
        <f t="shared" si="191"/>
        <v>51363366.021034375</v>
      </c>
      <c r="W184" s="41">
        <v>0</v>
      </c>
      <c r="X184" s="41">
        <f t="shared" si="192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572</v>
      </c>
      <c r="B185" s="13" t="s">
        <v>592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5.8999999999999997E-2</v>
      </c>
      <c r="M185" s="21" t="s">
        <v>221</v>
      </c>
      <c r="N185" s="28"/>
      <c r="P185" s="41">
        <f t="shared" ref="P185:P201" si="194">P184*1.05</f>
        <v>10287009121.33713</v>
      </c>
      <c r="Q185" s="41">
        <f t="shared" ref="Q185:Q201" si="195">Q184*1.05</f>
        <v>302016.59220368206</v>
      </c>
      <c r="R185" s="41">
        <f t="shared" ref="R185:R201" si="196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1"/>
        <v>53931534.322086096</v>
      </c>
      <c r="W185" s="41">
        <v>0</v>
      </c>
      <c r="X185" s="41">
        <f t="shared" si="192"/>
        <v>200</v>
      </c>
      <c r="Y185" s="41">
        <v>440</v>
      </c>
      <c r="Z185" s="27">
        <v>0</v>
      </c>
      <c r="AA185" s="41">
        <v>20</v>
      </c>
      <c r="AB185" s="41">
        <f t="shared" ref="AB185:AB201" si="197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573</v>
      </c>
      <c r="B186" s="13" t="s">
        <v>593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5.8999999999999997E-2</v>
      </c>
      <c r="M186" s="21" t="s">
        <v>221</v>
      </c>
      <c r="P186" s="41">
        <f t="shared" si="194"/>
        <v>10801359577.403986</v>
      </c>
      <c r="Q186" s="41">
        <f t="shared" si="195"/>
        <v>317117.42181386618</v>
      </c>
      <c r="R186" s="41">
        <f t="shared" si="196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8">R186*0.005</f>
        <v>56628111.038190402</v>
      </c>
      <c r="W186" s="41">
        <v>0</v>
      </c>
      <c r="X186" s="41">
        <f t="shared" si="192"/>
        <v>200</v>
      </c>
      <c r="Y186" s="41">
        <v>450</v>
      </c>
      <c r="Z186" s="27">
        <v>0</v>
      </c>
      <c r="AA186" s="41">
        <v>20</v>
      </c>
      <c r="AB186" s="41">
        <f t="shared" si="197"/>
        <v>16713.210937500004</v>
      </c>
      <c r="AC186" s="41">
        <v>20</v>
      </c>
      <c r="AD186" s="41">
        <v>200</v>
      </c>
    </row>
    <row r="187" spans="1:30" ht="15" x14ac:dyDescent="0.15">
      <c r="A187" s="28" t="s">
        <v>574</v>
      </c>
      <c r="B187" s="13" t="s">
        <v>594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5.8999999999999997E-2</v>
      </c>
      <c r="M187" s="21" t="s">
        <v>221</v>
      </c>
      <c r="P187" s="41">
        <f t="shared" si="194"/>
        <v>11341427556.274185</v>
      </c>
      <c r="Q187" s="41">
        <f t="shared" si="195"/>
        <v>332973.29290455952</v>
      </c>
      <c r="R187" s="41">
        <f t="shared" si="196"/>
        <v>11891903318.019985</v>
      </c>
      <c r="S187" s="27">
        <v>100</v>
      </c>
      <c r="T187" s="52">
        <v>450</v>
      </c>
      <c r="U187" s="57">
        <v>0.5</v>
      </c>
      <c r="V187" s="27">
        <f t="shared" si="198"/>
        <v>59459516.590099931</v>
      </c>
      <c r="W187" s="41">
        <v>0</v>
      </c>
      <c r="X187" s="41">
        <f t="shared" si="192"/>
        <v>200</v>
      </c>
      <c r="Y187" s="41">
        <v>460</v>
      </c>
      <c r="Z187" s="27">
        <v>0</v>
      </c>
      <c r="AA187" s="41">
        <v>20</v>
      </c>
      <c r="AB187" s="41">
        <f t="shared" si="197"/>
        <v>17548.871484375006</v>
      </c>
      <c r="AC187" s="41">
        <v>20</v>
      </c>
      <c r="AD187" s="41">
        <v>200</v>
      </c>
    </row>
    <row r="188" spans="1:30" ht="15" x14ac:dyDescent="0.15">
      <c r="A188" s="28" t="s">
        <v>575</v>
      </c>
      <c r="B188" s="13" t="s">
        <v>595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5.8999999999999997E-2</v>
      </c>
      <c r="M188" s="21" t="s">
        <v>221</v>
      </c>
      <c r="P188" s="41">
        <f t="shared" si="194"/>
        <v>11908498934.087894</v>
      </c>
      <c r="Q188" s="41">
        <f t="shared" si="195"/>
        <v>349621.95754978753</v>
      </c>
      <c r="R188" s="41">
        <f t="shared" si="196"/>
        <v>12486498483.920984</v>
      </c>
      <c r="S188" s="27">
        <v>100</v>
      </c>
      <c r="T188" s="52">
        <v>450</v>
      </c>
      <c r="U188" s="57">
        <v>0.5</v>
      </c>
      <c r="V188" s="27">
        <f t="shared" si="198"/>
        <v>62432492.41960492</v>
      </c>
      <c r="W188" s="41">
        <v>0</v>
      </c>
      <c r="X188" s="41">
        <f t="shared" si="192"/>
        <v>200</v>
      </c>
      <c r="Y188" s="41">
        <v>470</v>
      </c>
      <c r="Z188" s="27">
        <v>0</v>
      </c>
      <c r="AA188" s="41">
        <v>20</v>
      </c>
      <c r="AB188" s="41">
        <f t="shared" si="197"/>
        <v>18426.315058593758</v>
      </c>
      <c r="AC188" s="41">
        <v>20</v>
      </c>
      <c r="AD188" s="41">
        <v>200</v>
      </c>
    </row>
    <row r="189" spans="1:30" ht="15" x14ac:dyDescent="0.15">
      <c r="A189" s="28" t="s">
        <v>576</v>
      </c>
      <c r="B189" s="13" t="s">
        <v>596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5.8999999999999997E-2</v>
      </c>
      <c r="M189" s="21" t="s">
        <v>221</v>
      </c>
      <c r="P189" s="41">
        <f t="shared" si="194"/>
        <v>12503923880.79229</v>
      </c>
      <c r="Q189" s="41">
        <f t="shared" si="195"/>
        <v>367103.05542727694</v>
      </c>
      <c r="R189" s="41">
        <f t="shared" si="196"/>
        <v>13110823408.117035</v>
      </c>
      <c r="S189" s="27">
        <v>100</v>
      </c>
      <c r="T189" s="52">
        <v>450</v>
      </c>
      <c r="U189" s="57">
        <v>0.5</v>
      </c>
      <c r="V189" s="27">
        <f t="shared" si="198"/>
        <v>65554117.040585175</v>
      </c>
      <c r="W189" s="41">
        <v>0</v>
      </c>
      <c r="X189" s="41">
        <f t="shared" si="192"/>
        <v>200</v>
      </c>
      <c r="Y189" s="41">
        <v>480</v>
      </c>
      <c r="Z189" s="27">
        <v>0</v>
      </c>
      <c r="AA189" s="41">
        <v>20</v>
      </c>
      <c r="AB189" s="41">
        <f t="shared" si="197"/>
        <v>19347.630811523446</v>
      </c>
      <c r="AC189" s="41">
        <v>20</v>
      </c>
      <c r="AD189" s="41">
        <v>200</v>
      </c>
    </row>
    <row r="190" spans="1:30" ht="15" x14ac:dyDescent="0.15">
      <c r="A190" s="28" t="s">
        <v>577</v>
      </c>
      <c r="B190" s="13" t="s">
        <v>597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5.8999999999999997E-2</v>
      </c>
      <c r="M190" s="21" t="s">
        <v>221</v>
      </c>
      <c r="P190" s="41">
        <f t="shared" si="194"/>
        <v>13129120074.831905</v>
      </c>
      <c r="Q190" s="41">
        <f t="shared" si="195"/>
        <v>385458.20819864079</v>
      </c>
      <c r="R190" s="41">
        <f t="shared" si="196"/>
        <v>13766364578.522888</v>
      </c>
      <c r="S190" s="27">
        <v>100</v>
      </c>
      <c r="T190" s="52">
        <v>450</v>
      </c>
      <c r="U190" s="57">
        <v>0.5</v>
      </c>
      <c r="V190" s="27">
        <f t="shared" si="198"/>
        <v>68831822.892614439</v>
      </c>
      <c r="W190" s="41">
        <v>0</v>
      </c>
      <c r="X190" s="41">
        <f t="shared" si="192"/>
        <v>200</v>
      </c>
      <c r="Y190" s="41">
        <v>490</v>
      </c>
      <c r="Z190" s="27">
        <v>0</v>
      </c>
      <c r="AA190" s="41">
        <v>20</v>
      </c>
      <c r="AB190" s="41">
        <f t="shared" si="197"/>
        <v>20315.01235209962</v>
      </c>
      <c r="AC190" s="41">
        <v>20</v>
      </c>
      <c r="AD190" s="41">
        <v>200</v>
      </c>
    </row>
    <row r="191" spans="1:30" ht="15" x14ac:dyDescent="0.15">
      <c r="A191" s="28" t="s">
        <v>578</v>
      </c>
      <c r="B191" s="13" t="s">
        <v>598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5.8999999999999997E-2</v>
      </c>
      <c r="M191" s="21" t="s">
        <v>221</v>
      </c>
      <c r="P191" s="41">
        <f t="shared" si="194"/>
        <v>13785576078.573502</v>
      </c>
      <c r="Q191" s="41">
        <f t="shared" si="195"/>
        <v>404731.11860857287</v>
      </c>
      <c r="R191" s="41">
        <f t="shared" si="196"/>
        <v>14454682807.449034</v>
      </c>
      <c r="S191" s="27">
        <v>100</v>
      </c>
      <c r="T191" s="52">
        <v>450</v>
      </c>
      <c r="U191" s="57">
        <v>0.5</v>
      </c>
      <c r="V191" s="27">
        <f t="shared" si="198"/>
        <v>72273414.037245169</v>
      </c>
      <c r="W191" s="41">
        <v>0</v>
      </c>
      <c r="X191" s="41">
        <f t="shared" si="192"/>
        <v>200</v>
      </c>
      <c r="Y191" s="41">
        <v>500</v>
      </c>
      <c r="Z191" s="27">
        <v>0</v>
      </c>
      <c r="AA191" s="41">
        <v>20</v>
      </c>
      <c r="AB191" s="41">
        <f t="shared" si="197"/>
        <v>21330.762969704603</v>
      </c>
      <c r="AC191" s="41">
        <v>20</v>
      </c>
      <c r="AD191" s="41">
        <v>200</v>
      </c>
    </row>
    <row r="192" spans="1:30" ht="15" x14ac:dyDescent="0.15">
      <c r="A192" s="28" t="s">
        <v>579</v>
      </c>
      <c r="B192" s="13" t="s">
        <v>599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5.8999999999999997E-2</v>
      </c>
      <c r="M192" s="21" t="s">
        <v>221</v>
      </c>
      <c r="P192" s="41">
        <f t="shared" si="194"/>
        <v>14474854882.502178</v>
      </c>
      <c r="Q192" s="41">
        <f t="shared" si="195"/>
        <v>424967.67453900154</v>
      </c>
      <c r="R192" s="41">
        <f t="shared" si="196"/>
        <v>15177416947.821486</v>
      </c>
      <c r="S192" s="27">
        <v>100</v>
      </c>
      <c r="T192" s="52">
        <v>450</v>
      </c>
      <c r="U192" s="57">
        <v>0.5</v>
      </c>
      <c r="V192" s="27">
        <f t="shared" si="198"/>
        <v>75887084.73910743</v>
      </c>
      <c r="W192" s="41">
        <v>0</v>
      </c>
      <c r="X192" s="41">
        <f t="shared" si="192"/>
        <v>200</v>
      </c>
      <c r="Y192" s="41">
        <v>510</v>
      </c>
      <c r="Z192" s="27">
        <v>0</v>
      </c>
      <c r="AA192" s="41">
        <v>20</v>
      </c>
      <c r="AB192" s="41">
        <f t="shared" si="197"/>
        <v>22397.301118189833</v>
      </c>
      <c r="AC192" s="41">
        <v>20</v>
      </c>
      <c r="AD192" s="41">
        <v>200</v>
      </c>
    </row>
    <row r="193" spans="1:30" ht="15" x14ac:dyDescent="0.15">
      <c r="A193" s="28" t="s">
        <v>580</v>
      </c>
      <c r="B193" s="13" t="s">
        <v>600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5.8999999999999997E-2</v>
      </c>
      <c r="M193" s="21" t="s">
        <v>221</v>
      </c>
      <c r="P193" s="41">
        <f t="shared" si="194"/>
        <v>15198597626.627287</v>
      </c>
      <c r="Q193" s="41">
        <f t="shared" si="195"/>
        <v>446216.05826595164</v>
      </c>
      <c r="R193" s="41">
        <f t="shared" si="196"/>
        <v>15936287795.212561</v>
      </c>
      <c r="S193" s="27">
        <v>100</v>
      </c>
      <c r="T193" s="52">
        <v>450</v>
      </c>
      <c r="U193" s="57">
        <v>0.5</v>
      </c>
      <c r="V193" s="27">
        <f t="shared" si="198"/>
        <v>79681438.976062804</v>
      </c>
      <c r="W193" s="41">
        <v>0</v>
      </c>
      <c r="X193" s="41">
        <f t="shared" si="192"/>
        <v>200</v>
      </c>
      <c r="Y193" s="41">
        <v>520</v>
      </c>
      <c r="Z193" s="27">
        <v>0</v>
      </c>
      <c r="AA193" s="41">
        <v>20</v>
      </c>
      <c r="AB193" s="41">
        <f t="shared" si="197"/>
        <v>23517.166174099326</v>
      </c>
      <c r="AC193" s="41">
        <v>20</v>
      </c>
      <c r="AD193" s="41">
        <v>200</v>
      </c>
    </row>
    <row r="194" spans="1:30" ht="15" x14ac:dyDescent="0.15">
      <c r="A194" s="28" t="s">
        <v>581</v>
      </c>
      <c r="B194" s="13" t="s">
        <v>601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5.8999999999999997E-2</v>
      </c>
      <c r="M194" s="21" t="s">
        <v>221</v>
      </c>
      <c r="P194" s="41">
        <f t="shared" si="194"/>
        <v>15958527507.958652</v>
      </c>
      <c r="Q194" s="41">
        <f t="shared" si="195"/>
        <v>468526.86117924924</v>
      </c>
      <c r="R194" s="41">
        <f t="shared" si="196"/>
        <v>16733102184.97319</v>
      </c>
      <c r="S194" s="27">
        <v>100</v>
      </c>
      <c r="T194" s="52">
        <v>450</v>
      </c>
      <c r="U194" s="57">
        <v>0.5</v>
      </c>
      <c r="V194" s="27">
        <f t="shared" si="198"/>
        <v>83665510.924865946</v>
      </c>
      <c r="W194" s="41">
        <v>0</v>
      </c>
      <c r="X194" s="41">
        <f t="shared" si="192"/>
        <v>200</v>
      </c>
      <c r="Y194" s="41">
        <v>530</v>
      </c>
      <c r="Z194" s="27">
        <v>0</v>
      </c>
      <c r="AA194" s="41">
        <v>20</v>
      </c>
      <c r="AB194" s="41">
        <f t="shared" si="197"/>
        <v>24693.024482804292</v>
      </c>
      <c r="AC194" s="41">
        <v>20</v>
      </c>
      <c r="AD194" s="41">
        <v>200</v>
      </c>
    </row>
    <row r="195" spans="1:30" ht="15" x14ac:dyDescent="0.15">
      <c r="A195" s="28" t="s">
        <v>582</v>
      </c>
      <c r="B195" s="13" t="s">
        <v>602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5.8999999999999997E-2</v>
      </c>
      <c r="M195" s="21" t="s">
        <v>221</v>
      </c>
      <c r="P195" s="41">
        <f t="shared" si="194"/>
        <v>16756453883.356586</v>
      </c>
      <c r="Q195" s="41">
        <f t="shared" si="195"/>
        <v>491953.20423821174</v>
      </c>
      <c r="R195" s="41">
        <f t="shared" si="196"/>
        <v>17569757294.221851</v>
      </c>
      <c r="S195" s="27">
        <v>100</v>
      </c>
      <c r="T195" s="52">
        <v>450</v>
      </c>
      <c r="U195" s="57">
        <v>0.5</v>
      </c>
      <c r="V195" s="27">
        <f t="shared" si="198"/>
        <v>87848786.471109256</v>
      </c>
      <c r="W195" s="41">
        <v>0</v>
      </c>
      <c r="X195" s="41">
        <f t="shared" si="192"/>
        <v>200</v>
      </c>
      <c r="Y195" s="41">
        <v>540</v>
      </c>
      <c r="Z195" s="27">
        <v>0</v>
      </c>
      <c r="AA195" s="41">
        <v>20</v>
      </c>
      <c r="AB195" s="41">
        <f t="shared" si="197"/>
        <v>25927.675706944508</v>
      </c>
      <c r="AC195" s="41">
        <v>20</v>
      </c>
      <c r="AD195" s="41">
        <v>200</v>
      </c>
    </row>
    <row r="196" spans="1:30" ht="15" x14ac:dyDescent="0.15">
      <c r="A196" s="28" t="s">
        <v>583</v>
      </c>
      <c r="B196" s="13" t="s">
        <v>603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5.8999999999999997E-2</v>
      </c>
      <c r="M196" s="21" t="s">
        <v>221</v>
      </c>
      <c r="P196" s="41">
        <f t="shared" si="194"/>
        <v>17594276577.524418</v>
      </c>
      <c r="Q196" s="41">
        <f t="shared" si="195"/>
        <v>516550.86445012235</v>
      </c>
      <c r="R196" s="41">
        <f t="shared" si="196"/>
        <v>18448245158.932945</v>
      </c>
      <c r="S196" s="27">
        <v>100</v>
      </c>
      <c r="T196" s="52">
        <v>450</v>
      </c>
      <c r="U196" s="57">
        <v>0.5</v>
      </c>
      <c r="V196" s="27">
        <f t="shared" si="198"/>
        <v>92241225.794664726</v>
      </c>
      <c r="W196" s="41">
        <v>0</v>
      </c>
      <c r="X196" s="41">
        <f t="shared" si="192"/>
        <v>200</v>
      </c>
      <c r="Y196" s="41">
        <v>550</v>
      </c>
      <c r="Z196" s="27">
        <v>0</v>
      </c>
      <c r="AA196" s="41">
        <v>20</v>
      </c>
      <c r="AB196" s="41">
        <f t="shared" si="197"/>
        <v>27224.059492291733</v>
      </c>
      <c r="AC196" s="41">
        <v>20</v>
      </c>
      <c r="AD196" s="41">
        <v>200</v>
      </c>
    </row>
    <row r="197" spans="1:30" ht="15" x14ac:dyDescent="0.15">
      <c r="A197" s="28" t="s">
        <v>584</v>
      </c>
      <c r="B197" s="13" t="s">
        <v>604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5.8999999999999997E-2</v>
      </c>
      <c r="M197" s="21" t="s">
        <v>221</v>
      </c>
      <c r="P197" s="41">
        <f t="shared" si="194"/>
        <v>18473990406.400639</v>
      </c>
      <c r="Q197" s="41">
        <f t="shared" si="195"/>
        <v>542378.40767262853</v>
      </c>
      <c r="R197" s="41">
        <f t="shared" si="196"/>
        <v>19370657416.879593</v>
      </c>
      <c r="S197" s="27">
        <v>100</v>
      </c>
      <c r="T197" s="52">
        <v>450</v>
      </c>
      <c r="U197" s="57">
        <v>0.5</v>
      </c>
      <c r="V197" s="27">
        <f t="shared" si="198"/>
        <v>96853287.084397972</v>
      </c>
      <c r="W197" s="41">
        <v>0</v>
      </c>
      <c r="X197" s="41">
        <f t="shared" si="192"/>
        <v>200</v>
      </c>
      <c r="Y197" s="41">
        <v>560</v>
      </c>
      <c r="Z197" s="27">
        <v>0</v>
      </c>
      <c r="AA197" s="41">
        <v>20</v>
      </c>
      <c r="AB197" s="41">
        <f t="shared" si="197"/>
        <v>28585.262466906323</v>
      </c>
      <c r="AC197" s="41">
        <v>20</v>
      </c>
      <c r="AD197" s="41">
        <v>200</v>
      </c>
    </row>
    <row r="198" spans="1:30" ht="15" x14ac:dyDescent="0.15">
      <c r="A198" s="28" t="s">
        <v>585</v>
      </c>
      <c r="B198" s="13" t="s">
        <v>605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5.8999999999999997E-2</v>
      </c>
      <c r="M198" s="21" t="s">
        <v>221</v>
      </c>
      <c r="P198" s="41">
        <f t="shared" si="194"/>
        <v>19397689926.720673</v>
      </c>
      <c r="Q198" s="41">
        <f t="shared" si="195"/>
        <v>569497.32805626001</v>
      </c>
      <c r="R198" s="41">
        <f t="shared" si="196"/>
        <v>20339190287.723572</v>
      </c>
      <c r="S198" s="27">
        <v>100</v>
      </c>
      <c r="T198" s="52">
        <v>450</v>
      </c>
      <c r="U198" s="57">
        <v>0.5</v>
      </c>
      <c r="V198" s="27">
        <f t="shared" si="198"/>
        <v>101695951.43861786</v>
      </c>
      <c r="W198" s="41">
        <v>0</v>
      </c>
      <c r="X198" s="41">
        <f t="shared" si="192"/>
        <v>200</v>
      </c>
      <c r="Y198" s="41">
        <v>570</v>
      </c>
      <c r="Z198" s="27">
        <v>0</v>
      </c>
      <c r="AA198" s="41">
        <v>20</v>
      </c>
      <c r="AB198" s="41">
        <f t="shared" si="197"/>
        <v>30014.52559025164</v>
      </c>
      <c r="AC198" s="41">
        <v>20</v>
      </c>
      <c r="AD198" s="41">
        <v>200</v>
      </c>
    </row>
    <row r="199" spans="1:30" ht="15" x14ac:dyDescent="0.15">
      <c r="A199" s="28" t="s">
        <v>586</v>
      </c>
      <c r="B199" s="13" t="s">
        <v>606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5.8999999999999997E-2</v>
      </c>
      <c r="M199" s="21" t="s">
        <v>221</v>
      </c>
      <c r="P199" s="41">
        <f t="shared" si="194"/>
        <v>20367574423.056705</v>
      </c>
      <c r="Q199" s="41">
        <f t="shared" si="195"/>
        <v>597972.19445907301</v>
      </c>
      <c r="R199" s="41">
        <f t="shared" si="196"/>
        <v>21356149802.109753</v>
      </c>
      <c r="S199" s="27">
        <v>100</v>
      </c>
      <c r="T199" s="52">
        <v>450</v>
      </c>
      <c r="U199" s="57">
        <v>0.5</v>
      </c>
      <c r="V199" s="27">
        <f t="shared" si="198"/>
        <v>106780749.01054877</v>
      </c>
      <c r="W199" s="41">
        <v>0</v>
      </c>
      <c r="X199" s="41">
        <f t="shared" si="192"/>
        <v>200</v>
      </c>
      <c r="Y199" s="41">
        <v>580</v>
      </c>
      <c r="Z199" s="27">
        <v>0</v>
      </c>
      <c r="AA199" s="41">
        <v>20</v>
      </c>
      <c r="AB199" s="41">
        <f t="shared" si="197"/>
        <v>31515.251869764223</v>
      </c>
      <c r="AC199" s="41">
        <v>20</v>
      </c>
      <c r="AD199" s="41">
        <v>200</v>
      </c>
    </row>
    <row r="200" spans="1:30" ht="15" x14ac:dyDescent="0.15">
      <c r="A200" s="28" t="s">
        <v>587</v>
      </c>
      <c r="B200" s="13" t="s">
        <v>607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5.8999999999999997E-2</v>
      </c>
      <c r="M200" s="21" t="s">
        <v>221</v>
      </c>
      <c r="P200" s="41">
        <f t="shared" si="194"/>
        <v>21385953144.209541</v>
      </c>
      <c r="Q200" s="41">
        <f t="shared" si="195"/>
        <v>627870.80418202665</v>
      </c>
      <c r="R200" s="41">
        <f t="shared" si="196"/>
        <v>22423957292.21524</v>
      </c>
      <c r="S200" s="27">
        <v>100</v>
      </c>
      <c r="T200" s="52">
        <v>450</v>
      </c>
      <c r="U200" s="57">
        <v>0.5</v>
      </c>
      <c r="V200" s="27">
        <f t="shared" si="198"/>
        <v>112119786.4610762</v>
      </c>
      <c r="W200" s="41">
        <v>0</v>
      </c>
      <c r="X200" s="41">
        <f t="shared" si="192"/>
        <v>200</v>
      </c>
      <c r="Y200" s="41">
        <v>590</v>
      </c>
      <c r="Z200" s="27">
        <v>0</v>
      </c>
      <c r="AA200" s="41">
        <v>20</v>
      </c>
      <c r="AB200" s="41">
        <f t="shared" si="197"/>
        <v>33091.014463252432</v>
      </c>
      <c r="AC200" s="41">
        <v>20</v>
      </c>
      <c r="AD200" s="41">
        <v>200</v>
      </c>
    </row>
    <row r="201" spans="1:30" ht="15" x14ac:dyDescent="0.15">
      <c r="A201" s="28" t="s">
        <v>588</v>
      </c>
      <c r="B201" s="13" t="s">
        <v>608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5.8999999999999997E-2</v>
      </c>
      <c r="M201" s="21" t="s">
        <v>221</v>
      </c>
      <c r="P201" s="41">
        <f t="shared" si="194"/>
        <v>22455250801.420021</v>
      </c>
      <c r="Q201" s="41">
        <f t="shared" si="195"/>
        <v>659264.34439112805</v>
      </c>
      <c r="R201" s="41">
        <f t="shared" si="196"/>
        <v>23545155156.826004</v>
      </c>
      <c r="S201" s="27">
        <v>100</v>
      </c>
      <c r="T201" s="52">
        <v>450</v>
      </c>
      <c r="U201" s="57">
        <v>0.5</v>
      </c>
      <c r="V201" s="27">
        <f t="shared" si="198"/>
        <v>117725775.78413002</v>
      </c>
      <c r="W201" s="41">
        <v>0</v>
      </c>
      <c r="X201" s="41">
        <f t="shared" si="192"/>
        <v>200</v>
      </c>
      <c r="Y201" s="41">
        <v>600</v>
      </c>
      <c r="Z201" s="27">
        <v>0</v>
      </c>
      <c r="AA201" s="41">
        <v>20</v>
      </c>
      <c r="AB201" s="41">
        <f t="shared" si="197"/>
        <v>34745.565186415057</v>
      </c>
      <c r="AC201" s="41">
        <v>20</v>
      </c>
      <c r="AD201" s="41">
        <v>200</v>
      </c>
    </row>
    <row r="202" spans="1:30" ht="15" x14ac:dyDescent="0.15">
      <c r="A202" s="28" t="s">
        <v>610</v>
      </c>
      <c r="B202" s="13" t="s">
        <v>630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5.8999999999999997E-2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9">R182</f>
        <v>9317617418.7817459</v>
      </c>
      <c r="S202" s="41">
        <f t="shared" si="199"/>
        <v>100</v>
      </c>
      <c r="T202" s="41">
        <f t="shared" si="199"/>
        <v>450</v>
      </c>
      <c r="U202" s="57">
        <v>0.5</v>
      </c>
      <c r="V202" s="41">
        <f t="shared" si="199"/>
        <v>46588087.093908727</v>
      </c>
      <c r="W202" s="41">
        <f t="shared" si="199"/>
        <v>0</v>
      </c>
      <c r="X202" s="41">
        <f t="shared" si="199"/>
        <v>200</v>
      </c>
      <c r="Y202" s="41">
        <f t="shared" si="199"/>
        <v>410</v>
      </c>
      <c r="Z202" s="41">
        <f t="shared" si="199"/>
        <v>0</v>
      </c>
      <c r="AA202" s="41">
        <f t="shared" si="199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611</v>
      </c>
      <c r="B203" s="13" t="s">
        <v>631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5.8999999999999997E-2</v>
      </c>
      <c r="M203" s="21" t="s">
        <v>221</v>
      </c>
      <c r="P203" s="41">
        <f t="shared" ref="P203:AB203" si="200">P183</f>
        <v>9330620518.2196178</v>
      </c>
      <c r="Q203" s="41">
        <f t="shared" si="200"/>
        <v>273937.95211218327</v>
      </c>
      <c r="R203" s="41">
        <f t="shared" si="200"/>
        <v>9783498289.7208328</v>
      </c>
      <c r="S203" s="41">
        <f t="shared" si="200"/>
        <v>100</v>
      </c>
      <c r="T203" s="41">
        <f t="shared" si="200"/>
        <v>450</v>
      </c>
      <c r="U203" s="57">
        <v>0.5</v>
      </c>
      <c r="V203" s="41">
        <f t="shared" si="200"/>
        <v>48917491.448604167</v>
      </c>
      <c r="W203" s="41">
        <f t="shared" si="200"/>
        <v>0</v>
      </c>
      <c r="X203" s="41">
        <f t="shared" si="200"/>
        <v>200</v>
      </c>
      <c r="Y203" s="41">
        <f t="shared" si="200"/>
        <v>420</v>
      </c>
      <c r="Z203" s="41">
        <f t="shared" si="200"/>
        <v>0</v>
      </c>
      <c r="AA203" s="41">
        <f t="shared" si="200"/>
        <v>20</v>
      </c>
      <c r="AB203" s="41">
        <f t="shared" si="200"/>
        <v>14437.500000000002</v>
      </c>
      <c r="AC203" s="41">
        <v>20</v>
      </c>
      <c r="AD203" s="41">
        <v>200</v>
      </c>
    </row>
    <row r="204" spans="1:30" ht="15" x14ac:dyDescent="0.15">
      <c r="A204" s="28" t="s">
        <v>612</v>
      </c>
      <c r="B204" s="13" t="s">
        <v>632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5.8999999999999997E-2</v>
      </c>
      <c r="M204" s="21" t="s">
        <v>221</v>
      </c>
      <c r="P204" s="41">
        <f t="shared" ref="P204:AB204" si="201">P184</f>
        <v>9797151544.1306</v>
      </c>
      <c r="Q204" s="41">
        <f t="shared" si="201"/>
        <v>287634.84971779241</v>
      </c>
      <c r="R204" s="41">
        <f t="shared" si="201"/>
        <v>10272673204.206875</v>
      </c>
      <c r="S204" s="41">
        <f t="shared" si="201"/>
        <v>100</v>
      </c>
      <c r="T204" s="41">
        <f t="shared" si="201"/>
        <v>450</v>
      </c>
      <c r="U204" s="57">
        <v>0.5</v>
      </c>
      <c r="V204" s="41">
        <f t="shared" si="201"/>
        <v>51363366.021034375</v>
      </c>
      <c r="W204" s="41">
        <f t="shared" si="201"/>
        <v>0</v>
      </c>
      <c r="X204" s="41">
        <f t="shared" si="201"/>
        <v>200</v>
      </c>
      <c r="Y204" s="41">
        <f t="shared" si="201"/>
        <v>430</v>
      </c>
      <c r="Z204" s="41">
        <f t="shared" si="201"/>
        <v>0</v>
      </c>
      <c r="AA204" s="41">
        <f t="shared" si="201"/>
        <v>20</v>
      </c>
      <c r="AB204" s="41">
        <f t="shared" si="201"/>
        <v>15159.375000000002</v>
      </c>
      <c r="AC204" s="41">
        <v>20</v>
      </c>
      <c r="AD204" s="41">
        <v>200</v>
      </c>
    </row>
    <row r="205" spans="1:30" ht="15" x14ac:dyDescent="0.15">
      <c r="A205" s="28" t="s">
        <v>613</v>
      </c>
      <c r="B205" s="13" t="s">
        <v>633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5.8999999999999997E-2</v>
      </c>
      <c r="M205" s="21" t="s">
        <v>221</v>
      </c>
      <c r="P205" s="41">
        <f t="shared" ref="P205:AB205" si="202">P185</f>
        <v>10287009121.33713</v>
      </c>
      <c r="Q205" s="41">
        <f t="shared" si="202"/>
        <v>302016.59220368206</v>
      </c>
      <c r="R205" s="41">
        <f t="shared" si="202"/>
        <v>10786306864.417219</v>
      </c>
      <c r="S205" s="41">
        <f t="shared" si="202"/>
        <v>100</v>
      </c>
      <c r="T205" s="41">
        <f t="shared" si="202"/>
        <v>450</v>
      </c>
      <c r="U205" s="57">
        <v>0.5</v>
      </c>
      <c r="V205" s="41">
        <f t="shared" si="202"/>
        <v>53931534.322086096</v>
      </c>
      <c r="W205" s="41">
        <f t="shared" si="202"/>
        <v>0</v>
      </c>
      <c r="X205" s="41">
        <f t="shared" si="202"/>
        <v>200</v>
      </c>
      <c r="Y205" s="41">
        <f t="shared" si="202"/>
        <v>440</v>
      </c>
      <c r="Z205" s="41">
        <f t="shared" si="202"/>
        <v>0</v>
      </c>
      <c r="AA205" s="41">
        <f t="shared" si="202"/>
        <v>20</v>
      </c>
      <c r="AB205" s="41">
        <f t="shared" si="202"/>
        <v>15917.343750000002</v>
      </c>
      <c r="AC205" s="41">
        <v>20</v>
      </c>
      <c r="AD205" s="41">
        <v>200</v>
      </c>
    </row>
    <row r="206" spans="1:30" ht="15" x14ac:dyDescent="0.15">
      <c r="A206" s="28" t="s">
        <v>614</v>
      </c>
      <c r="B206" s="13" t="s">
        <v>634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5.8999999999999997E-2</v>
      </c>
      <c r="M206" s="21" t="s">
        <v>221</v>
      </c>
      <c r="P206" s="41">
        <f t="shared" ref="P206:AB206" si="203">P186</f>
        <v>10801359577.403986</v>
      </c>
      <c r="Q206" s="41">
        <f t="shared" si="203"/>
        <v>317117.42181386618</v>
      </c>
      <c r="R206" s="41">
        <f t="shared" si="203"/>
        <v>11325622207.638081</v>
      </c>
      <c r="S206" s="41">
        <f t="shared" si="203"/>
        <v>100</v>
      </c>
      <c r="T206" s="41">
        <f t="shared" si="203"/>
        <v>450</v>
      </c>
      <c r="U206" s="57">
        <v>0.5</v>
      </c>
      <c r="V206" s="41">
        <f t="shared" si="203"/>
        <v>56628111.038190402</v>
      </c>
      <c r="W206" s="41">
        <f t="shared" si="203"/>
        <v>0</v>
      </c>
      <c r="X206" s="41">
        <f t="shared" si="203"/>
        <v>200</v>
      </c>
      <c r="Y206" s="41">
        <f t="shared" si="203"/>
        <v>450</v>
      </c>
      <c r="Z206" s="41">
        <f t="shared" si="203"/>
        <v>0</v>
      </c>
      <c r="AA206" s="41">
        <f t="shared" si="203"/>
        <v>20</v>
      </c>
      <c r="AB206" s="41">
        <f t="shared" si="203"/>
        <v>16713.210937500004</v>
      </c>
      <c r="AC206" s="41">
        <v>20</v>
      </c>
      <c r="AD206" s="41">
        <v>200</v>
      </c>
    </row>
    <row r="207" spans="1:30" ht="15" x14ac:dyDescent="0.15">
      <c r="A207" s="28" t="s">
        <v>615</v>
      </c>
      <c r="B207" s="13" t="s">
        <v>635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5.8999999999999997E-2</v>
      </c>
      <c r="M207" s="21" t="s">
        <v>221</v>
      </c>
      <c r="P207" s="41">
        <f t="shared" ref="P207:AB207" si="204">P187</f>
        <v>11341427556.274185</v>
      </c>
      <c r="Q207" s="41">
        <f t="shared" si="204"/>
        <v>332973.29290455952</v>
      </c>
      <c r="R207" s="41">
        <f t="shared" si="204"/>
        <v>11891903318.019985</v>
      </c>
      <c r="S207" s="41">
        <f t="shared" si="204"/>
        <v>100</v>
      </c>
      <c r="T207" s="41">
        <f t="shared" si="204"/>
        <v>450</v>
      </c>
      <c r="U207" s="57">
        <v>0.5</v>
      </c>
      <c r="V207" s="41">
        <f t="shared" si="204"/>
        <v>59459516.590099931</v>
      </c>
      <c r="W207" s="41">
        <f t="shared" si="204"/>
        <v>0</v>
      </c>
      <c r="X207" s="41">
        <f t="shared" si="204"/>
        <v>200</v>
      </c>
      <c r="Y207" s="41">
        <f t="shared" si="204"/>
        <v>460</v>
      </c>
      <c r="Z207" s="41">
        <f t="shared" si="204"/>
        <v>0</v>
      </c>
      <c r="AA207" s="41">
        <f t="shared" si="204"/>
        <v>20</v>
      </c>
      <c r="AB207" s="41">
        <f t="shared" si="204"/>
        <v>17548.871484375006</v>
      </c>
      <c r="AC207" s="41">
        <v>20</v>
      </c>
      <c r="AD207" s="41">
        <v>200</v>
      </c>
    </row>
    <row r="208" spans="1:30" ht="15" x14ac:dyDescent="0.15">
      <c r="A208" s="28" t="s">
        <v>616</v>
      </c>
      <c r="B208" s="13" t="s">
        <v>636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5.8999999999999997E-2</v>
      </c>
      <c r="M208" s="21" t="s">
        <v>221</v>
      </c>
      <c r="P208" s="41">
        <f t="shared" ref="P208:AB208" si="205">P188</f>
        <v>11908498934.087894</v>
      </c>
      <c r="Q208" s="41">
        <f t="shared" si="205"/>
        <v>349621.95754978753</v>
      </c>
      <c r="R208" s="41">
        <f t="shared" si="205"/>
        <v>12486498483.920984</v>
      </c>
      <c r="S208" s="41">
        <f t="shared" si="205"/>
        <v>100</v>
      </c>
      <c r="T208" s="41">
        <f t="shared" si="205"/>
        <v>450</v>
      </c>
      <c r="U208" s="57">
        <v>0.5</v>
      </c>
      <c r="V208" s="41">
        <f t="shared" si="205"/>
        <v>62432492.41960492</v>
      </c>
      <c r="W208" s="41">
        <f t="shared" si="205"/>
        <v>0</v>
      </c>
      <c r="X208" s="41">
        <f t="shared" si="205"/>
        <v>200</v>
      </c>
      <c r="Y208" s="41">
        <f t="shared" si="205"/>
        <v>470</v>
      </c>
      <c r="Z208" s="41">
        <f t="shared" si="205"/>
        <v>0</v>
      </c>
      <c r="AA208" s="41">
        <f t="shared" si="205"/>
        <v>20</v>
      </c>
      <c r="AB208" s="41">
        <f t="shared" si="205"/>
        <v>18426.315058593758</v>
      </c>
      <c r="AC208" s="41">
        <v>20</v>
      </c>
      <c r="AD208" s="41">
        <v>200</v>
      </c>
    </row>
    <row r="209" spans="1:30" ht="15" x14ac:dyDescent="0.15">
      <c r="A209" s="28" t="s">
        <v>617</v>
      </c>
      <c r="B209" s="13" t="s">
        <v>637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5.8999999999999997E-2</v>
      </c>
      <c r="M209" s="21" t="s">
        <v>221</v>
      </c>
      <c r="P209" s="41">
        <f t="shared" ref="P209:AB209" si="206">P189</f>
        <v>12503923880.79229</v>
      </c>
      <c r="Q209" s="41">
        <f t="shared" si="206"/>
        <v>367103.05542727694</v>
      </c>
      <c r="R209" s="41">
        <f t="shared" si="206"/>
        <v>13110823408.117035</v>
      </c>
      <c r="S209" s="41">
        <f t="shared" si="206"/>
        <v>100</v>
      </c>
      <c r="T209" s="41">
        <f t="shared" si="206"/>
        <v>450</v>
      </c>
      <c r="U209" s="57">
        <v>0.5</v>
      </c>
      <c r="V209" s="41">
        <f t="shared" si="206"/>
        <v>65554117.040585175</v>
      </c>
      <c r="W209" s="41">
        <f t="shared" si="206"/>
        <v>0</v>
      </c>
      <c r="X209" s="41">
        <f t="shared" si="206"/>
        <v>200</v>
      </c>
      <c r="Y209" s="41">
        <f t="shared" si="206"/>
        <v>480</v>
      </c>
      <c r="Z209" s="41">
        <f t="shared" si="206"/>
        <v>0</v>
      </c>
      <c r="AA209" s="41">
        <f t="shared" si="206"/>
        <v>20</v>
      </c>
      <c r="AB209" s="41">
        <f t="shared" si="206"/>
        <v>19347.630811523446</v>
      </c>
      <c r="AC209" s="41">
        <v>20</v>
      </c>
      <c r="AD209" s="41">
        <v>200</v>
      </c>
    </row>
    <row r="210" spans="1:30" ht="15" x14ac:dyDescent="0.15">
      <c r="A210" s="28" t="s">
        <v>618</v>
      </c>
      <c r="B210" s="13" t="s">
        <v>638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5.8999999999999997E-2</v>
      </c>
      <c r="M210" s="21" t="s">
        <v>221</v>
      </c>
      <c r="P210" s="41">
        <f t="shared" ref="P210:AB210" si="207">P190</f>
        <v>13129120074.831905</v>
      </c>
      <c r="Q210" s="41">
        <f t="shared" si="207"/>
        <v>385458.20819864079</v>
      </c>
      <c r="R210" s="41">
        <f t="shared" si="207"/>
        <v>13766364578.522888</v>
      </c>
      <c r="S210" s="41">
        <f t="shared" si="207"/>
        <v>100</v>
      </c>
      <c r="T210" s="41">
        <f t="shared" si="207"/>
        <v>450</v>
      </c>
      <c r="U210" s="57">
        <v>0.5</v>
      </c>
      <c r="V210" s="41">
        <f t="shared" si="207"/>
        <v>68831822.892614439</v>
      </c>
      <c r="W210" s="41">
        <f t="shared" si="207"/>
        <v>0</v>
      </c>
      <c r="X210" s="41">
        <f t="shared" si="207"/>
        <v>200</v>
      </c>
      <c r="Y210" s="41">
        <f t="shared" si="207"/>
        <v>490</v>
      </c>
      <c r="Z210" s="41">
        <f t="shared" si="207"/>
        <v>0</v>
      </c>
      <c r="AA210" s="41">
        <f t="shared" si="207"/>
        <v>20</v>
      </c>
      <c r="AB210" s="41">
        <f t="shared" si="207"/>
        <v>20315.01235209962</v>
      </c>
      <c r="AC210" s="41">
        <v>20</v>
      </c>
      <c r="AD210" s="41">
        <v>200</v>
      </c>
    </row>
    <row r="211" spans="1:30" ht="15" x14ac:dyDescent="0.15">
      <c r="A211" s="28" t="s">
        <v>619</v>
      </c>
      <c r="B211" s="13" t="s">
        <v>639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5.8999999999999997E-2</v>
      </c>
      <c r="M211" s="21" t="s">
        <v>221</v>
      </c>
      <c r="P211" s="41">
        <f t="shared" ref="P211:AB211" si="208">P191</f>
        <v>13785576078.573502</v>
      </c>
      <c r="Q211" s="41">
        <f t="shared" si="208"/>
        <v>404731.11860857287</v>
      </c>
      <c r="R211" s="41">
        <f t="shared" si="208"/>
        <v>14454682807.449034</v>
      </c>
      <c r="S211" s="41">
        <f t="shared" si="208"/>
        <v>100</v>
      </c>
      <c r="T211" s="41">
        <f t="shared" si="208"/>
        <v>450</v>
      </c>
      <c r="U211" s="57">
        <v>0.5</v>
      </c>
      <c r="V211" s="41">
        <f t="shared" si="208"/>
        <v>72273414.037245169</v>
      </c>
      <c r="W211" s="41">
        <f t="shared" si="208"/>
        <v>0</v>
      </c>
      <c r="X211" s="41">
        <f t="shared" si="208"/>
        <v>200</v>
      </c>
      <c r="Y211" s="41">
        <f t="shared" si="208"/>
        <v>500</v>
      </c>
      <c r="Z211" s="41">
        <f t="shared" si="208"/>
        <v>0</v>
      </c>
      <c r="AA211" s="41">
        <f t="shared" si="208"/>
        <v>20</v>
      </c>
      <c r="AB211" s="41">
        <f t="shared" si="208"/>
        <v>21330.762969704603</v>
      </c>
      <c r="AC211" s="41">
        <v>20</v>
      </c>
      <c r="AD211" s="41">
        <v>200</v>
      </c>
    </row>
    <row r="212" spans="1:30" ht="15" x14ac:dyDescent="0.15">
      <c r="A212" s="28" t="s">
        <v>620</v>
      </c>
      <c r="B212" s="13" t="s">
        <v>640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5.8999999999999997E-2</v>
      </c>
      <c r="M212" s="21" t="s">
        <v>221</v>
      </c>
      <c r="P212" s="41">
        <f t="shared" ref="P212:AB212" si="209">P192</f>
        <v>14474854882.502178</v>
      </c>
      <c r="Q212" s="41">
        <f t="shared" si="209"/>
        <v>424967.67453900154</v>
      </c>
      <c r="R212" s="41">
        <f t="shared" si="209"/>
        <v>15177416947.821486</v>
      </c>
      <c r="S212" s="41">
        <f t="shared" si="209"/>
        <v>100</v>
      </c>
      <c r="T212" s="41">
        <f t="shared" si="209"/>
        <v>450</v>
      </c>
      <c r="U212" s="57">
        <v>0.5</v>
      </c>
      <c r="V212" s="41">
        <f t="shared" si="209"/>
        <v>75887084.73910743</v>
      </c>
      <c r="W212" s="41">
        <f t="shared" si="209"/>
        <v>0</v>
      </c>
      <c r="X212" s="41">
        <f t="shared" si="209"/>
        <v>200</v>
      </c>
      <c r="Y212" s="41">
        <f t="shared" si="209"/>
        <v>510</v>
      </c>
      <c r="Z212" s="41">
        <f t="shared" si="209"/>
        <v>0</v>
      </c>
      <c r="AA212" s="41">
        <f t="shared" si="209"/>
        <v>20</v>
      </c>
      <c r="AB212" s="41">
        <f t="shared" si="209"/>
        <v>22397.301118189833</v>
      </c>
      <c r="AC212" s="41">
        <v>20</v>
      </c>
      <c r="AD212" s="41">
        <v>200</v>
      </c>
    </row>
    <row r="213" spans="1:30" ht="15" x14ac:dyDescent="0.15">
      <c r="A213" s="28" t="s">
        <v>621</v>
      </c>
      <c r="B213" s="13" t="s">
        <v>641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5.8999999999999997E-2</v>
      </c>
      <c r="M213" s="21" t="s">
        <v>221</v>
      </c>
      <c r="P213" s="41">
        <f t="shared" ref="P213:AB213" si="210">P193</f>
        <v>15198597626.627287</v>
      </c>
      <c r="Q213" s="41">
        <f t="shared" si="210"/>
        <v>446216.05826595164</v>
      </c>
      <c r="R213" s="41">
        <f t="shared" si="210"/>
        <v>15936287795.212561</v>
      </c>
      <c r="S213" s="41">
        <f t="shared" si="210"/>
        <v>100</v>
      </c>
      <c r="T213" s="41">
        <f t="shared" si="210"/>
        <v>450</v>
      </c>
      <c r="U213" s="57">
        <v>0.5</v>
      </c>
      <c r="V213" s="41">
        <f t="shared" si="210"/>
        <v>79681438.976062804</v>
      </c>
      <c r="W213" s="41">
        <f t="shared" si="210"/>
        <v>0</v>
      </c>
      <c r="X213" s="41">
        <f t="shared" si="210"/>
        <v>200</v>
      </c>
      <c r="Y213" s="41">
        <f t="shared" si="210"/>
        <v>520</v>
      </c>
      <c r="Z213" s="41">
        <f t="shared" si="210"/>
        <v>0</v>
      </c>
      <c r="AA213" s="41">
        <f t="shared" si="210"/>
        <v>20</v>
      </c>
      <c r="AB213" s="41">
        <f t="shared" si="210"/>
        <v>23517.166174099326</v>
      </c>
      <c r="AC213" s="41">
        <v>20</v>
      </c>
      <c r="AD213" s="41">
        <v>200</v>
      </c>
    </row>
    <row r="214" spans="1:30" ht="15" x14ac:dyDescent="0.15">
      <c r="A214" s="28" t="s">
        <v>622</v>
      </c>
      <c r="B214" s="13" t="s">
        <v>642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5.8999999999999997E-2</v>
      </c>
      <c r="M214" s="21" t="s">
        <v>221</v>
      </c>
      <c r="P214" s="41">
        <f t="shared" ref="P214:AB214" si="211">P194</f>
        <v>15958527507.958652</v>
      </c>
      <c r="Q214" s="41">
        <f t="shared" si="211"/>
        <v>468526.86117924924</v>
      </c>
      <c r="R214" s="41">
        <f t="shared" si="211"/>
        <v>16733102184.97319</v>
      </c>
      <c r="S214" s="41">
        <f t="shared" si="211"/>
        <v>100</v>
      </c>
      <c r="T214" s="41">
        <f t="shared" si="211"/>
        <v>450</v>
      </c>
      <c r="U214" s="57">
        <v>0.5</v>
      </c>
      <c r="V214" s="41">
        <f t="shared" si="211"/>
        <v>83665510.924865946</v>
      </c>
      <c r="W214" s="41">
        <f t="shared" si="211"/>
        <v>0</v>
      </c>
      <c r="X214" s="41">
        <f t="shared" si="211"/>
        <v>200</v>
      </c>
      <c r="Y214" s="41">
        <f t="shared" si="211"/>
        <v>530</v>
      </c>
      <c r="Z214" s="41">
        <f t="shared" si="211"/>
        <v>0</v>
      </c>
      <c r="AA214" s="41">
        <f t="shared" si="211"/>
        <v>20</v>
      </c>
      <c r="AB214" s="41">
        <f t="shared" si="211"/>
        <v>24693.024482804292</v>
      </c>
      <c r="AC214" s="41">
        <v>20</v>
      </c>
      <c r="AD214" s="41">
        <v>200</v>
      </c>
    </row>
    <row r="215" spans="1:30" ht="15" x14ac:dyDescent="0.15">
      <c r="A215" s="28" t="s">
        <v>623</v>
      </c>
      <c r="B215" s="13" t="s">
        <v>643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5.8999999999999997E-2</v>
      </c>
      <c r="M215" s="21" t="s">
        <v>221</v>
      </c>
      <c r="P215" s="41">
        <f t="shared" ref="P215:AB215" si="212">P195</f>
        <v>16756453883.356586</v>
      </c>
      <c r="Q215" s="41">
        <f t="shared" si="212"/>
        <v>491953.20423821174</v>
      </c>
      <c r="R215" s="41">
        <f t="shared" si="212"/>
        <v>17569757294.221851</v>
      </c>
      <c r="S215" s="41">
        <f t="shared" si="212"/>
        <v>100</v>
      </c>
      <c r="T215" s="41">
        <f t="shared" si="212"/>
        <v>450</v>
      </c>
      <c r="U215" s="57">
        <v>0.5</v>
      </c>
      <c r="V215" s="41">
        <f t="shared" si="212"/>
        <v>87848786.471109256</v>
      </c>
      <c r="W215" s="41">
        <f t="shared" si="212"/>
        <v>0</v>
      </c>
      <c r="X215" s="41">
        <f t="shared" si="212"/>
        <v>200</v>
      </c>
      <c r="Y215" s="41">
        <f t="shared" si="212"/>
        <v>540</v>
      </c>
      <c r="Z215" s="41">
        <f t="shared" si="212"/>
        <v>0</v>
      </c>
      <c r="AA215" s="41">
        <f t="shared" si="212"/>
        <v>20</v>
      </c>
      <c r="AB215" s="41">
        <f t="shared" si="212"/>
        <v>25927.675706944508</v>
      </c>
      <c r="AC215" s="41">
        <v>20</v>
      </c>
      <c r="AD215" s="41">
        <v>200</v>
      </c>
    </row>
    <row r="216" spans="1:30" ht="15" x14ac:dyDescent="0.15">
      <c r="A216" s="28" t="s">
        <v>624</v>
      </c>
      <c r="B216" s="13" t="s">
        <v>644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5.8999999999999997E-2</v>
      </c>
      <c r="M216" s="21" t="s">
        <v>221</v>
      </c>
      <c r="P216" s="41">
        <f t="shared" ref="P216:AB216" si="213">P196</f>
        <v>17594276577.524418</v>
      </c>
      <c r="Q216" s="41">
        <f t="shared" si="213"/>
        <v>516550.86445012235</v>
      </c>
      <c r="R216" s="41">
        <f t="shared" si="213"/>
        <v>18448245158.932945</v>
      </c>
      <c r="S216" s="41">
        <f t="shared" si="213"/>
        <v>100</v>
      </c>
      <c r="T216" s="41">
        <f t="shared" si="213"/>
        <v>450</v>
      </c>
      <c r="U216" s="57">
        <v>0.5</v>
      </c>
      <c r="V216" s="41">
        <f t="shared" si="213"/>
        <v>92241225.794664726</v>
      </c>
      <c r="W216" s="41">
        <f t="shared" si="213"/>
        <v>0</v>
      </c>
      <c r="X216" s="41">
        <f t="shared" si="213"/>
        <v>200</v>
      </c>
      <c r="Y216" s="41">
        <f t="shared" si="213"/>
        <v>550</v>
      </c>
      <c r="Z216" s="41">
        <f t="shared" si="213"/>
        <v>0</v>
      </c>
      <c r="AA216" s="41">
        <f t="shared" si="213"/>
        <v>20</v>
      </c>
      <c r="AB216" s="41">
        <f t="shared" si="213"/>
        <v>27224.059492291733</v>
      </c>
      <c r="AC216" s="41">
        <v>20</v>
      </c>
      <c r="AD216" s="41">
        <v>200</v>
      </c>
    </row>
    <row r="217" spans="1:30" ht="15" x14ac:dyDescent="0.15">
      <c r="A217" s="28" t="s">
        <v>625</v>
      </c>
      <c r="B217" s="13" t="s">
        <v>645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5.8999999999999997E-2</v>
      </c>
      <c r="M217" s="21" t="s">
        <v>221</v>
      </c>
      <c r="P217" s="41">
        <f t="shared" ref="P217:AB217" si="214">P197</f>
        <v>18473990406.400639</v>
      </c>
      <c r="Q217" s="41">
        <f t="shared" si="214"/>
        <v>542378.40767262853</v>
      </c>
      <c r="R217" s="41">
        <f t="shared" si="214"/>
        <v>19370657416.879593</v>
      </c>
      <c r="S217" s="41">
        <f t="shared" si="214"/>
        <v>100</v>
      </c>
      <c r="T217" s="41">
        <f t="shared" si="214"/>
        <v>450</v>
      </c>
      <c r="U217" s="57">
        <v>0.5</v>
      </c>
      <c r="V217" s="41">
        <f t="shared" si="214"/>
        <v>96853287.084397972</v>
      </c>
      <c r="W217" s="41">
        <f t="shared" si="214"/>
        <v>0</v>
      </c>
      <c r="X217" s="41">
        <f t="shared" si="214"/>
        <v>200</v>
      </c>
      <c r="Y217" s="41">
        <f t="shared" si="214"/>
        <v>560</v>
      </c>
      <c r="Z217" s="41">
        <f t="shared" si="214"/>
        <v>0</v>
      </c>
      <c r="AA217" s="41">
        <f t="shared" si="214"/>
        <v>20</v>
      </c>
      <c r="AB217" s="41">
        <f t="shared" si="214"/>
        <v>28585.262466906323</v>
      </c>
      <c r="AC217" s="41">
        <v>20</v>
      </c>
      <c r="AD217" s="41">
        <v>200</v>
      </c>
    </row>
    <row r="218" spans="1:30" ht="15" x14ac:dyDescent="0.15">
      <c r="A218" s="28" t="s">
        <v>626</v>
      </c>
      <c r="B218" s="13" t="s">
        <v>646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5.8999999999999997E-2</v>
      </c>
      <c r="M218" s="21" t="s">
        <v>221</v>
      </c>
      <c r="P218" s="41">
        <f t="shared" ref="P218:AB218" si="215">P198</f>
        <v>19397689926.720673</v>
      </c>
      <c r="Q218" s="41">
        <f t="shared" si="215"/>
        <v>569497.32805626001</v>
      </c>
      <c r="R218" s="41">
        <f t="shared" si="215"/>
        <v>20339190287.723572</v>
      </c>
      <c r="S218" s="41">
        <f t="shared" si="215"/>
        <v>100</v>
      </c>
      <c r="T218" s="41">
        <f t="shared" si="215"/>
        <v>450</v>
      </c>
      <c r="U218" s="57">
        <v>0.5</v>
      </c>
      <c r="V218" s="41">
        <f t="shared" si="215"/>
        <v>101695951.43861786</v>
      </c>
      <c r="W218" s="41">
        <f t="shared" si="215"/>
        <v>0</v>
      </c>
      <c r="X218" s="41">
        <f t="shared" si="215"/>
        <v>200</v>
      </c>
      <c r="Y218" s="41">
        <f t="shared" si="215"/>
        <v>570</v>
      </c>
      <c r="Z218" s="41">
        <f t="shared" si="215"/>
        <v>0</v>
      </c>
      <c r="AA218" s="41">
        <f t="shared" si="215"/>
        <v>20</v>
      </c>
      <c r="AB218" s="41">
        <f t="shared" si="215"/>
        <v>30014.52559025164</v>
      </c>
      <c r="AC218" s="41">
        <v>20</v>
      </c>
      <c r="AD218" s="41">
        <v>200</v>
      </c>
    </row>
    <row r="219" spans="1:30" ht="15" x14ac:dyDescent="0.15">
      <c r="A219" s="28" t="s">
        <v>627</v>
      </c>
      <c r="B219" s="13" t="s">
        <v>647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5.8999999999999997E-2</v>
      </c>
      <c r="M219" s="21" t="s">
        <v>221</v>
      </c>
      <c r="P219" s="41">
        <f t="shared" ref="P219:AB219" si="216">P199</f>
        <v>20367574423.056705</v>
      </c>
      <c r="Q219" s="41">
        <f t="shared" si="216"/>
        <v>597972.19445907301</v>
      </c>
      <c r="R219" s="41">
        <f t="shared" si="216"/>
        <v>21356149802.109753</v>
      </c>
      <c r="S219" s="41">
        <f t="shared" si="216"/>
        <v>100</v>
      </c>
      <c r="T219" s="41">
        <f t="shared" si="216"/>
        <v>450</v>
      </c>
      <c r="U219" s="57">
        <v>0.5</v>
      </c>
      <c r="V219" s="41">
        <f t="shared" si="216"/>
        <v>106780749.01054877</v>
      </c>
      <c r="W219" s="41">
        <f t="shared" si="216"/>
        <v>0</v>
      </c>
      <c r="X219" s="41">
        <f t="shared" si="216"/>
        <v>200</v>
      </c>
      <c r="Y219" s="41">
        <f t="shared" si="216"/>
        <v>580</v>
      </c>
      <c r="Z219" s="41">
        <f t="shared" si="216"/>
        <v>0</v>
      </c>
      <c r="AA219" s="41">
        <f t="shared" si="216"/>
        <v>20</v>
      </c>
      <c r="AB219" s="41">
        <f t="shared" si="216"/>
        <v>31515.251869764223</v>
      </c>
      <c r="AC219" s="41">
        <v>20</v>
      </c>
      <c r="AD219" s="41">
        <v>200</v>
      </c>
    </row>
    <row r="220" spans="1:30" ht="15" x14ac:dyDescent="0.15">
      <c r="A220" s="28" t="s">
        <v>628</v>
      </c>
      <c r="B220" s="13" t="s">
        <v>648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5.8999999999999997E-2</v>
      </c>
      <c r="M220" s="21" t="s">
        <v>221</v>
      </c>
      <c r="P220" s="41">
        <f t="shared" ref="P220:AB220" si="217">P200</f>
        <v>21385953144.209541</v>
      </c>
      <c r="Q220" s="41">
        <f t="shared" si="217"/>
        <v>627870.80418202665</v>
      </c>
      <c r="R220" s="41">
        <f t="shared" si="217"/>
        <v>22423957292.21524</v>
      </c>
      <c r="S220" s="41">
        <f t="shared" si="217"/>
        <v>100</v>
      </c>
      <c r="T220" s="41">
        <f t="shared" si="217"/>
        <v>450</v>
      </c>
      <c r="U220" s="57">
        <v>0.5</v>
      </c>
      <c r="V220" s="41">
        <f t="shared" si="217"/>
        <v>112119786.4610762</v>
      </c>
      <c r="W220" s="41">
        <f t="shared" si="217"/>
        <v>0</v>
      </c>
      <c r="X220" s="41">
        <f t="shared" si="217"/>
        <v>200</v>
      </c>
      <c r="Y220" s="41">
        <f t="shared" si="217"/>
        <v>590</v>
      </c>
      <c r="Z220" s="41">
        <f t="shared" si="217"/>
        <v>0</v>
      </c>
      <c r="AA220" s="41">
        <f t="shared" si="217"/>
        <v>20</v>
      </c>
      <c r="AB220" s="41">
        <f t="shared" si="217"/>
        <v>33091.014463252432</v>
      </c>
      <c r="AC220" s="41">
        <v>20</v>
      </c>
      <c r="AD220" s="41">
        <v>200</v>
      </c>
    </row>
    <row r="221" spans="1:30" ht="15" x14ac:dyDescent="0.15">
      <c r="A221" s="28" t="s">
        <v>629</v>
      </c>
      <c r="B221" s="13" t="s">
        <v>649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5.8999999999999997E-2</v>
      </c>
      <c r="M221" s="21" t="s">
        <v>221</v>
      </c>
      <c r="P221" s="41">
        <f t="shared" ref="P221:AB221" si="218">P201</f>
        <v>22455250801.420021</v>
      </c>
      <c r="Q221" s="41">
        <f t="shared" si="218"/>
        <v>659264.34439112805</v>
      </c>
      <c r="R221" s="41">
        <f t="shared" si="218"/>
        <v>23545155156.826004</v>
      </c>
      <c r="S221" s="41">
        <f t="shared" si="218"/>
        <v>100</v>
      </c>
      <c r="T221" s="41">
        <f t="shared" si="218"/>
        <v>450</v>
      </c>
      <c r="U221" s="57">
        <v>0.5</v>
      </c>
      <c r="V221" s="41">
        <f t="shared" si="218"/>
        <v>117725775.78413002</v>
      </c>
      <c r="W221" s="41">
        <f t="shared" si="218"/>
        <v>0</v>
      </c>
      <c r="X221" s="41">
        <f t="shared" si="218"/>
        <v>200</v>
      </c>
      <c r="Y221" s="41">
        <f t="shared" si="218"/>
        <v>600</v>
      </c>
      <c r="Z221" s="41">
        <f t="shared" si="218"/>
        <v>0</v>
      </c>
      <c r="AA221" s="41">
        <f t="shared" si="218"/>
        <v>20</v>
      </c>
      <c r="AB221" s="41">
        <f t="shared" si="218"/>
        <v>34745.565186415057</v>
      </c>
      <c r="AC221" s="41">
        <v>20</v>
      </c>
      <c r="AD221" s="41">
        <v>200</v>
      </c>
    </row>
    <row r="222" spans="1:30" ht="15" x14ac:dyDescent="0.15">
      <c r="A222" s="28" t="s">
        <v>654</v>
      </c>
      <c r="B222" s="13" t="s">
        <v>653</v>
      </c>
      <c r="C222" s="47" t="s">
        <v>222</v>
      </c>
      <c r="D222" s="11" t="s">
        <v>350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29999999999</v>
      </c>
      <c r="Q222" s="27">
        <v>199999</v>
      </c>
      <c r="R222" s="27">
        <v>99999999999</v>
      </c>
      <c r="S222" s="27">
        <v>100</v>
      </c>
      <c r="T222" s="27">
        <v>450</v>
      </c>
      <c r="U222" s="18">
        <v>0.5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652</v>
      </c>
      <c r="B223" s="13" t="s">
        <v>656</v>
      </c>
      <c r="C223" s="47" t="s">
        <v>222</v>
      </c>
      <c r="D223" s="48" t="s">
        <v>657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658</v>
      </c>
      <c r="B224" s="13" t="s">
        <v>659</v>
      </c>
      <c r="C224" s="47" t="s">
        <v>222</v>
      </c>
      <c r="D224" s="48" t="s">
        <v>657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  <row r="225" spans="1:30" ht="15" x14ac:dyDescent="0.15">
      <c r="A225" s="54" t="s">
        <v>667</v>
      </c>
      <c r="B225" s="13" t="s">
        <v>662</v>
      </c>
      <c r="C225" s="47" t="s">
        <v>222</v>
      </c>
      <c r="G225" s="49">
        <v>500</v>
      </c>
      <c r="H225" s="14"/>
      <c r="I225" s="49"/>
      <c r="J225" s="49">
        <v>500</v>
      </c>
      <c r="K225" s="48">
        <v>5.8999999999999997E-2</v>
      </c>
      <c r="M225" s="21" t="s">
        <v>221</v>
      </c>
      <c r="N225" s="28" t="str">
        <f>"{'ronglian102', '"&amp;A225&amp;"*1',10,270,10,13 }"</f>
        <v>{'ronglian102', '熔炼石侍卫1*1',10,270,10,13 }</v>
      </c>
      <c r="P225" s="41">
        <f>P169*1.05</f>
        <v>3270325570.0118818</v>
      </c>
      <c r="Q225" s="41">
        <f>Q169*1.05</f>
        <v>96013.58105174599</v>
      </c>
      <c r="R225" s="41">
        <f>R169*1.05</f>
        <v>3429056466.1337862</v>
      </c>
      <c r="S225" s="27">
        <v>100</v>
      </c>
      <c r="T225" s="52">
        <v>450</v>
      </c>
      <c r="U225" s="57">
        <v>0.7</v>
      </c>
      <c r="V225" s="27">
        <f t="shared" ref="V225:V229" si="219">R225*0.005</f>
        <v>17145282.33066893</v>
      </c>
      <c r="W225" s="41">
        <v>0</v>
      </c>
      <c r="X225" s="41">
        <f t="shared" ref="X225:X229" si="220">X138</f>
        <v>200</v>
      </c>
      <c r="Y225" s="41">
        <v>300</v>
      </c>
      <c r="Z225" s="27">
        <v>0</v>
      </c>
      <c r="AA225" s="41">
        <v>20</v>
      </c>
      <c r="AB225" s="41">
        <v>7500</v>
      </c>
      <c r="AC225" s="41">
        <v>20</v>
      </c>
      <c r="AD225" s="41">
        <v>150</v>
      </c>
    </row>
    <row r="226" spans="1:30" ht="15" x14ac:dyDescent="0.15">
      <c r="A226" s="54" t="s">
        <v>668</v>
      </c>
      <c r="B226" s="13" t="s">
        <v>663</v>
      </c>
      <c r="C226" s="47" t="s">
        <v>222</v>
      </c>
      <c r="G226" s="49">
        <v>500</v>
      </c>
      <c r="H226" s="14"/>
      <c r="I226" s="49"/>
      <c r="J226" s="49">
        <v>500</v>
      </c>
      <c r="K226" s="48">
        <v>5.8999999999999997E-2</v>
      </c>
      <c r="M226" s="21" t="s">
        <v>221</v>
      </c>
      <c r="N226" s="28" t="str">
        <f>"{'ronglian103', '"&amp;A226&amp;"*1',10,270,10,13 }"</f>
        <v>{'ronglian103', '熔炼石侍卫2*1',10,270,10,13 }</v>
      </c>
      <c r="P226" s="41">
        <f t="shared" ref="P226:R229" si="221">P170*1.05</f>
        <v>3597358127.0130701</v>
      </c>
      <c r="Q226" s="41">
        <f t="shared" si="221"/>
        <v>105614.93915692061</v>
      </c>
      <c r="R226" s="41">
        <f t="shared" si="221"/>
        <v>3771962112.7471652</v>
      </c>
      <c r="S226" s="27">
        <v>100</v>
      </c>
      <c r="T226" s="52">
        <v>450</v>
      </c>
      <c r="U226" s="57">
        <v>0.7</v>
      </c>
      <c r="V226" s="27">
        <f t="shared" si="219"/>
        <v>18859810.563735828</v>
      </c>
      <c r="W226" s="41">
        <v>0</v>
      </c>
      <c r="X226" s="41">
        <f t="shared" si="220"/>
        <v>200</v>
      </c>
      <c r="Y226" s="41">
        <v>300</v>
      </c>
      <c r="Z226" s="27">
        <v>0</v>
      </c>
      <c r="AA226" s="41">
        <v>20</v>
      </c>
      <c r="AB226" s="41">
        <v>7500</v>
      </c>
      <c r="AC226" s="41">
        <v>20</v>
      </c>
      <c r="AD226" s="41">
        <v>150</v>
      </c>
    </row>
    <row r="227" spans="1:30" ht="15" x14ac:dyDescent="0.15">
      <c r="A227" s="54" t="s">
        <v>669</v>
      </c>
      <c r="B227" s="13" t="s">
        <v>664</v>
      </c>
      <c r="C227" s="47" t="s">
        <v>222</v>
      </c>
      <c r="G227" s="49">
        <v>500</v>
      </c>
      <c r="H227" s="14"/>
      <c r="I227" s="49"/>
      <c r="J227" s="49">
        <v>500</v>
      </c>
      <c r="K227" s="48">
        <v>5.8999999999999997E-2</v>
      </c>
      <c r="M227" s="21" t="s">
        <v>221</v>
      </c>
      <c r="N227" s="28" t="str">
        <f>"{'ronglian104', '"&amp;A227&amp;"*1',10,270,10,13 }"</f>
        <v>{'ronglian104', '熔炼石侍卫3*1',10,270,10,13 }</v>
      </c>
      <c r="P227" s="41">
        <f t="shared" si="221"/>
        <v>3957093939.7143774</v>
      </c>
      <c r="Q227" s="41">
        <f t="shared" si="221"/>
        <v>116176.43307261266</v>
      </c>
      <c r="R227" s="41">
        <f t="shared" si="221"/>
        <v>4149158324.0218821</v>
      </c>
      <c r="S227" s="27">
        <v>100</v>
      </c>
      <c r="T227" s="52">
        <v>450</v>
      </c>
      <c r="U227" s="57">
        <v>0.7</v>
      </c>
      <c r="V227" s="27">
        <f t="shared" si="219"/>
        <v>20745791.620109409</v>
      </c>
      <c r="W227" s="41">
        <v>0</v>
      </c>
      <c r="X227" s="41">
        <f t="shared" si="220"/>
        <v>200</v>
      </c>
      <c r="Y227" s="41">
        <v>300</v>
      </c>
      <c r="Z227" s="27">
        <v>0</v>
      </c>
      <c r="AA227" s="41">
        <v>20</v>
      </c>
      <c r="AB227" s="41">
        <v>7500</v>
      </c>
      <c r="AC227" s="41">
        <v>20</v>
      </c>
      <c r="AD227" s="41">
        <v>150</v>
      </c>
    </row>
    <row r="228" spans="1:30" ht="15" x14ac:dyDescent="0.15">
      <c r="A228" s="54" t="s">
        <v>670</v>
      </c>
      <c r="B228" s="13" t="s">
        <v>665</v>
      </c>
      <c r="C228" s="47" t="s">
        <v>222</v>
      </c>
      <c r="G228" s="49">
        <v>500</v>
      </c>
      <c r="H228" s="14"/>
      <c r="I228" s="49"/>
      <c r="J228" s="49">
        <v>500</v>
      </c>
      <c r="K228" s="48">
        <v>5.8999999999999997E-2</v>
      </c>
      <c r="M228" s="21" t="s">
        <v>221</v>
      </c>
      <c r="N228" s="28" t="str">
        <f>"{'ronglian105', '"&amp;A228&amp;"*1',10,270,10,13 }"</f>
        <v>{'ronglian105', '熔炼石侍卫4*1',10,270,10,13 }</v>
      </c>
      <c r="P228" s="41">
        <f t="shared" si="221"/>
        <v>4352803333.6858158</v>
      </c>
      <c r="Q228" s="41">
        <f t="shared" si="221"/>
        <v>127794.07637987394</v>
      </c>
      <c r="R228" s="41">
        <f t="shared" si="221"/>
        <v>4564074156.4240704</v>
      </c>
      <c r="S228" s="27">
        <v>100</v>
      </c>
      <c r="T228" s="52">
        <v>450</v>
      </c>
      <c r="U228" s="57">
        <v>0.7</v>
      </c>
      <c r="V228" s="27">
        <f t="shared" si="219"/>
        <v>22820370.782120351</v>
      </c>
      <c r="W228" s="41">
        <v>0</v>
      </c>
      <c r="X228" s="41">
        <f t="shared" si="220"/>
        <v>200</v>
      </c>
      <c r="Y228" s="41">
        <v>300</v>
      </c>
      <c r="Z228" s="27">
        <v>0</v>
      </c>
      <c r="AA228" s="41">
        <v>20</v>
      </c>
      <c r="AB228" s="41">
        <v>7500</v>
      </c>
      <c r="AC228" s="41">
        <v>20</v>
      </c>
      <c r="AD228" s="41">
        <v>150</v>
      </c>
    </row>
    <row r="229" spans="1:30" ht="15" x14ac:dyDescent="0.15">
      <c r="A229" s="54" t="s">
        <v>671</v>
      </c>
      <c r="B229" s="13" t="s">
        <v>666</v>
      </c>
      <c r="C229" s="47" t="s">
        <v>222</v>
      </c>
      <c r="G229" s="49">
        <v>500</v>
      </c>
      <c r="H229" s="14"/>
      <c r="I229" s="49"/>
      <c r="J229" s="49">
        <v>500</v>
      </c>
      <c r="K229" s="48">
        <v>5.8999999999999997E-2</v>
      </c>
      <c r="M229" s="21" t="s">
        <v>221</v>
      </c>
      <c r="N229" s="28"/>
      <c r="P229" s="41">
        <f t="shared" si="221"/>
        <v>4788083667.0543976</v>
      </c>
      <c r="Q229" s="41">
        <f t="shared" si="221"/>
        <v>140573.48401786137</v>
      </c>
      <c r="R229" s="41">
        <f t="shared" si="221"/>
        <v>5020481572.0664787</v>
      </c>
      <c r="S229" s="27">
        <v>100</v>
      </c>
      <c r="T229" s="52">
        <v>450</v>
      </c>
      <c r="U229" s="57">
        <v>0.7</v>
      </c>
      <c r="V229" s="27">
        <f t="shared" si="219"/>
        <v>25102407.860332396</v>
      </c>
      <c r="W229" s="41">
        <v>0</v>
      </c>
      <c r="X229" s="41">
        <f t="shared" si="220"/>
        <v>200</v>
      </c>
      <c r="Y229" s="41">
        <v>300</v>
      </c>
      <c r="Z229" s="27">
        <v>0</v>
      </c>
      <c r="AA229" s="41">
        <v>20</v>
      </c>
      <c r="AB229" s="41">
        <v>10000</v>
      </c>
      <c r="AC229" s="41">
        <v>20</v>
      </c>
      <c r="AD229" s="41">
        <v>150</v>
      </c>
    </row>
    <row r="230" spans="1:30" ht="15" x14ac:dyDescent="0.15">
      <c r="A230" s="61" t="s">
        <v>675</v>
      </c>
      <c r="B230" s="13" t="s">
        <v>673</v>
      </c>
      <c r="C230" s="47" t="s">
        <v>222</v>
      </c>
      <c r="D230" s="48" t="s">
        <v>657</v>
      </c>
      <c r="E230" s="45"/>
      <c r="F230" s="45"/>
      <c r="G230" s="47">
        <v>10</v>
      </c>
      <c r="H230" s="47"/>
      <c r="I230" s="47"/>
      <c r="J230" s="47">
        <v>10</v>
      </c>
      <c r="K230" s="47">
        <v>1E-3</v>
      </c>
      <c r="L230" s="19"/>
      <c r="M230" s="64"/>
      <c r="N230" s="16"/>
      <c r="O230" s="16"/>
      <c r="P230" s="50">
        <v>1</v>
      </c>
      <c r="Q230" s="50">
        <v>1</v>
      </c>
      <c r="R230" s="50">
        <v>150</v>
      </c>
      <c r="S230" s="50">
        <v>1</v>
      </c>
      <c r="T230" s="50">
        <v>450</v>
      </c>
      <c r="U230" s="50">
        <v>0.75</v>
      </c>
      <c r="V230" s="50">
        <v>10</v>
      </c>
      <c r="W230" s="50">
        <v>0</v>
      </c>
      <c r="X230" s="50">
        <v>400</v>
      </c>
      <c r="Y230" s="50">
        <v>50</v>
      </c>
      <c r="Z230" s="50">
        <v>0</v>
      </c>
      <c r="AA230" s="50">
        <v>0</v>
      </c>
      <c r="AB230" s="50">
        <v>0</v>
      </c>
      <c r="AC230" s="50">
        <v>0</v>
      </c>
      <c r="AD230" s="41">
        <v>0</v>
      </c>
    </row>
    <row r="231" spans="1:30" ht="14.25" customHeight="1" x14ac:dyDescent="0.15">
      <c r="A231" s="12" t="s">
        <v>677</v>
      </c>
      <c r="B231" s="13" t="s">
        <v>676</v>
      </c>
      <c r="C231" s="7" t="s">
        <v>222</v>
      </c>
      <c r="D231" s="7"/>
      <c r="E231" s="1"/>
      <c r="F231" s="1"/>
      <c r="G231" s="15"/>
      <c r="H231" s="14"/>
      <c r="I231" s="14"/>
      <c r="J231" s="14">
        <v>500</v>
      </c>
      <c r="K231" s="24">
        <v>5.8999999999999997E-2</v>
      </c>
      <c r="L231" s="24"/>
      <c r="M231" s="21" t="s">
        <v>221</v>
      </c>
      <c r="N231" s="1"/>
      <c r="O231" s="26"/>
      <c r="P231" s="27">
        <f t="shared" ref="P231" si="222">P230*3</f>
        <v>3</v>
      </c>
      <c r="Q231" s="27">
        <v>16888</v>
      </c>
      <c r="R231" s="27">
        <v>8888888888</v>
      </c>
      <c r="S231" s="27">
        <v>100</v>
      </c>
      <c r="T231" s="27">
        <v>0</v>
      </c>
      <c r="U231" s="18">
        <v>0.9</v>
      </c>
      <c r="V231" s="27">
        <v>0</v>
      </c>
      <c r="W231" s="29">
        <v>0</v>
      </c>
      <c r="X231" s="27">
        <v>200</v>
      </c>
      <c r="Y231" s="27">
        <v>200</v>
      </c>
      <c r="Z231" s="27">
        <v>0</v>
      </c>
      <c r="AA231" s="27">
        <v>20</v>
      </c>
      <c r="AB231" s="27">
        <v>2000</v>
      </c>
      <c r="AC231" s="27">
        <v>0</v>
      </c>
      <c r="AD231" s="27">
        <v>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2020-05-17T14:24:43Z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