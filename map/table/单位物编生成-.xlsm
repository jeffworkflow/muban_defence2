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605591CC-8A4F-449C-B2EF-9B49F7F761AA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9" i="29" l="1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R65" i="29" l="1"/>
  <c r="Q110" i="29"/>
  <c r="R110" i="29"/>
  <c r="Q99" i="29"/>
  <c r="R99" i="29"/>
  <c r="P99" i="29"/>
  <c r="P101" i="29" s="1"/>
  <c r="R12" i="29"/>
  <c r="Q12" i="29"/>
  <c r="P12" i="29"/>
  <c r="N168" i="29" l="1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4" i="29"/>
  <c r="N9" i="29"/>
  <c r="N8" i="29"/>
  <c r="N10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6" i="29"/>
  <c r="R96" i="29"/>
  <c r="P96" i="29"/>
  <c r="Q95" i="29"/>
  <c r="R95" i="29"/>
  <c r="P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N106" i="29"/>
  <c r="N104" i="29"/>
  <c r="N102" i="29"/>
  <c r="N100" i="29"/>
  <c r="N98" i="29"/>
  <c r="N108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<sst xmlns="http://schemas.openxmlformats.org/spreadsheetml/2006/main" count="1867" uniqueCount="672">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</sst>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4"/>
  <sheetViews>
    <sheetView tabSelected="1" workbookViewId="0">
      <pane xSplit="1" ySplit="3" topLeftCell="B205" activePane="bottomRight" state="frozen"/>
      <selection pane="topRight"/>
      <selection pane="bottomLeft"/>
      <selection pane="bottomRight" activeCell="H228" sqref="H228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  <row r="222" spans="1:9" ht="15" x14ac:dyDescent="0.15">
      <c r="A222" s="28" t="s">
        <v>664</v>
      </c>
      <c r="B222" s="13" t="s">
        <v>663</v>
      </c>
      <c r="C222" s="12" t="s">
        <v>29</v>
      </c>
      <c r="D222" s="62" t="s">
        <v>665</v>
      </c>
      <c r="G222">
        <v>2</v>
      </c>
      <c r="I222" s="6">
        <v>30</v>
      </c>
    </row>
    <row r="223" spans="1:9" s="45" customFormat="1" ht="15" x14ac:dyDescent="0.15">
      <c r="A223" s="61" t="s">
        <v>662</v>
      </c>
      <c r="B223" s="13" t="s">
        <v>666</v>
      </c>
      <c r="C223" s="46" t="s">
        <v>29</v>
      </c>
      <c r="D223" s="62" t="s">
        <v>665</v>
      </c>
      <c r="G223" s="63">
        <v>2</v>
      </c>
      <c r="I223" s="63">
        <v>30</v>
      </c>
    </row>
    <row r="224" spans="1:9" ht="15" x14ac:dyDescent="0.15">
      <c r="A224" s="28" t="s">
        <v>668</v>
      </c>
      <c r="B224" s="13" t="s">
        <v>669</v>
      </c>
      <c r="C224" s="46" t="s">
        <v>671</v>
      </c>
      <c r="D224" s="3" t="s">
        <v>670</v>
      </c>
      <c r="G224" s="63">
        <v>1</v>
      </c>
      <c r="H224" s="45"/>
      <c r="I224" s="63">
        <v>30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4"/>
  <sheetViews>
    <sheetView topLeftCell="A196" zoomScaleNormal="100" workbookViewId="0">
      <pane xSplit="1" topLeftCell="B1" activePane="topRight" state="frozen"/>
      <selection pane="topRight" activeCell="Q216" sqref="Q216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6.0999999999999999E-2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6.0999999999999999E-2</v>
      </c>
      <c r="L8" s="24"/>
      <c r="M8" s="21" t="s">
        <v>221</v>
      </c>
      <c r="N8" s="28" t="str">
        <f>"{'sylh1', '"&amp;A8&amp;"*1',8,270,10,13,'烧火棍*1' }"</f>
        <v>{'sylh1', '三眼灵猴*1',8,270,10,13,'烧火棍*1'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6.0999999999999999E-2</v>
      </c>
      <c r="L9" s="24"/>
      <c r="M9" s="21" t="s">
        <v>221</v>
      </c>
      <c r="N9" s="28" t="str">
        <f>"{'yanhuang1', '"&amp;A9&amp;"*1',8,270,10,13,'赤炎甲*1' }"</f>
        <v>{'yanhuang1', '焰皇*1',8,270,10,13,'赤炎甲*1'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6.0999999999999999E-2</v>
      </c>
      <c r="L10" s="24"/>
      <c r="M10" s="21" t="s">
        <v>221</v>
      </c>
      <c r="N10" s="28" t="str">
        <f>"{'miyiyang1', '"&amp;A10&amp;"*1',8,270,10,13,'谜一样的箱子*1' }"</f>
        <v>{'miyiyang1', '灵魂*1',8,270,10,13,'谜一样的箱子*1'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6.0999999999999999E-2</v>
      </c>
      <c r="L11" s="24"/>
      <c r="M11" s="21" t="s">
        <v>221</v>
      </c>
      <c r="N11" s="28" t="str">
        <f>"{'tianshu1', '"&amp;A11&amp;"*1',8,270,10,13,'谜一样的天书*1' }"</f>
        <v>{'tianshu1', '熊猫人*1',8,270,10,13,'谜一样的天书*1'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6.0999999999999999E-2</v>
      </c>
      <c r="L12" s="24"/>
      <c r="M12" s="21" t="s">
        <v>221</v>
      </c>
      <c r="N12" s="28" t="str">
        <f>"{'jingpo1', '"&amp;A12&amp;"*1',8,270,10,13,'圣龙精魄碎片一*1' }"</f>
        <v>{'jingpo1', '九幽地冥蟒*1',8,270,10,13,'圣龙精魄碎片一*1'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6.0999999999999999E-2</v>
      </c>
      <c r="L13" s="24"/>
      <c r="M13" s="21" t="s">
        <v>221</v>
      </c>
      <c r="N13" s="28" t="str">
        <f>"{'jingpo2', '"&amp;A13&amp;"*1',8,270,10,13,'圣龙精魄碎片二*1' }"</f>
        <v>{'jingpo2', '九幽雀*1',8,270,10,13,'圣龙精魄碎片二*1'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6.0999999999999999E-2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6.0999999999999999E-2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6.0999999999999999E-2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6.0999999999999999E-2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6.0999999999999999E-2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6.0999999999999999E-2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6.0999999999999999E-2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6.0999999999999999E-2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6.0999999999999999E-2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6.0999999999999999E-2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6.0999999999999999E-2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6.0999999999999999E-2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6.0999999999999999E-2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6.0999999999999999E-2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6.0999999999999999E-2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6.0999999999999999E-2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6.0999999999999999E-2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6.0999999999999999E-2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6.0999999999999999E-2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6.0999999999999999E-2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6.0999999999999999E-2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6.0999999999999999E-2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6.0999999999999999E-2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6.0999999999999999E-2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6.0999999999999999E-2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6.0999999999999999E-2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6.0999999999999999E-2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6.0999999999999999E-2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6.0999999999999999E-2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6.0999999999999999E-2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6.0999999999999999E-2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6.0999999999999999E-2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6.0999999999999999E-2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6.0999999999999999E-2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6.0999999999999999E-2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6.0999999999999999E-2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6.0999999999999999E-2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6.0999999999999999E-2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6.0999999999999999E-2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6.0999999999999999E-2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6.0999999999999999E-2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6.0999999999999999E-2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6.0999999999999999E-2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6.0999999999999999E-2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6.0999999999999999E-2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6.0999999999999999E-2</v>
      </c>
      <c r="L59" s="24"/>
      <c r="M59" s="21" t="s">
        <v>221</v>
      </c>
      <c r="N59" s="28" t="str">
        <f>"{'sylz1', '"&amp;A59&amp;"*1',8,270,10,13,'三眼赤痕*1' }"</f>
        <v>{'sylz1', '三眼老祖*1',8,270,10,13,'三眼赤痕*1'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6.0999999999999999E-2</v>
      </c>
      <c r="L60" s="24"/>
      <c r="M60" s="21" t="s">
        <v>221</v>
      </c>
      <c r="N60" s="28" t="str">
        <f>"{'bhhl1', '"&amp;A60&amp;"*1',8,270,10,13,'火龙气息*1' }"</f>
        <v>{'bhhl1', '八荒火龙*1',8,270,10,13,'火龙气息*1'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6.0999999999999999E-2</v>
      </c>
      <c r="L61" s="24"/>
      <c r="M61" s="21" t="s">
        <v>221</v>
      </c>
      <c r="N61" s="28" t="str">
        <f>"{'yijie1', '"&amp;A61&amp;"*1',8,270,10,13,'地魂融血丹*1' }"</f>
        <v>{'yijie1', '一姐*1',8,270,10,13,'地魂融血丹*1'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6.0999999999999999E-2</v>
      </c>
      <c r="L62" s="24"/>
      <c r="M62" s="21" t="s">
        <v>221</v>
      </c>
      <c r="N62" s="28" t="str">
        <f>"{'yandi1', '"&amp;A62&amp;"*1',8,270,10,13,'天魂融血丹*1' }"</f>
        <v>{'yandi1', '炎帝*1',8,270,10,13,'天魂融血丹*1'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6.0999999999999999E-2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6.0999999999999999E-2</v>
      </c>
      <c r="L93" s="24"/>
      <c r="M93" s="21" t="s">
        <v>221</v>
      </c>
      <c r="N93" s="28" t="str">
        <f>"{'ronglian11', '"&amp;A93&amp;"*1',8,270,10,13,'一号熔炼石*1' }"</f>
        <v>{'ronglian11', '熔炼石boss1*1',8,270,10,13,'一号熔炼石*1'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6.0999999999999999E-2</v>
      </c>
      <c r="L94" s="24"/>
      <c r="M94" s="21" t="s">
        <v>221</v>
      </c>
      <c r="N94" s="28" t="str">
        <f>"{'ronglian22', '"&amp;A94&amp;"*1',8,270,10,13,'二号熔炼石*1' }"</f>
        <v>{'ronglian22', '熔炼石boss2*1',8,270,10,13,'二号熔炼石*1'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6.0999999999999999E-2</v>
      </c>
      <c r="L95" s="24"/>
      <c r="M95" s="21" t="s">
        <v>221</v>
      </c>
      <c r="N95" s="28" t="str">
        <f>"{'ronglian33', '"&amp;A95&amp;"*1',8,270,10,13,'三号熔炼石*1' }"</f>
        <v>{'ronglian33', '熔炼石boss3*1',8,270,10,13,'三号熔炼石*1'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6.0999999999999999E-2</v>
      </c>
      <c r="L96" s="24"/>
      <c r="M96" s="21" t="s">
        <v>221</v>
      </c>
      <c r="N96" s="28" t="str">
        <f>"{'ronglian44', '"&amp;A96&amp;"*1',8,270,10,13,'四号熔炼石*1' }"</f>
        <v>{'ronglian44', '熔炼石boss4*1',8,270,10,13,'四号熔炼石*1' }</v>
      </c>
      <c r="P96" s="50">
        <f>P95*5</f>
        <v>4882812500</v>
      </c>
      <c r="Q96" s="50">
        <f t="shared" si="53"/>
        <v>79101.5625</v>
      </c>
      <c r="R96" s="50">
        <f t="shared" si="53"/>
        <v>9765625000</v>
      </c>
      <c r="S96" s="27">
        <v>100</v>
      </c>
      <c r="T96" s="50">
        <v>440</v>
      </c>
      <c r="U96" s="58">
        <v>0.75</v>
      </c>
      <c r="V96" s="27">
        <f t="shared" si="40"/>
        <v>48828125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6.0999999999999999E-2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4">T11</f>
        <v>350</v>
      </c>
      <c r="U98" s="57">
        <v>0.8</v>
      </c>
      <c r="V98" s="27">
        <f t="shared" si="40"/>
        <v>27324.000000000004</v>
      </c>
      <c r="W98" s="41">
        <f t="shared" si="54"/>
        <v>0</v>
      </c>
      <c r="X98" s="41">
        <f t="shared" si="54"/>
        <v>200</v>
      </c>
      <c r="Y98" s="41">
        <f t="shared" si="54"/>
        <v>50</v>
      </c>
      <c r="Z98" s="27">
        <v>0</v>
      </c>
      <c r="AA98" s="1">
        <v>20</v>
      </c>
      <c r="AB98" s="1">
        <v>500</v>
      </c>
      <c r="AC98" s="41">
        <f t="shared" ref="AC98:AD98" si="55">AC42</f>
        <v>0</v>
      </c>
      <c r="AD98" s="41">
        <f t="shared" si="55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6.0999999999999999E-2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6">Q13*1.2</f>
        <v>1224.1152000000002</v>
      </c>
      <c r="R99" s="41">
        <f t="shared" si="56"/>
        <v>43718400.000000007</v>
      </c>
      <c r="S99" s="27">
        <v>100</v>
      </c>
      <c r="T99" s="41">
        <f t="shared" si="54"/>
        <v>350</v>
      </c>
      <c r="U99" s="57">
        <v>0.8</v>
      </c>
      <c r="V99" s="27">
        <f t="shared" si="40"/>
        <v>218592.00000000003</v>
      </c>
      <c r="W99" s="41">
        <f t="shared" si="54"/>
        <v>0</v>
      </c>
      <c r="X99" s="41">
        <f t="shared" si="54"/>
        <v>200</v>
      </c>
      <c r="Y99" s="41">
        <v>100</v>
      </c>
      <c r="Z99" s="27">
        <v>0</v>
      </c>
      <c r="AA99" s="41">
        <f t="shared" si="54"/>
        <v>20</v>
      </c>
      <c r="AB99" s="41">
        <v>2500</v>
      </c>
      <c r="AC99" s="41">
        <f t="shared" si="54"/>
        <v>0</v>
      </c>
      <c r="AD99" s="41">
        <f t="shared" si="54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6.0999999999999999E-2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13685760</v>
      </c>
      <c r="Q100" s="41">
        <f t="shared" ref="Q100:R100" si="57">Q98*1.2</f>
        <v>183.61728000000002</v>
      </c>
      <c r="R100" s="41">
        <f t="shared" si="57"/>
        <v>6557760.0000000009</v>
      </c>
      <c r="S100" s="27">
        <v>100</v>
      </c>
      <c r="T100" s="41">
        <f t="shared" ref="T100:Y100" si="58">T13</f>
        <v>350</v>
      </c>
      <c r="U100" s="57">
        <v>0.8</v>
      </c>
      <c r="V100" s="27">
        <f t="shared" si="40"/>
        <v>32788.800000000003</v>
      </c>
      <c r="W100" s="41">
        <f t="shared" si="58"/>
        <v>0</v>
      </c>
      <c r="X100" s="41">
        <f t="shared" si="58"/>
        <v>200</v>
      </c>
      <c r="Y100" s="41">
        <f t="shared" si="58"/>
        <v>50</v>
      </c>
      <c r="Z100" s="27">
        <v>0</v>
      </c>
      <c r="AA100" s="1">
        <v>20</v>
      </c>
      <c r="AB100" s="1">
        <v>600</v>
      </c>
      <c r="AC100" s="41">
        <f t="shared" ref="AC100:AD100" si="59">AC44</f>
        <v>0</v>
      </c>
      <c r="AD100" s="41">
        <f t="shared" si="59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6.0999999999999999E-2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0">Q99*1.2</f>
        <v>1468.9382400000002</v>
      </c>
      <c r="R101" s="41">
        <f t="shared" si="60"/>
        <v>52462080.000000007</v>
      </c>
      <c r="S101" s="27">
        <v>100</v>
      </c>
      <c r="T101" s="41">
        <f t="shared" ref="T101:AD101" si="61">T14</f>
        <v>350</v>
      </c>
      <c r="U101" s="57">
        <v>0.8</v>
      </c>
      <c r="V101" s="27">
        <f t="shared" si="40"/>
        <v>262310.40000000002</v>
      </c>
      <c r="W101" s="41">
        <f t="shared" si="61"/>
        <v>0</v>
      </c>
      <c r="X101" s="41">
        <f t="shared" si="61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1"/>
        <v>0</v>
      </c>
      <c r="AD101" s="41">
        <f t="shared" si="61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6.0999999999999999E-2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16422912</v>
      </c>
      <c r="Q102" s="41">
        <f t="shared" ref="Q102:R102" si="62">Q100*1.2</f>
        <v>220.34073600000002</v>
      </c>
      <c r="R102" s="41">
        <f t="shared" si="62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6.0999999999999999E-2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3">P101*1.2</f>
        <v>131383296</v>
      </c>
      <c r="Q103" s="41">
        <f t="shared" si="63"/>
        <v>1762.7258880000002</v>
      </c>
      <c r="R103" s="41">
        <f t="shared" si="63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6.0999999999999999E-2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3"/>
        <v>19707494.399999999</v>
      </c>
      <c r="Q104" s="41">
        <f t="shared" si="63"/>
        <v>264.40888319999999</v>
      </c>
      <c r="R104" s="41">
        <f t="shared" si="63"/>
        <v>9443174.4000000004</v>
      </c>
      <c r="S104" s="27">
        <v>100</v>
      </c>
      <c r="T104" s="41">
        <f t="shared" ref="T104:Y104" si="64">T17</f>
        <v>350</v>
      </c>
      <c r="U104" s="57">
        <v>0.8</v>
      </c>
      <c r="V104" s="27">
        <f t="shared" si="40"/>
        <v>47215.872000000003</v>
      </c>
      <c r="W104" s="41">
        <f t="shared" si="64"/>
        <v>0</v>
      </c>
      <c r="X104" s="41">
        <f t="shared" si="64"/>
        <v>200</v>
      </c>
      <c r="Y104" s="41">
        <f t="shared" si="64"/>
        <v>50</v>
      </c>
      <c r="Z104" s="27">
        <v>0</v>
      </c>
      <c r="AA104" s="1">
        <v>20</v>
      </c>
      <c r="AB104" s="1">
        <v>800</v>
      </c>
      <c r="AC104" s="41">
        <f t="shared" ref="AC104:AD104" si="65">AC48</f>
        <v>0</v>
      </c>
      <c r="AD104" s="41">
        <f t="shared" si="65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6.0999999999999999E-2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3"/>
        <v>157659955.19999999</v>
      </c>
      <c r="Q105" s="41">
        <f t="shared" si="63"/>
        <v>2115.2710655999999</v>
      </c>
      <c r="R105" s="41">
        <f t="shared" si="63"/>
        <v>75545395.200000003</v>
      </c>
      <c r="S105" s="27">
        <v>100</v>
      </c>
      <c r="T105" s="41">
        <f t="shared" ref="T105:AD105" si="66">T18</f>
        <v>350</v>
      </c>
      <c r="U105" s="57">
        <v>0.7</v>
      </c>
      <c r="V105" s="27">
        <f t="shared" si="40"/>
        <v>377726.97600000002</v>
      </c>
      <c r="W105" s="41">
        <f t="shared" si="66"/>
        <v>0</v>
      </c>
      <c r="X105" s="41">
        <f t="shared" si="66"/>
        <v>200</v>
      </c>
      <c r="Y105" s="41">
        <v>100</v>
      </c>
      <c r="Z105" s="27">
        <v>0</v>
      </c>
      <c r="AA105" s="41">
        <f t="shared" si="66"/>
        <v>20</v>
      </c>
      <c r="AB105" s="41">
        <v>3250</v>
      </c>
      <c r="AC105" s="41">
        <v>20</v>
      </c>
      <c r="AD105" s="41">
        <f t="shared" si="66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6.0999999999999999E-2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3"/>
        <v>23648993.279999997</v>
      </c>
      <c r="Q106" s="41">
        <f t="shared" si="63"/>
        <v>317.29065983999999</v>
      </c>
      <c r="R106" s="41">
        <f t="shared" si="63"/>
        <v>11331809.279999999</v>
      </c>
      <c r="S106" s="27">
        <v>100</v>
      </c>
      <c r="T106" s="41">
        <f t="shared" ref="T106:Y106" si="67">T19</f>
        <v>350</v>
      </c>
      <c r="U106" s="57">
        <v>0.8</v>
      </c>
      <c r="V106" s="27">
        <f t="shared" si="40"/>
        <v>56659.046399999999</v>
      </c>
      <c r="W106" s="41">
        <f t="shared" si="67"/>
        <v>0</v>
      </c>
      <c r="X106" s="41">
        <f t="shared" si="67"/>
        <v>200</v>
      </c>
      <c r="Y106" s="41">
        <f t="shared" si="67"/>
        <v>50</v>
      </c>
      <c r="Z106" s="27">
        <v>0</v>
      </c>
      <c r="AA106" s="1">
        <v>20</v>
      </c>
      <c r="AB106" s="1">
        <v>900</v>
      </c>
      <c r="AC106" s="41">
        <f t="shared" ref="AC106:AD106" si="68">AC50</f>
        <v>0</v>
      </c>
      <c r="AD106" s="41">
        <f t="shared" si="68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6.0999999999999999E-2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3"/>
        <v>189191946.23999998</v>
      </c>
      <c r="Q107" s="41">
        <f t="shared" si="63"/>
        <v>2538.3252787199999</v>
      </c>
      <c r="R107" s="41">
        <f t="shared" si="63"/>
        <v>90654474.239999995</v>
      </c>
      <c r="S107" s="27">
        <v>100</v>
      </c>
      <c r="T107" s="41">
        <f t="shared" ref="T107:AA107" si="69">T20</f>
        <v>350</v>
      </c>
      <c r="U107" s="57">
        <v>0.7</v>
      </c>
      <c r="V107" s="27">
        <f t="shared" si="40"/>
        <v>453272.37119999999</v>
      </c>
      <c r="W107" s="41">
        <f t="shared" si="69"/>
        <v>0</v>
      </c>
      <c r="X107" s="41">
        <f t="shared" si="69"/>
        <v>200</v>
      </c>
      <c r="Y107" s="41">
        <v>100</v>
      </c>
      <c r="Z107" s="27">
        <v>0</v>
      </c>
      <c r="AA107" s="41">
        <f t="shared" si="69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6.0999999999999999E-2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3"/>
        <v>28378791.935999997</v>
      </c>
      <c r="Q108" s="41">
        <f t="shared" si="63"/>
        <v>380.74879180799996</v>
      </c>
      <c r="R108" s="41">
        <f t="shared" si="63"/>
        <v>13598171.135999998</v>
      </c>
      <c r="S108" s="27">
        <v>100</v>
      </c>
      <c r="T108" s="41">
        <f t="shared" ref="T108:Y108" si="70">T21</f>
        <v>350</v>
      </c>
      <c r="U108" s="57">
        <v>0.8</v>
      </c>
      <c r="V108" s="27">
        <f t="shared" si="40"/>
        <v>67990.855679999993</v>
      </c>
      <c r="W108" s="41">
        <f t="shared" si="70"/>
        <v>0</v>
      </c>
      <c r="X108" s="41">
        <f t="shared" si="70"/>
        <v>200</v>
      </c>
      <c r="Y108" s="41">
        <f t="shared" si="70"/>
        <v>50</v>
      </c>
      <c r="Z108" s="27">
        <v>0</v>
      </c>
      <c r="AA108" s="1">
        <v>20</v>
      </c>
      <c r="AB108" s="1">
        <v>1000</v>
      </c>
      <c r="AC108" s="41">
        <f t="shared" ref="AC108:AD108" si="71">AC52</f>
        <v>0</v>
      </c>
      <c r="AD108" s="41">
        <f t="shared" si="71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6.0999999999999999E-2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3"/>
        <v>227030335.48799998</v>
      </c>
      <c r="Q109" s="41">
        <f>Q107*1.2</f>
        <v>3045.9903344639997</v>
      </c>
      <c r="R109" s="41">
        <f t="shared" si="63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2">W22</f>
        <v>0</v>
      </c>
      <c r="X109" s="41">
        <f t="shared" si="72"/>
        <v>200</v>
      </c>
      <c r="Y109" s="41">
        <v>100</v>
      </c>
      <c r="Z109" s="27">
        <v>0</v>
      </c>
      <c r="AA109" s="41">
        <f t="shared" si="72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6.0999999999999999E-2</v>
      </c>
      <c r="M110" s="21" t="s">
        <v>221</v>
      </c>
      <c r="N110" s="28"/>
      <c r="P110" s="41">
        <f>P109*1.5</f>
        <v>340545503.23199999</v>
      </c>
      <c r="Q110" s="41">
        <f t="shared" ref="Q110:R110" si="73">Q109*1.5</f>
        <v>4568.9855016959991</v>
      </c>
      <c r="R110" s="41">
        <f t="shared" si="73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2"/>
        <v>200</v>
      </c>
      <c r="Y110" s="41">
        <v>150</v>
      </c>
      <c r="Z110" s="27">
        <v>0</v>
      </c>
      <c r="AA110" s="41">
        <f t="shared" si="72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6.0999999999999999E-2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2"/>
        <v>200</v>
      </c>
      <c r="Y111" s="41">
        <v>150</v>
      </c>
      <c r="Z111" s="27">
        <v>0</v>
      </c>
      <c r="AA111" s="41">
        <f t="shared" si="72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6.0999999999999999E-2</v>
      </c>
      <c r="M112" s="21" t="s">
        <v>221</v>
      </c>
      <c r="N112" s="28"/>
      <c r="P112" s="41">
        <f t="shared" ref="P112:P119" si="74">P111*1.1</f>
        <v>412060058.91072005</v>
      </c>
      <c r="Q112" s="41">
        <f t="shared" ref="Q112:Q119" si="75">Q111*1.2</f>
        <v>6579.3391224422385</v>
      </c>
      <c r="R112" s="41">
        <f t="shared" ref="R112:R119" si="76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2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6.0999999999999999E-2</v>
      </c>
      <c r="M113" s="21" t="s">
        <v>221</v>
      </c>
      <c r="N113" s="28"/>
      <c r="P113" s="41">
        <f t="shared" si="74"/>
        <v>453266064.80179209</v>
      </c>
      <c r="Q113" s="41">
        <f t="shared" si="75"/>
        <v>7895.2069469306862</v>
      </c>
      <c r="R113" s="41">
        <f t="shared" si="76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2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6.0999999999999999E-2</v>
      </c>
      <c r="M114" s="21" t="s">
        <v>221</v>
      </c>
      <c r="N114" s="28"/>
      <c r="P114" s="41">
        <f t="shared" si="74"/>
        <v>498592671.28197134</v>
      </c>
      <c r="Q114" s="41">
        <f t="shared" si="75"/>
        <v>9474.248336316823</v>
      </c>
      <c r="R114" s="41">
        <f t="shared" si="76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2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6.0999999999999999E-2</v>
      </c>
      <c r="M115" s="21" t="s">
        <v>221</v>
      </c>
      <c r="N115" s="28"/>
      <c r="P115" s="41">
        <f t="shared" si="74"/>
        <v>548451938.41016853</v>
      </c>
      <c r="Q115" s="41">
        <f t="shared" si="75"/>
        <v>11369.098003580188</v>
      </c>
      <c r="R115" s="41">
        <f t="shared" si="76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2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6.0999999999999999E-2</v>
      </c>
      <c r="M116" s="21" t="s">
        <v>221</v>
      </c>
      <c r="N116" s="28"/>
      <c r="P116" s="41">
        <f t="shared" si="74"/>
        <v>603297132.25118542</v>
      </c>
      <c r="Q116" s="41">
        <f t="shared" si="75"/>
        <v>13642.917604296224</v>
      </c>
      <c r="R116" s="41">
        <f t="shared" si="76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2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6.0999999999999999E-2</v>
      </c>
      <c r="M117" s="21" t="s">
        <v>221</v>
      </c>
      <c r="N117" s="28"/>
      <c r="P117" s="41">
        <f t="shared" si="74"/>
        <v>663626845.47630405</v>
      </c>
      <c r="Q117" s="41">
        <f t="shared" si="75"/>
        <v>16371.501125155468</v>
      </c>
      <c r="R117" s="41">
        <f t="shared" si="76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2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6.0999999999999999E-2</v>
      </c>
      <c r="M118" s="21" t="s">
        <v>221</v>
      </c>
      <c r="N118" s="28"/>
      <c r="P118" s="41">
        <f t="shared" si="74"/>
        <v>729989530.02393448</v>
      </c>
      <c r="Q118" s="41">
        <f t="shared" si="75"/>
        <v>19645.801350186561</v>
      </c>
      <c r="R118" s="41">
        <f t="shared" si="76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2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6.0999999999999999E-2</v>
      </c>
      <c r="M119" s="21" t="s">
        <v>221</v>
      </c>
      <c r="N119" s="28"/>
      <c r="P119" s="41">
        <f t="shared" si="74"/>
        <v>802988483.02632797</v>
      </c>
      <c r="Q119" s="41">
        <f t="shared" si="75"/>
        <v>23574.961620223872</v>
      </c>
      <c r="R119" s="41">
        <f t="shared" si="76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2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6.0999999999999999E-2</v>
      </c>
      <c r="M120" s="21" t="s">
        <v>221</v>
      </c>
      <c r="N120" s="28" t="str">
        <f>"{'shoulei12', '"&amp;A120&amp;"*1',8,270,10,13 }"</f>
        <v>{'shoulei12', '二郎侍卫1*1',8,270,10,13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7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8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6.0999999999999999E-2</v>
      </c>
      <c r="M121" s="21" t="s">
        <v>221</v>
      </c>
      <c r="N121" s="28" t="str">
        <f>"{'shoulei13', '"&amp;A121&amp;"*1',8,270,10,13 }"</f>
        <v>{'shoulei13', '二郎侍卫2*1',8,270,10,13 }</v>
      </c>
      <c r="P121" s="41">
        <f>P120*1.02</f>
        <v>900953077.95554006</v>
      </c>
      <c r="Q121" s="41">
        <f t="shared" ref="Q121:R121" si="79">Q120*1.02</f>
        <v>26451.106937891185</v>
      </c>
      <c r="R121" s="41">
        <f t="shared" si="79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0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6.0999999999999999E-2</v>
      </c>
      <c r="M122" s="21" t="s">
        <v>221</v>
      </c>
      <c r="N122" s="28" t="str">
        <f>"{'shoulei14', '"&amp;A122&amp;"*1',8,270,10,13 }"</f>
        <v>{'shoulei14', '二郎侍卫3*1',8,270,10,13 }</v>
      </c>
      <c r="P122" s="41">
        <f t="shared" ref="P122:R128" si="81">P121*1.02</f>
        <v>918972139.51465082</v>
      </c>
      <c r="Q122" s="41">
        <f t="shared" si="81"/>
        <v>26980.129076649009</v>
      </c>
      <c r="R122" s="41">
        <f t="shared" si="81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2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6.0999999999999999E-2</v>
      </c>
      <c r="M123" s="21" t="s">
        <v>221</v>
      </c>
      <c r="N123" s="28" t="str">
        <f>"{'shoulei15', '"&amp;A123&amp;"*1',8,270,10,13 }"</f>
        <v>{'shoulei15', '二郎侍卫4*1',8,270,10,13 }</v>
      </c>
      <c r="P123" s="41">
        <f t="shared" si="81"/>
        <v>937351582.3049438</v>
      </c>
      <c r="Q123" s="41">
        <f t="shared" si="81"/>
        <v>27519.73165818199</v>
      </c>
      <c r="R123" s="41">
        <f t="shared" si="81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3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6.0999999999999999E-2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4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6.0999999999999999E-2</v>
      </c>
      <c r="M125" s="21" t="s">
        <v>221</v>
      </c>
      <c r="N125" s="28" t="str">
        <f>"{'shoulei22', '"&amp;A125&amp;"*1',8,270,10,13 }"</f>
        <v>{'shoulei22', '七郎侍卫1*1',8,270,10,13 }</v>
      </c>
      <c r="P125" s="41">
        <f t="shared" si="81"/>
        <v>1003903544.6485949</v>
      </c>
      <c r="Q125" s="41">
        <f t="shared" ref="Q125:R125" si="85">Q124*1.02</f>
        <v>29473.632605912913</v>
      </c>
      <c r="R125" s="41">
        <f t="shared" si="85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6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6.0999999999999999E-2</v>
      </c>
      <c r="M126" s="21" t="s">
        <v>221</v>
      </c>
      <c r="N126" s="28" t="str">
        <f>"{'shoulei23', '"&amp;A126&amp;"*1',8,270,10,13 }"</f>
        <v>{'shoulei23', '七郎侍卫2*1',8,270,10,13 }</v>
      </c>
      <c r="P126" s="41">
        <f t="shared" si="81"/>
        <v>1023981615.5415667</v>
      </c>
      <c r="Q126" s="41">
        <f t="shared" ref="Q126:R126" si="87">Q125*1.02</f>
        <v>30063.105258031173</v>
      </c>
      <c r="R126" s="41">
        <f t="shared" si="87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8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6.0999999999999999E-2</v>
      </c>
      <c r="M127" s="21" t="s">
        <v>221</v>
      </c>
      <c r="N127" s="28" t="str">
        <f>"{'shoulei24', '"&amp;A127&amp;"*1',8,270,10,13 }"</f>
        <v>{'shoulei24', '七郎侍卫3*1',8,270,10,13 }</v>
      </c>
      <c r="P127" s="41">
        <f t="shared" si="81"/>
        <v>1044461247.852398</v>
      </c>
      <c r="Q127" s="41">
        <f t="shared" ref="Q127:R127" si="89">Q126*1.02</f>
        <v>30664.367363191799</v>
      </c>
      <c r="R127" s="41">
        <f t="shared" si="89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0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6.0999999999999999E-2</v>
      </c>
      <c r="M128" s="21" t="s">
        <v>221</v>
      </c>
      <c r="N128" s="28" t="str">
        <f>"{'shoulei25', '"&amp;A128&amp;"*1',8,270,10,13 }"</f>
        <v>{'shoulei25', '七郎侍卫4*1',8,270,10,13 }</v>
      </c>
      <c r="P128" s="41">
        <f t="shared" si="81"/>
        <v>1065350472.809446</v>
      </c>
      <c r="Q128" s="41">
        <f t="shared" ref="Q128:R128" si="91">Q127*1.02</f>
        <v>31277.654710455634</v>
      </c>
      <c r="R128" s="41">
        <f t="shared" si="91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2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6.0999999999999999E-2</v>
      </c>
      <c r="M129" s="21" t="s">
        <v>221</v>
      </c>
      <c r="N129" s="28"/>
      <c r="P129" s="41">
        <f>P128*1.05</f>
        <v>1118617996.4499183</v>
      </c>
      <c r="Q129" s="41">
        <f t="shared" ref="Q129:R129" si="93">Q128*1.05</f>
        <v>32841.537445978414</v>
      </c>
      <c r="R129" s="41">
        <f t="shared" si="93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4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6.0999999999999999E-2</v>
      </c>
      <c r="M130" s="21" t="s">
        <v>221</v>
      </c>
      <c r="N130" s="28" t="str">
        <f>"{'shoulei32', '"&amp;A130&amp;"*1',8,270,10,13 }"</f>
        <v>{'shoulei32', '判官侍卫1*1',8,270,10,13 }</v>
      </c>
      <c r="P130" s="41">
        <f t="shared" ref="P130:R130" si="95">P129*1.02</f>
        <v>1140990356.3789167</v>
      </c>
      <c r="Q130" s="41">
        <f t="shared" si="95"/>
        <v>33498.368194897987</v>
      </c>
      <c r="R130" s="41">
        <f t="shared" si="95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6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6.0999999999999999E-2</v>
      </c>
      <c r="M131" s="21" t="s">
        <v>221</v>
      </c>
      <c r="N131" s="28" t="str">
        <f>"{'shoulei33', '"&amp;A131&amp;"*1',8,270,10,13 }"</f>
        <v>{'shoulei33', '判官侍卫2*1',8,270,10,13 }</v>
      </c>
      <c r="P131" s="41">
        <f t="shared" ref="P131:R131" si="97">P130*1.02</f>
        <v>1163810163.506495</v>
      </c>
      <c r="Q131" s="41">
        <f t="shared" si="97"/>
        <v>34168.335558795945</v>
      </c>
      <c r="R131" s="41">
        <f t="shared" si="97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8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6.0999999999999999E-2</v>
      </c>
      <c r="M132" s="21" t="s">
        <v>221</v>
      </c>
      <c r="N132" s="28" t="str">
        <f>"{'shoulei34', '"&amp;A132&amp;"*1',8,270,10,13 }"</f>
        <v>{'shoulei34', '判官侍卫3*1',8,270,10,13 }</v>
      </c>
      <c r="P132" s="41">
        <f t="shared" ref="P132:R132" si="99">P131*1.02</f>
        <v>1187086366.7766249</v>
      </c>
      <c r="Q132" s="41">
        <f t="shared" si="99"/>
        <v>34851.702269971865</v>
      </c>
      <c r="R132" s="41">
        <f t="shared" si="99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0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6.0999999999999999E-2</v>
      </c>
      <c r="M133" s="21" t="s">
        <v>221</v>
      </c>
      <c r="N133" s="28" t="str">
        <f>"{'shoulei35', '"&amp;A133&amp;"*1',8,270,10,13 }"</f>
        <v>{'shoulei35', '判官侍卫4*1',8,270,10,13 }</v>
      </c>
      <c r="P133" s="41">
        <f t="shared" ref="P133:R133" si="101">P132*1.02</f>
        <v>1210828094.1121573</v>
      </c>
      <c r="Q133" s="41">
        <f t="shared" si="101"/>
        <v>35548.736315371301</v>
      </c>
      <c r="R133" s="41">
        <f t="shared" si="101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2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6.0999999999999999E-2</v>
      </c>
      <c r="M134" s="21" t="s">
        <v>221</v>
      </c>
      <c r="N134" s="28"/>
      <c r="P134" s="41">
        <f>P133*1.05</f>
        <v>1271369498.8177652</v>
      </c>
      <c r="Q134" s="41">
        <f t="shared" ref="Q134" si="103">Q133*1.05</f>
        <v>37326.173131139869</v>
      </c>
      <c r="R134" s="41">
        <f t="shared" ref="R134" si="104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5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6.0999999999999999E-2</v>
      </c>
      <c r="M135" s="21" t="s">
        <v>221</v>
      </c>
      <c r="N135" s="28" t="str">
        <f>"{'shoulei42', '"&amp;A135&amp;"*1',8,270,10,13 }"</f>
        <v>{'shoulei42', '马面侍卫1*1',8,270,10,13 }</v>
      </c>
      <c r="P135" s="41">
        <f t="shared" ref="P135:R135" si="106">P134*1.02</f>
        <v>1296796888.7941206</v>
      </c>
      <c r="Q135" s="41">
        <f t="shared" si="106"/>
        <v>38072.696593762666</v>
      </c>
      <c r="R135" s="41">
        <f t="shared" si="106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7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6.0999999999999999E-2</v>
      </c>
      <c r="M136" s="21" t="s">
        <v>221</v>
      </c>
      <c r="N136" s="28" t="str">
        <f>"{'shoulei43', '"&amp;A136&amp;"*1',8,270,10,13 }"</f>
        <v>{'shoulei43', '马面侍卫2*1',8,270,10,13 }</v>
      </c>
      <c r="P136" s="41">
        <f t="shared" ref="P136:R136" si="108">P135*1.02</f>
        <v>1322732826.570003</v>
      </c>
      <c r="Q136" s="41">
        <f t="shared" si="108"/>
        <v>38834.150525637917</v>
      </c>
      <c r="R136" s="41">
        <f t="shared" si="108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09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6.0999999999999999E-2</v>
      </c>
      <c r="M137" s="21" t="s">
        <v>221</v>
      </c>
      <c r="N137" s="28" t="str">
        <f>"{'shoulei44', '"&amp;A137&amp;"*1',8,270,10,13 }"</f>
        <v>{'shoulei44', '马面侍卫3*1',8,270,10,13 }</v>
      </c>
      <c r="P137" s="41">
        <f t="shared" ref="P137:R137" si="110">P136*1.02</f>
        <v>1349187483.101403</v>
      </c>
      <c r="Q137" s="41">
        <f t="shared" si="110"/>
        <v>39610.833536150676</v>
      </c>
      <c r="R137" s="41">
        <f t="shared" si="110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1">R137*0.005</f>
        <v>7073363.1314554764</v>
      </c>
      <c r="W137" s="41">
        <v>0</v>
      </c>
      <c r="X137" s="41">
        <f t="shared" ref="X137" si="112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6.0999999999999999E-2</v>
      </c>
      <c r="M138" s="21" t="s">
        <v>221</v>
      </c>
      <c r="N138" s="28" t="str">
        <f>"{'shoulei45', '"&amp;A138&amp;"*1',8,270,10,13 }"</f>
        <v>{'shoulei45', '马面侍卫4*1',8,270,10,13 }</v>
      </c>
      <c r="P138" s="41">
        <f t="shared" ref="P138:R138" si="113">P137*1.02</f>
        <v>1376171232.7634311</v>
      </c>
      <c r="Q138" s="41">
        <f t="shared" si="113"/>
        <v>40403.05020687369</v>
      </c>
      <c r="R138" s="41">
        <f t="shared" si="113"/>
        <v>1442966078.8169172</v>
      </c>
      <c r="S138" s="27">
        <v>100</v>
      </c>
      <c r="T138" s="52">
        <v>450</v>
      </c>
      <c r="U138" s="57">
        <v>0.7</v>
      </c>
      <c r="V138" s="27">
        <f t="shared" si="111"/>
        <v>7214830.3940845858</v>
      </c>
      <c r="W138" s="41">
        <v>0</v>
      </c>
      <c r="X138" s="41">
        <f t="shared" ref="X138" si="114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6.0999999999999999E-2</v>
      </c>
      <c r="M139" s="21" t="s">
        <v>221</v>
      </c>
      <c r="N139" s="28"/>
      <c r="P139" s="41">
        <f>P138*1.05</f>
        <v>1444979794.4016027</v>
      </c>
      <c r="Q139" s="41">
        <f t="shared" ref="Q139" si="115">Q138*1.05</f>
        <v>42423.202717217377</v>
      </c>
      <c r="R139" s="41">
        <f t="shared" ref="R139" si="116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1"/>
        <v>7575571.913788816</v>
      </c>
      <c r="W139" s="41">
        <v>0</v>
      </c>
      <c r="X139" s="41">
        <f t="shared" ref="X139" si="117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6.0999999999999999E-2</v>
      </c>
      <c r="M140" s="21" t="s">
        <v>221</v>
      </c>
      <c r="N140" s="28" t="str">
        <f>"{'shoulei52', '"&amp;A140&amp;"*1',8,270,10,13 }"</f>
        <v>{'shoulei52', '牛头侍卫1*1',8,270,10,13 }</v>
      </c>
      <c r="P140" s="41">
        <f t="shared" ref="P140:R140" si="118">P139*1.02</f>
        <v>1473879390.2896349</v>
      </c>
      <c r="Q140" s="41">
        <f t="shared" si="118"/>
        <v>43271.666771561722</v>
      </c>
      <c r="R140" s="41">
        <f t="shared" si="118"/>
        <v>1545416670.4129183</v>
      </c>
      <c r="S140" s="27">
        <v>100</v>
      </c>
      <c r="T140" s="52">
        <v>450</v>
      </c>
      <c r="U140" s="57">
        <v>0.7</v>
      </c>
      <c r="V140" s="27">
        <f t="shared" si="111"/>
        <v>7727083.3520645918</v>
      </c>
      <c r="W140" s="41">
        <v>0</v>
      </c>
      <c r="X140" s="41">
        <f t="shared" ref="X140" si="119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6.0999999999999999E-2</v>
      </c>
      <c r="M141" s="21" t="s">
        <v>221</v>
      </c>
      <c r="N141" s="28" t="str">
        <f>"{'shoulei53', '"&amp;A141&amp;"*1',8,270,10,13 }"</f>
        <v>{'shoulei53', '牛头侍卫2*1',8,270,10,13 }</v>
      </c>
      <c r="P141" s="41">
        <f t="shared" ref="P141:R141" si="120">P140*1.02</f>
        <v>1503356978.0954278</v>
      </c>
      <c r="Q141" s="41">
        <f t="shared" si="120"/>
        <v>44137.100106992955</v>
      </c>
      <c r="R141" s="41">
        <f t="shared" si="120"/>
        <v>1576325003.8211768</v>
      </c>
      <c r="S141" s="27">
        <v>100</v>
      </c>
      <c r="T141" s="52">
        <v>450</v>
      </c>
      <c r="U141" s="57">
        <v>0.7</v>
      </c>
      <c r="V141" s="27">
        <f t="shared" si="111"/>
        <v>7881625.0191058842</v>
      </c>
      <c r="W141" s="41">
        <v>0</v>
      </c>
      <c r="X141" s="41">
        <f t="shared" ref="X141" si="121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6.0999999999999999E-2</v>
      </c>
      <c r="M142" s="21" t="s">
        <v>221</v>
      </c>
      <c r="N142" s="28" t="str">
        <f>"{'shoulei54', '"&amp;A142&amp;"*1',8,270,10,13 }"</f>
        <v>{'shoulei54', '牛头侍卫3*1',8,270,10,13 }</v>
      </c>
      <c r="P142" s="41">
        <f t="shared" ref="P142:R142" si="122">P141*1.02</f>
        <v>1533424117.6573362</v>
      </c>
      <c r="Q142" s="41">
        <f t="shared" si="122"/>
        <v>45019.842109132813</v>
      </c>
      <c r="R142" s="41">
        <f t="shared" si="122"/>
        <v>1607851503.8976004</v>
      </c>
      <c r="S142" s="27">
        <v>100</v>
      </c>
      <c r="T142" s="52">
        <v>450</v>
      </c>
      <c r="U142" s="57">
        <v>0.7</v>
      </c>
      <c r="V142" s="27">
        <f t="shared" si="111"/>
        <v>8039257.5194880022</v>
      </c>
      <c r="W142" s="41">
        <v>0</v>
      </c>
      <c r="X142" s="41">
        <f t="shared" ref="X142" si="123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6.0999999999999999E-2</v>
      </c>
      <c r="M143" s="21" t="s">
        <v>221</v>
      </c>
      <c r="N143" s="28" t="str">
        <f>"{'shoulei55', '"&amp;A143&amp;"*1',8,270,10,13 }"</f>
        <v>{'shoulei55', '牛头侍卫4*1',8,270,10,13 }</v>
      </c>
      <c r="P143" s="41">
        <f t="shared" ref="P143:R143" si="124">P142*1.02</f>
        <v>1564092600.010483</v>
      </c>
      <c r="Q143" s="41">
        <f t="shared" si="124"/>
        <v>45920.23895131547</v>
      </c>
      <c r="R143" s="41">
        <f t="shared" si="124"/>
        <v>1640008533.9755526</v>
      </c>
      <c r="S143" s="27">
        <v>100</v>
      </c>
      <c r="T143" s="52">
        <v>450</v>
      </c>
      <c r="U143" s="57">
        <v>0.7</v>
      </c>
      <c r="V143" s="27">
        <f t="shared" si="111"/>
        <v>8200042.6698777629</v>
      </c>
      <c r="W143" s="41">
        <v>0</v>
      </c>
      <c r="X143" s="41">
        <f t="shared" ref="X143" si="125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6.0999999999999999E-2</v>
      </c>
      <c r="M144" s="21" t="s">
        <v>221</v>
      </c>
      <c r="N144" s="28"/>
      <c r="P144" s="41">
        <f>P143*1.05</f>
        <v>1642297230.0110073</v>
      </c>
      <c r="Q144" s="41">
        <f t="shared" ref="Q144" si="126">Q143*1.05</f>
        <v>48216.250898881248</v>
      </c>
      <c r="R144" s="41">
        <f t="shared" ref="R144" si="127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1"/>
        <v>8610044.8033716511</v>
      </c>
      <c r="W144" s="41">
        <v>0</v>
      </c>
      <c r="X144" s="41">
        <f t="shared" ref="X144" si="128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6.0999999999999999E-2</v>
      </c>
      <c r="M145" s="21" t="s">
        <v>221</v>
      </c>
      <c r="N145" s="28" t="str">
        <f>"{'shoulei62', '"&amp;A145&amp;"*1',8,270,10,13 }"</f>
        <v>{'shoulei62', '夜叉侍卫1*1',8,270,10,13 }</v>
      </c>
      <c r="P145" s="41">
        <f t="shared" ref="P145:R145" si="129">P144*1.02</f>
        <v>1675143174.6112275</v>
      </c>
      <c r="Q145" s="41">
        <f t="shared" si="129"/>
        <v>49180.57591685887</v>
      </c>
      <c r="R145" s="41">
        <f t="shared" si="129"/>
        <v>1756449139.8878169</v>
      </c>
      <c r="S145" s="27">
        <v>100</v>
      </c>
      <c r="T145" s="52">
        <v>450</v>
      </c>
      <c r="U145" s="57">
        <v>0.7</v>
      </c>
      <c r="V145" s="27">
        <f t="shared" si="111"/>
        <v>8782245.6994390842</v>
      </c>
      <c r="W145" s="41">
        <v>0</v>
      </c>
      <c r="X145" s="41">
        <f t="shared" ref="X145" si="130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6.0999999999999999E-2</v>
      </c>
      <c r="M146" s="21" t="s">
        <v>221</v>
      </c>
      <c r="N146" s="28" t="str">
        <f>"{'shoulei63', '"&amp;A146&amp;"*1',8,270,10,13 }"</f>
        <v>{'shoulei63', '夜叉侍卫2*1',8,270,10,13 }</v>
      </c>
      <c r="P146" s="41">
        <f t="shared" ref="P146:R146" si="131">P145*1.02</f>
        <v>1708646038.1034522</v>
      </c>
      <c r="Q146" s="41">
        <f t="shared" si="131"/>
        <v>50164.187435196051</v>
      </c>
      <c r="R146" s="41">
        <f t="shared" si="131"/>
        <v>1791578122.6855733</v>
      </c>
      <c r="S146" s="27">
        <v>100</v>
      </c>
      <c r="T146" s="52">
        <v>450</v>
      </c>
      <c r="U146" s="57">
        <v>0.7</v>
      </c>
      <c r="V146" s="27">
        <f t="shared" si="111"/>
        <v>8957890.6134278663</v>
      </c>
      <c r="W146" s="41">
        <v>0</v>
      </c>
      <c r="X146" s="41">
        <f t="shared" ref="X146" si="132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6.0999999999999999E-2</v>
      </c>
      <c r="M147" s="21" t="s">
        <v>221</v>
      </c>
      <c r="N147" s="28" t="str">
        <f>"{'shoulei64', '"&amp;A147&amp;"*1',8,270,10,13 }"</f>
        <v>{'shoulei64', '夜叉侍卫3*1',8,270,10,13 }</v>
      </c>
      <c r="P147" s="41">
        <f t="shared" ref="P147:R147" si="133">P146*1.02</f>
        <v>1742818958.8655212</v>
      </c>
      <c r="Q147" s="41">
        <f t="shared" si="133"/>
        <v>51167.471183899972</v>
      </c>
      <c r="R147" s="41">
        <f t="shared" si="133"/>
        <v>1827409685.1392848</v>
      </c>
      <c r="S147" s="27">
        <v>100</v>
      </c>
      <c r="T147" s="52">
        <v>450</v>
      </c>
      <c r="U147" s="57">
        <v>0.7</v>
      </c>
      <c r="V147" s="27">
        <f t="shared" si="111"/>
        <v>9137048.4256964251</v>
      </c>
      <c r="W147" s="41">
        <v>0</v>
      </c>
      <c r="X147" s="41">
        <f t="shared" ref="X147" si="134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6.0999999999999999E-2</v>
      </c>
      <c r="M148" s="21" t="s">
        <v>221</v>
      </c>
      <c r="N148" s="28" t="str">
        <f>"{'shoulei65', '"&amp;A148&amp;"*1',8,270,10,13 }"</f>
        <v>{'shoulei65', '夜叉侍卫4*1',8,270,10,13 }</v>
      </c>
      <c r="P148" s="41">
        <f t="shared" ref="P148:R148" si="135">P147*1.02</f>
        <v>1777675338.0428317</v>
      </c>
      <c r="Q148" s="41">
        <f t="shared" si="135"/>
        <v>52190.820607577974</v>
      </c>
      <c r="R148" s="41">
        <f t="shared" si="135"/>
        <v>1863957878.8420706</v>
      </c>
      <c r="S148" s="27">
        <v>100</v>
      </c>
      <c r="T148" s="52">
        <v>450</v>
      </c>
      <c r="U148" s="57">
        <v>0.7</v>
      </c>
      <c r="V148" s="27">
        <f t="shared" si="111"/>
        <v>9319789.3942103535</v>
      </c>
      <c r="W148" s="41">
        <v>0</v>
      </c>
      <c r="X148" s="41">
        <f t="shared" ref="X148" si="136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6.0999999999999999E-2</v>
      </c>
      <c r="M149" s="21" t="s">
        <v>221</v>
      </c>
      <c r="N149" s="28"/>
      <c r="P149" s="41">
        <f>P148*1.05</f>
        <v>1866559104.9449732</v>
      </c>
      <c r="Q149" s="41">
        <f t="shared" ref="Q149" si="137">Q148*1.05</f>
        <v>54800.361637956878</v>
      </c>
      <c r="R149" s="41">
        <f t="shared" ref="R149" si="138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1"/>
        <v>9785778.8639208712</v>
      </c>
      <c r="W149" s="41">
        <v>0</v>
      </c>
      <c r="X149" s="41">
        <f t="shared" ref="X149" si="139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6.0999999999999999E-2</v>
      </c>
      <c r="M150" s="21" t="s">
        <v>221</v>
      </c>
      <c r="N150" s="28" t="str">
        <f>"{'shoulei72', '"&amp;A150&amp;"*1',8,270,10,13 }"</f>
        <v>{'shoulei72', '辟邪侍卫1*1',8,270,10,13 }</v>
      </c>
      <c r="P150" s="41">
        <f t="shared" ref="P150:R150" si="140">P149*1.02</f>
        <v>1903890287.0438728</v>
      </c>
      <c r="Q150" s="41">
        <f t="shared" si="140"/>
        <v>55896.368870716018</v>
      </c>
      <c r="R150" s="41">
        <f t="shared" si="140"/>
        <v>1996298888.2398577</v>
      </c>
      <c r="S150" s="27">
        <v>100</v>
      </c>
      <c r="T150" s="52">
        <v>450</v>
      </c>
      <c r="U150" s="57">
        <v>0.7</v>
      </c>
      <c r="V150" s="27">
        <f t="shared" si="111"/>
        <v>9981494.4411992878</v>
      </c>
      <c r="W150" s="41">
        <v>0</v>
      </c>
      <c r="X150" s="41">
        <f t="shared" ref="X150" si="141">X63</f>
        <v>200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6.0999999999999999E-2</v>
      </c>
      <c r="M151" s="21" t="s">
        <v>221</v>
      </c>
      <c r="N151" s="28" t="str">
        <f>"{'shoulei73', '"&amp;A151&amp;"*1',8,270,10,13 }"</f>
        <v>{'shoulei73', '辟邪侍卫2*1',8,270,10,13 }</v>
      </c>
      <c r="P151" s="41">
        <f t="shared" ref="P151:R151" si="142">P150*1.02</f>
        <v>1941968092.7847502</v>
      </c>
      <c r="Q151" s="41">
        <f t="shared" si="142"/>
        <v>57014.29624813034</v>
      </c>
      <c r="R151" s="41">
        <f t="shared" si="142"/>
        <v>2036224866.0046549</v>
      </c>
      <c r="S151" s="27">
        <v>100</v>
      </c>
      <c r="T151" s="52">
        <v>450</v>
      </c>
      <c r="U151" s="57">
        <v>0.7</v>
      </c>
      <c r="V151" s="27">
        <f t="shared" si="111"/>
        <v>10181124.330023274</v>
      </c>
      <c r="W151" s="41">
        <v>0</v>
      </c>
      <c r="X151" s="41">
        <f t="shared" ref="X151" si="143">X64</f>
        <v>200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6.0999999999999999E-2</v>
      </c>
      <c r="M152" s="21" t="s">
        <v>221</v>
      </c>
      <c r="N152" s="28" t="str">
        <f>"{'shoulei74', '"&amp;A152&amp;"*1',8,270,10,13 }"</f>
        <v>{'shoulei74', '辟邪侍卫3*1',8,270,10,13 }</v>
      </c>
      <c r="P152" s="41">
        <f t="shared" ref="P152:R152" si="144">P151*1.02</f>
        <v>1980807454.6404452</v>
      </c>
      <c r="Q152" s="41">
        <f t="shared" si="144"/>
        <v>58154.582173092946</v>
      </c>
      <c r="R152" s="41">
        <f t="shared" si="144"/>
        <v>2076949363.324748</v>
      </c>
      <c r="S152" s="27">
        <v>100</v>
      </c>
      <c r="T152" s="52">
        <v>450</v>
      </c>
      <c r="U152" s="57">
        <v>0.7</v>
      </c>
      <c r="V152" s="27">
        <f t="shared" si="111"/>
        <v>10384746.81662374</v>
      </c>
      <c r="W152" s="41">
        <v>0</v>
      </c>
      <c r="X152" s="41">
        <f t="shared" ref="X152" si="145">X65</f>
        <v>200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6.0999999999999999E-2</v>
      </c>
      <c r="M153" s="21" t="s">
        <v>221</v>
      </c>
      <c r="N153" s="28" t="str">
        <f>"{'shoulei75', '"&amp;A153&amp;"*1',8,270,10,13 }"</f>
        <v>{'shoulei75', '辟邪侍卫4*1',8,270,10,13 }</v>
      </c>
      <c r="P153" s="41">
        <f t="shared" ref="P153:R153" si="146">P152*1.02</f>
        <v>2020423603.7332542</v>
      </c>
      <c r="Q153" s="41">
        <f t="shared" si="146"/>
        <v>59317.673816554809</v>
      </c>
      <c r="R153" s="41">
        <f t="shared" si="146"/>
        <v>2118488350.591243</v>
      </c>
      <c r="S153" s="27">
        <v>100</v>
      </c>
      <c r="T153" s="52">
        <v>450</v>
      </c>
      <c r="U153" s="57">
        <v>0.7</v>
      </c>
      <c r="V153" s="27">
        <f t="shared" si="111"/>
        <v>10592441.752956215</v>
      </c>
      <c r="W153" s="41">
        <v>0</v>
      </c>
      <c r="X153" s="41">
        <f t="shared" ref="X153" si="147">X66</f>
        <v>200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6.0999999999999999E-2</v>
      </c>
      <c r="M154" s="21" t="s">
        <v>221</v>
      </c>
      <c r="N154" s="28"/>
      <c r="P154" s="41">
        <f>P153*1.05</f>
        <v>2121444783.9199171</v>
      </c>
      <c r="Q154" s="41">
        <f t="shared" ref="Q154" si="148">Q153*1.05</f>
        <v>62283.557507382553</v>
      </c>
      <c r="R154" s="41">
        <f t="shared" ref="R154" si="149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1"/>
        <v>11122063.840604026</v>
      </c>
      <c r="W154" s="41">
        <v>0</v>
      </c>
      <c r="X154" s="41">
        <f t="shared" ref="X154" si="150">X67</f>
        <v>200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6.0999999999999999E-2</v>
      </c>
      <c r="M155" s="21" t="s">
        <v>221</v>
      </c>
      <c r="N155" s="28" t="str">
        <f>"{'shoulei82', '"&amp;A155&amp;"*1',8,270,10,13 }"</f>
        <v>{'shoulei82', '狐仙侍卫1*1',8,270,10,13 }</v>
      </c>
      <c r="P155" s="41">
        <f t="shared" ref="P155:R155" si="151">P154*1.02</f>
        <v>2163873679.5983157</v>
      </c>
      <c r="Q155" s="41">
        <f t="shared" si="151"/>
        <v>63529.228657530206</v>
      </c>
      <c r="R155" s="41">
        <f t="shared" si="151"/>
        <v>2268901023.4832215</v>
      </c>
      <c r="S155" s="27">
        <v>100</v>
      </c>
      <c r="T155" s="52">
        <v>450</v>
      </c>
      <c r="U155" s="57">
        <v>0.7</v>
      </c>
      <c r="V155" s="27">
        <f t="shared" si="111"/>
        <v>11344505.117416108</v>
      </c>
      <c r="W155" s="41">
        <v>0</v>
      </c>
      <c r="X155" s="41">
        <f t="shared" ref="X155" si="152">X68</f>
        <v>200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6.0999999999999999E-2</v>
      </c>
      <c r="M156" s="21" t="s">
        <v>221</v>
      </c>
      <c r="N156" s="28" t="str">
        <f>"{'shoulei83', '"&amp;A156&amp;"*1',8,270,10,13 }"</f>
        <v>{'shoulei83', '狐仙侍卫2*1',8,270,10,13 }</v>
      </c>
      <c r="P156" s="41">
        <f t="shared" ref="P156:R156" si="153">P155*1.02</f>
        <v>2207151153.1902819</v>
      </c>
      <c r="Q156" s="41">
        <f t="shared" si="153"/>
        <v>64799.813230680811</v>
      </c>
      <c r="R156" s="41">
        <f t="shared" si="153"/>
        <v>2314279043.9528861</v>
      </c>
      <c r="S156" s="27">
        <v>100</v>
      </c>
      <c r="T156" s="52">
        <v>450</v>
      </c>
      <c r="U156" s="57">
        <v>0.7</v>
      </c>
      <c r="V156" s="27">
        <f t="shared" si="111"/>
        <v>11571395.21976443</v>
      </c>
      <c r="W156" s="41">
        <v>0</v>
      </c>
      <c r="X156" s="41">
        <f t="shared" ref="X156" si="154">X69</f>
        <v>200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6.0999999999999999E-2</v>
      </c>
      <c r="M157" s="21" t="s">
        <v>221</v>
      </c>
      <c r="N157" s="28" t="str">
        <f>"{'shoulei84', '"&amp;A157&amp;"*1',8,270,10,13 }"</f>
        <v>{'shoulei84', '狐仙侍卫3*1',8,270,10,13 }</v>
      </c>
      <c r="P157" s="41">
        <f t="shared" ref="P157:R157" si="155">P156*1.02</f>
        <v>2251294176.2540874</v>
      </c>
      <c r="Q157" s="41">
        <f t="shared" si="155"/>
        <v>66095.809495294423</v>
      </c>
      <c r="R157" s="41">
        <f t="shared" si="155"/>
        <v>2360564624.831944</v>
      </c>
      <c r="S157" s="27">
        <v>100</v>
      </c>
      <c r="T157" s="52">
        <v>450</v>
      </c>
      <c r="U157" s="57">
        <v>0.7</v>
      </c>
      <c r="V157" s="27">
        <f t="shared" si="111"/>
        <v>11802823.12415972</v>
      </c>
      <c r="W157" s="41">
        <v>0</v>
      </c>
      <c r="X157" s="41">
        <f t="shared" ref="X157" si="156">X70</f>
        <v>200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6.0999999999999999E-2</v>
      </c>
      <c r="M158" s="21" t="s">
        <v>221</v>
      </c>
      <c r="N158" s="28" t="str">
        <f>"{'shoulei85', '"&amp;A158&amp;"*1',8,270,10,13 }"</f>
        <v>{'shoulei85', '狐仙侍卫4*1',8,270,10,13 }</v>
      </c>
      <c r="P158" s="41">
        <f t="shared" ref="P158:R158" si="157">P157*1.02</f>
        <v>2296320059.7791691</v>
      </c>
      <c r="Q158" s="41">
        <f t="shared" si="157"/>
        <v>67417.725685200319</v>
      </c>
      <c r="R158" s="41">
        <f t="shared" si="157"/>
        <v>2407775917.3285828</v>
      </c>
      <c r="S158" s="27">
        <v>100</v>
      </c>
      <c r="T158" s="52">
        <v>450</v>
      </c>
      <c r="U158" s="57">
        <v>0.7</v>
      </c>
      <c r="V158" s="27">
        <f t="shared" si="111"/>
        <v>12038879.586642914</v>
      </c>
      <c r="W158" s="41">
        <v>0</v>
      </c>
      <c r="X158" s="41">
        <f t="shared" ref="X158" si="158">X71</f>
        <v>200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6.0999999999999999E-2</v>
      </c>
      <c r="M159" s="21" t="s">
        <v>221</v>
      </c>
      <c r="N159" s="28"/>
      <c r="P159" s="41">
        <f>P158*1.05</f>
        <v>2411136062.7681274</v>
      </c>
      <c r="Q159" s="41">
        <f t="shared" ref="Q159" si="159">Q158*1.05</f>
        <v>70788.61196946034</v>
      </c>
      <c r="R159" s="41">
        <f t="shared" ref="R159" si="160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1"/>
        <v>12640823.565975061</v>
      </c>
      <c r="W159" s="41">
        <v>0</v>
      </c>
      <c r="X159" s="41">
        <f t="shared" ref="X159" si="161">X72</f>
        <v>200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6.0999999999999999E-2</v>
      </c>
      <c r="M160" s="21" t="s">
        <v>221</v>
      </c>
      <c r="N160" s="28" t="str">
        <f>"{'shoulei92', '"&amp;A160&amp;"*1',8,270,10,13 }"</f>
        <v>{'shoulei92', '龙女侍卫1*1',8,270,10,13 }</v>
      </c>
      <c r="P160" s="41">
        <f t="shared" ref="P160:R160" si="162">P159*1.02</f>
        <v>2459358784.02349</v>
      </c>
      <c r="Q160" s="41">
        <f t="shared" si="162"/>
        <v>72204.384208849544</v>
      </c>
      <c r="R160" s="41">
        <f t="shared" si="162"/>
        <v>2578728007.4589124</v>
      </c>
      <c r="S160" s="27">
        <v>100</v>
      </c>
      <c r="T160" s="52">
        <v>450</v>
      </c>
      <c r="U160" s="57">
        <v>0.7</v>
      </c>
      <c r="V160" s="27">
        <f t="shared" si="111"/>
        <v>12893640.037294563</v>
      </c>
      <c r="W160" s="41">
        <v>0</v>
      </c>
      <c r="X160" s="41">
        <f t="shared" ref="X160" si="163">X73</f>
        <v>200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6.0999999999999999E-2</v>
      </c>
      <c r="M161" s="21" t="s">
        <v>221</v>
      </c>
      <c r="N161" s="28" t="str">
        <f>"{'shoulei93', '"&amp;A161&amp;"*1',8,270,10,13 }"</f>
        <v>{'shoulei93', '龙女侍卫2*1',8,270,10,13 }</v>
      </c>
      <c r="P161" s="41">
        <f t="shared" ref="P161:R161" si="164">P160*1.02</f>
        <v>2508545959.7039599</v>
      </c>
      <c r="Q161" s="41">
        <f t="shared" si="164"/>
        <v>73648.471893026537</v>
      </c>
      <c r="R161" s="41">
        <f t="shared" si="164"/>
        <v>2630302567.6080909</v>
      </c>
      <c r="S161" s="27">
        <v>100</v>
      </c>
      <c r="T161" s="52">
        <v>450</v>
      </c>
      <c r="U161" s="57">
        <v>0.7</v>
      </c>
      <c r="V161" s="27">
        <f t="shared" si="111"/>
        <v>13151512.838040454</v>
      </c>
      <c r="W161" s="41">
        <v>0</v>
      </c>
      <c r="X161" s="41">
        <f t="shared" ref="X161" si="165">X74</f>
        <v>200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6.0999999999999999E-2</v>
      </c>
      <c r="M162" s="21" t="s">
        <v>221</v>
      </c>
      <c r="N162" s="28" t="str">
        <f>"{'shoulei94', '"&amp;A162&amp;"*1',8,270,10,13 }"</f>
        <v>{'shoulei94', '龙女侍卫3*1',8,270,10,13 }</v>
      </c>
      <c r="P162" s="41">
        <f t="shared" ref="P162:R162" si="166">P161*1.02</f>
        <v>2558716878.8980393</v>
      </c>
      <c r="Q162" s="41">
        <f t="shared" si="166"/>
        <v>75121.441330887072</v>
      </c>
      <c r="R162" s="41">
        <f t="shared" si="166"/>
        <v>2682908618.9602528</v>
      </c>
      <c r="S162" s="27">
        <v>100</v>
      </c>
      <c r="T162" s="52">
        <v>450</v>
      </c>
      <c r="U162" s="57">
        <v>0.7</v>
      </c>
      <c r="V162" s="27">
        <f t="shared" si="111"/>
        <v>13414543.094801264</v>
      </c>
      <c r="W162" s="41">
        <v>0</v>
      </c>
      <c r="X162" s="41">
        <f t="shared" ref="X162" si="167">X75</f>
        <v>200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6.0999999999999999E-2</v>
      </c>
      <c r="M163" s="21" t="s">
        <v>221</v>
      </c>
      <c r="N163" s="28" t="str">
        <f>"{'shoulei95', '"&amp;A163&amp;"*1',8,270,10,13 }"</f>
        <v>{'shoulei95', '龙女侍卫4*1',8,270,10,13 }</v>
      </c>
      <c r="P163" s="41">
        <f t="shared" ref="P163:R163" si="168">P162*1.02</f>
        <v>2609891216.4760003</v>
      </c>
      <c r="Q163" s="41">
        <f t="shared" si="168"/>
        <v>76623.870157504818</v>
      </c>
      <c r="R163" s="41">
        <f t="shared" si="168"/>
        <v>2736566791.339458</v>
      </c>
      <c r="S163" s="27">
        <v>100</v>
      </c>
      <c r="T163" s="52">
        <v>450</v>
      </c>
      <c r="U163" s="57">
        <v>0.7</v>
      </c>
      <c r="V163" s="27">
        <f t="shared" si="111"/>
        <v>13682833.956697291</v>
      </c>
      <c r="W163" s="41">
        <v>0</v>
      </c>
      <c r="X163" s="41">
        <f t="shared" ref="X163" si="169">X76</f>
        <v>200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6.0999999999999999E-2</v>
      </c>
      <c r="M164" s="21" t="s">
        <v>221</v>
      </c>
      <c r="N164" s="28"/>
      <c r="P164" s="41">
        <f>P163*1.05</f>
        <v>2740385777.2998004</v>
      </c>
      <c r="Q164" s="41">
        <f t="shared" ref="Q164" si="170">Q163*1.05</f>
        <v>80455.063665380061</v>
      </c>
      <c r="R164" s="41">
        <f t="shared" ref="R164" si="171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1"/>
        <v>14366975.654532157</v>
      </c>
      <c r="W164" s="41">
        <v>0</v>
      </c>
      <c r="X164" s="41">
        <f t="shared" ref="X164" si="172">X77</f>
        <v>200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6.0999999999999999E-2</v>
      </c>
      <c r="M165" s="21" t="s">
        <v>221</v>
      </c>
      <c r="N165" s="28" t="str">
        <f>"{'shoulei102', '"&amp;A165&amp;"*1',8,270,10,13 }"</f>
        <v>{'shoulei102', '刑天侍卫1*1',8,270,10,13 }</v>
      </c>
      <c r="P165" s="41">
        <f t="shared" ref="P165:R165" si="173">P164*1.02</f>
        <v>2795193492.8457966</v>
      </c>
      <c r="Q165" s="41">
        <f t="shared" si="173"/>
        <v>82064.164938687667</v>
      </c>
      <c r="R165" s="41">
        <f t="shared" si="173"/>
        <v>2930863033.52456</v>
      </c>
      <c r="S165" s="27">
        <v>100</v>
      </c>
      <c r="T165" s="52">
        <v>450</v>
      </c>
      <c r="U165" s="57">
        <v>0.7</v>
      </c>
      <c r="V165" s="27">
        <f t="shared" si="111"/>
        <v>14654315.167622801</v>
      </c>
      <c r="W165" s="41">
        <v>0</v>
      </c>
      <c r="X165" s="41">
        <f t="shared" ref="X165" si="174">X78</f>
        <v>200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6.0999999999999999E-2</v>
      </c>
      <c r="M166" s="21" t="s">
        <v>221</v>
      </c>
      <c r="N166" s="28" t="str">
        <f>"{'shoulei103', '"&amp;A166&amp;"*1',8,270,10,13 }"</f>
        <v>{'shoulei103', '刑天侍卫2*1',8,270,10,13 }</v>
      </c>
      <c r="P166" s="41">
        <f t="shared" ref="P166:R166" si="175">P165*1.02</f>
        <v>2851097362.7027125</v>
      </c>
      <c r="Q166" s="41">
        <f t="shared" si="175"/>
        <v>83705.448237461416</v>
      </c>
      <c r="R166" s="41">
        <f t="shared" si="175"/>
        <v>2989480294.1950512</v>
      </c>
      <c r="S166" s="27">
        <v>100</v>
      </c>
      <c r="T166" s="52">
        <v>450</v>
      </c>
      <c r="U166" s="57">
        <v>0.7</v>
      </c>
      <c r="V166" s="27">
        <f t="shared" si="111"/>
        <v>14947401.470975256</v>
      </c>
      <c r="W166" s="41">
        <v>0</v>
      </c>
      <c r="X166" s="41">
        <f t="shared" ref="X166" si="176">X79</f>
        <v>200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6.0999999999999999E-2</v>
      </c>
      <c r="M167" s="21" t="s">
        <v>221</v>
      </c>
      <c r="N167" s="28" t="str">
        <f>"{'shoulei104', '"&amp;A167&amp;"*1',8,270,10,13 }"</f>
        <v>{'shoulei104', '刑天侍卫3*1',8,270,10,13 }</v>
      </c>
      <c r="P167" s="41">
        <f t="shared" ref="P167:R167" si="177">P166*1.02</f>
        <v>2908119309.9567666</v>
      </c>
      <c r="Q167" s="41">
        <f t="shared" si="177"/>
        <v>85379.55720221065</v>
      </c>
      <c r="R167" s="41">
        <f t="shared" si="177"/>
        <v>3049269900.0789523</v>
      </c>
      <c r="S167" s="27">
        <v>100</v>
      </c>
      <c r="T167" s="52">
        <v>450</v>
      </c>
      <c r="U167" s="57">
        <v>0.7</v>
      </c>
      <c r="V167" s="27">
        <f t="shared" si="111"/>
        <v>15246349.500394762</v>
      </c>
      <c r="W167" s="41">
        <v>0</v>
      </c>
      <c r="X167" s="41">
        <f t="shared" ref="X167" si="178">X80</f>
        <v>200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6.0999999999999999E-2</v>
      </c>
      <c r="M168" s="21" t="s">
        <v>221</v>
      </c>
      <c r="N168" s="28" t="str">
        <f>"{'shoulei105', '"&amp;A168&amp;"*1',8,270,10,13 }"</f>
        <v>{'shoulei105', '刑天侍卫4*1',8,270,10,13 }</v>
      </c>
      <c r="P168" s="41">
        <f t="shared" ref="P168:R168" si="179">P167*1.02</f>
        <v>2966281696.1559019</v>
      </c>
      <c r="Q168" s="41">
        <f t="shared" si="179"/>
        <v>87087.148346254864</v>
      </c>
      <c r="R168" s="41">
        <f t="shared" si="179"/>
        <v>3110255298.0805316</v>
      </c>
      <c r="S168" s="27">
        <v>100</v>
      </c>
      <c r="T168" s="52">
        <v>450</v>
      </c>
      <c r="U168" s="57">
        <v>0.7</v>
      </c>
      <c r="V168" s="27">
        <f t="shared" si="111"/>
        <v>15551276.490402658</v>
      </c>
      <c r="W168" s="41">
        <v>0</v>
      </c>
      <c r="X168" s="41">
        <f t="shared" ref="X168" si="180">X81</f>
        <v>200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6.0999999999999999E-2</v>
      </c>
      <c r="M169" s="21" t="s">
        <v>221</v>
      </c>
      <c r="N169" s="28"/>
      <c r="P169" s="41">
        <f>P168*1.05</f>
        <v>3114595780.963697</v>
      </c>
      <c r="Q169" s="41">
        <f t="shared" ref="Q169" si="181">Q168*1.05</f>
        <v>91441.505763567606</v>
      </c>
      <c r="R169" s="41">
        <f t="shared" ref="R169" si="182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1"/>
        <v>16328840.314922791</v>
      </c>
      <c r="W169" s="41">
        <v>0</v>
      </c>
      <c r="X169" s="41">
        <f t="shared" ref="X169:X179" si="183">X82</f>
        <v>200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6.0999999999999999E-2</v>
      </c>
      <c r="M170" s="21" t="s">
        <v>221</v>
      </c>
      <c r="N170" s="28"/>
      <c r="P170" s="41">
        <f>P169*1.1</f>
        <v>3426055359.0600667</v>
      </c>
      <c r="Q170" s="41">
        <f t="shared" ref="Q170:R170" si="184">Q169*1.1</f>
        <v>100585.65633992438</v>
      </c>
      <c r="R170" s="41">
        <f t="shared" si="184"/>
        <v>3592344869.2830143</v>
      </c>
      <c r="S170" s="27">
        <v>100</v>
      </c>
      <c r="T170" s="52">
        <v>450</v>
      </c>
      <c r="U170" s="57">
        <v>0.6</v>
      </c>
      <c r="V170" s="27">
        <f t="shared" si="111"/>
        <v>17961724.346415073</v>
      </c>
      <c r="W170" s="41">
        <v>0</v>
      </c>
      <c r="X170" s="41">
        <f t="shared" si="183"/>
        <v>200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6.0999999999999999E-2</v>
      </c>
      <c r="M171" s="21" t="s">
        <v>221</v>
      </c>
      <c r="N171" s="28"/>
      <c r="P171" s="41">
        <f>P170*1.1</f>
        <v>3768660894.9660735</v>
      </c>
      <c r="Q171" s="41">
        <f t="shared" ref="Q171:R171" si="185">Q170*1.1</f>
        <v>110644.22197391682</v>
      </c>
      <c r="R171" s="41">
        <f t="shared" si="185"/>
        <v>3951579356.2113161</v>
      </c>
      <c r="S171" s="27">
        <v>100</v>
      </c>
      <c r="T171" s="52">
        <v>450</v>
      </c>
      <c r="U171" s="57">
        <v>0.6</v>
      </c>
      <c r="V171" s="27">
        <f t="shared" si="111"/>
        <v>19757896.781056579</v>
      </c>
      <c r="W171" s="41">
        <v>0</v>
      </c>
      <c r="X171" s="41">
        <f t="shared" si="183"/>
        <v>200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6.0999999999999999E-2</v>
      </c>
      <c r="M172" s="21" t="s">
        <v>221</v>
      </c>
      <c r="N172" s="28"/>
      <c r="P172" s="41">
        <f t="shared" ref="P172:P179" si="186">P171*1.1</f>
        <v>4145526984.4626813</v>
      </c>
      <c r="Q172" s="41">
        <f t="shared" ref="Q172:Q179" si="187">Q171*1.1</f>
        <v>121708.64417130851</v>
      </c>
      <c r="R172" s="41">
        <f t="shared" ref="R172:R179" si="188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1"/>
        <v>21733686.459162239</v>
      </c>
      <c r="W172" s="41">
        <v>0</v>
      </c>
      <c r="X172" s="41">
        <f t="shared" si="183"/>
        <v>200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6.0999999999999999E-2</v>
      </c>
      <c r="M173" s="21" t="s">
        <v>221</v>
      </c>
      <c r="N173" s="28"/>
      <c r="P173" s="41">
        <f t="shared" si="186"/>
        <v>4560079682.9089499</v>
      </c>
      <c r="Q173" s="41">
        <f t="shared" si="187"/>
        <v>133879.50858843938</v>
      </c>
      <c r="R173" s="41">
        <f t="shared" si="188"/>
        <v>4781411021.0156937</v>
      </c>
      <c r="S173" s="27">
        <v>100</v>
      </c>
      <c r="T173" s="52">
        <v>450</v>
      </c>
      <c r="U173" s="57">
        <v>0.6</v>
      </c>
      <c r="V173" s="27">
        <f t="shared" si="111"/>
        <v>23907055.10507847</v>
      </c>
      <c r="W173" s="41">
        <v>0</v>
      </c>
      <c r="X173" s="41">
        <f t="shared" si="183"/>
        <v>200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6.0999999999999999E-2</v>
      </c>
      <c r="M174" s="21" t="s">
        <v>221</v>
      </c>
      <c r="N174" s="28"/>
      <c r="P174" s="41">
        <f t="shared" si="186"/>
        <v>5016087651.1998453</v>
      </c>
      <c r="Q174" s="41">
        <f t="shared" si="187"/>
        <v>147267.45944728333</v>
      </c>
      <c r="R174" s="41">
        <f t="shared" si="188"/>
        <v>5259552123.1172638</v>
      </c>
      <c r="S174" s="27">
        <v>100</v>
      </c>
      <c r="T174" s="52">
        <v>450</v>
      </c>
      <c r="U174" s="57">
        <v>0.6</v>
      </c>
      <c r="V174" s="27">
        <f t="shared" si="111"/>
        <v>26297760.615586318</v>
      </c>
      <c r="W174" s="41">
        <v>0</v>
      </c>
      <c r="X174" s="41">
        <f t="shared" si="183"/>
        <v>200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6.0999999999999999E-2</v>
      </c>
      <c r="M175" s="21" t="s">
        <v>221</v>
      </c>
      <c r="N175" s="28"/>
      <c r="P175" s="41">
        <f t="shared" si="186"/>
        <v>5517696416.3198299</v>
      </c>
      <c r="Q175" s="41">
        <f t="shared" si="187"/>
        <v>161994.20539201167</v>
      </c>
      <c r="R175" s="41">
        <f t="shared" si="188"/>
        <v>5785507335.4289904</v>
      </c>
      <c r="S175" s="27">
        <v>100</v>
      </c>
      <c r="T175" s="52">
        <v>450</v>
      </c>
      <c r="U175" s="57">
        <v>0.6</v>
      </c>
      <c r="V175" s="27">
        <f t="shared" si="111"/>
        <v>28927536.677144952</v>
      </c>
      <c r="W175" s="41">
        <v>0</v>
      </c>
      <c r="X175" s="41">
        <f t="shared" si="183"/>
        <v>200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6.0999999999999999E-2</v>
      </c>
      <c r="M176" s="21" t="s">
        <v>221</v>
      </c>
      <c r="N176" s="28"/>
      <c r="P176" s="41">
        <f t="shared" si="186"/>
        <v>6069466057.9518137</v>
      </c>
      <c r="Q176" s="41">
        <f t="shared" si="187"/>
        <v>178193.62593121285</v>
      </c>
      <c r="R176" s="41">
        <f t="shared" si="188"/>
        <v>6364058068.9718895</v>
      </c>
      <c r="S176" s="27">
        <v>100</v>
      </c>
      <c r="T176" s="52">
        <v>450</v>
      </c>
      <c r="U176" s="57">
        <v>0.6</v>
      </c>
      <c r="V176" s="27">
        <f t="shared" si="111"/>
        <v>31820290.344859447</v>
      </c>
      <c r="W176" s="41">
        <v>0</v>
      </c>
      <c r="X176" s="41">
        <f t="shared" si="183"/>
        <v>200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6.0999999999999999E-2</v>
      </c>
      <c r="M177" s="21" t="s">
        <v>221</v>
      </c>
      <c r="N177" s="28"/>
      <c r="P177" s="41">
        <f t="shared" si="186"/>
        <v>6676412663.7469959</v>
      </c>
      <c r="Q177" s="41">
        <f t="shared" si="187"/>
        <v>196012.98852433416</v>
      </c>
      <c r="R177" s="41">
        <f t="shared" si="188"/>
        <v>7000463875.8690786</v>
      </c>
      <c r="S177" s="27">
        <v>100</v>
      </c>
      <c r="T177" s="52">
        <v>450</v>
      </c>
      <c r="U177" s="57">
        <v>0.6</v>
      </c>
      <c r="V177" s="27">
        <f t="shared" si="111"/>
        <v>35002319.379345395</v>
      </c>
      <c r="W177" s="41">
        <v>0</v>
      </c>
      <c r="X177" s="41">
        <f t="shared" si="183"/>
        <v>200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6.0999999999999999E-2</v>
      </c>
      <c r="M178" s="21" t="s">
        <v>221</v>
      </c>
      <c r="N178" s="28"/>
      <c r="P178" s="41">
        <f t="shared" si="186"/>
        <v>7344053930.1216965</v>
      </c>
      <c r="Q178" s="41">
        <f t="shared" si="187"/>
        <v>215614.28737676758</v>
      </c>
      <c r="R178" s="41">
        <f t="shared" si="188"/>
        <v>7700510263.455987</v>
      </c>
      <c r="S178" s="27">
        <v>100</v>
      </c>
      <c r="T178" s="52">
        <v>450</v>
      </c>
      <c r="U178" s="57">
        <v>0.6</v>
      </c>
      <c r="V178" s="27">
        <f t="shared" si="111"/>
        <v>38502551.317279935</v>
      </c>
      <c r="W178" s="41">
        <v>0</v>
      </c>
      <c r="X178" s="41">
        <f t="shared" si="183"/>
        <v>200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6.0999999999999999E-2</v>
      </c>
      <c r="M179" s="21" t="s">
        <v>221</v>
      </c>
      <c r="N179" s="28"/>
      <c r="P179" s="41">
        <f t="shared" si="186"/>
        <v>8078459323.1338663</v>
      </c>
      <c r="Q179" s="41">
        <f t="shared" si="187"/>
        <v>237175.71611444437</v>
      </c>
      <c r="R179" s="41">
        <f t="shared" si="188"/>
        <v>8470561289.8015862</v>
      </c>
      <c r="S179" s="27">
        <v>100</v>
      </c>
      <c r="T179" s="52">
        <v>450</v>
      </c>
      <c r="U179" s="57">
        <v>0.6</v>
      </c>
      <c r="V179" s="27">
        <f t="shared" si="111"/>
        <v>42352806.449007928</v>
      </c>
      <c r="W179" s="41">
        <v>0</v>
      </c>
      <c r="X179" s="41">
        <f t="shared" si="183"/>
        <v>200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1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1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6.0999999999999999E-2</v>
      </c>
      <c r="M182" s="21" t="s">
        <v>221</v>
      </c>
      <c r="N182" s="28"/>
      <c r="P182" s="41">
        <f>P179*1.1</f>
        <v>8886305255.4472542</v>
      </c>
      <c r="Q182" s="41">
        <f t="shared" ref="Q182:R182" si="189">Q179*1.1</f>
        <v>260893.28772588883</v>
      </c>
      <c r="R182" s="41">
        <f t="shared" si="189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0">R182*0.005</f>
        <v>46588087.093908727</v>
      </c>
      <c r="W182" s="41">
        <v>0</v>
      </c>
      <c r="X182" s="41">
        <f t="shared" ref="X182:X201" si="191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6.0999999999999999E-2</v>
      </c>
      <c r="M183" s="21" t="s">
        <v>221</v>
      </c>
      <c r="N183" s="28"/>
      <c r="P183" s="41">
        <f>P182*1.05</f>
        <v>9330620518.2196178</v>
      </c>
      <c r="Q183" s="41">
        <f t="shared" ref="Q183:R184" si="192">Q182*1.05</f>
        <v>273937.95211218327</v>
      </c>
      <c r="R183" s="41">
        <f t="shared" si="192"/>
        <v>9783498289.7208328</v>
      </c>
      <c r="S183" s="27">
        <v>100</v>
      </c>
      <c r="T183" s="52">
        <v>450</v>
      </c>
      <c r="U183" s="57">
        <v>0.5</v>
      </c>
      <c r="V183" s="27">
        <f t="shared" si="190"/>
        <v>48917491.448604167</v>
      </c>
      <c r="W183" s="41">
        <v>0</v>
      </c>
      <c r="X183" s="41">
        <f t="shared" si="191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6.0999999999999999E-2</v>
      </c>
      <c r="M184" s="21" t="s">
        <v>221</v>
      </c>
      <c r="N184" s="28"/>
      <c r="P184" s="41">
        <f>P183*1.05</f>
        <v>9797151544.1306</v>
      </c>
      <c r="Q184" s="41">
        <f t="shared" si="192"/>
        <v>287634.84971779241</v>
      </c>
      <c r="R184" s="41">
        <f t="shared" si="192"/>
        <v>10272673204.206875</v>
      </c>
      <c r="S184" s="27">
        <v>100</v>
      </c>
      <c r="T184" s="52">
        <v>450</v>
      </c>
      <c r="U184" s="57">
        <v>0.5</v>
      </c>
      <c r="V184" s="27">
        <f t="shared" si="190"/>
        <v>51363366.021034375</v>
      </c>
      <c r="W184" s="41">
        <v>0</v>
      </c>
      <c r="X184" s="41">
        <f t="shared" si="191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6.0999999999999999E-2</v>
      </c>
      <c r="M185" s="21" t="s">
        <v>221</v>
      </c>
      <c r="N185" s="28"/>
      <c r="P185" s="41">
        <f t="shared" ref="P185:P201" si="193">P184*1.05</f>
        <v>10287009121.33713</v>
      </c>
      <c r="Q185" s="41">
        <f t="shared" ref="Q185:Q201" si="194">Q184*1.05</f>
        <v>302016.59220368206</v>
      </c>
      <c r="R185" s="41">
        <f t="shared" ref="R185:R201" si="195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0"/>
        <v>53931534.322086096</v>
      </c>
      <c r="W185" s="41">
        <v>0</v>
      </c>
      <c r="X185" s="41">
        <f t="shared" si="191"/>
        <v>200</v>
      </c>
      <c r="Y185" s="41">
        <v>440</v>
      </c>
      <c r="Z185" s="27">
        <v>0</v>
      </c>
      <c r="AA185" s="41">
        <v>20</v>
      </c>
      <c r="AB185" s="41">
        <f t="shared" ref="AB185:AB201" si="196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6.0999999999999999E-2</v>
      </c>
      <c r="M186" s="21" t="s">
        <v>221</v>
      </c>
      <c r="P186" s="41">
        <f t="shared" si="193"/>
        <v>10801359577.403986</v>
      </c>
      <c r="Q186" s="41">
        <f t="shared" si="194"/>
        <v>317117.42181386618</v>
      </c>
      <c r="R186" s="41">
        <f t="shared" si="195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7">R186*0.005</f>
        <v>56628111.038190402</v>
      </c>
      <c r="W186" s="41">
        <v>0</v>
      </c>
      <c r="X186" s="41">
        <f t="shared" si="191"/>
        <v>200</v>
      </c>
      <c r="Y186" s="41">
        <v>450</v>
      </c>
      <c r="Z186" s="27">
        <v>0</v>
      </c>
      <c r="AA186" s="41">
        <v>20</v>
      </c>
      <c r="AB186" s="41">
        <f t="shared" si="196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6.0999999999999999E-2</v>
      </c>
      <c r="M187" s="21" t="s">
        <v>221</v>
      </c>
      <c r="P187" s="41">
        <f t="shared" si="193"/>
        <v>11341427556.274185</v>
      </c>
      <c r="Q187" s="41">
        <f t="shared" si="194"/>
        <v>332973.29290455952</v>
      </c>
      <c r="R187" s="41">
        <f t="shared" si="195"/>
        <v>11891903318.019985</v>
      </c>
      <c r="S187" s="27">
        <v>100</v>
      </c>
      <c r="T187" s="52">
        <v>450</v>
      </c>
      <c r="U187" s="57">
        <v>0.5</v>
      </c>
      <c r="V187" s="27">
        <f t="shared" si="197"/>
        <v>59459516.590099931</v>
      </c>
      <c r="W187" s="41">
        <v>0</v>
      </c>
      <c r="X187" s="41">
        <f t="shared" si="191"/>
        <v>200</v>
      </c>
      <c r="Y187" s="41">
        <v>460</v>
      </c>
      <c r="Z187" s="27">
        <v>0</v>
      </c>
      <c r="AA187" s="41">
        <v>20</v>
      </c>
      <c r="AB187" s="41">
        <f t="shared" si="196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6.0999999999999999E-2</v>
      </c>
      <c r="M188" s="21" t="s">
        <v>221</v>
      </c>
      <c r="P188" s="41">
        <f t="shared" si="193"/>
        <v>11908498934.087894</v>
      </c>
      <c r="Q188" s="41">
        <f t="shared" si="194"/>
        <v>349621.95754978753</v>
      </c>
      <c r="R188" s="41">
        <f t="shared" si="195"/>
        <v>12486498483.920984</v>
      </c>
      <c r="S188" s="27">
        <v>100</v>
      </c>
      <c r="T188" s="52">
        <v>450</v>
      </c>
      <c r="U188" s="57">
        <v>0.5</v>
      </c>
      <c r="V188" s="27">
        <f t="shared" si="197"/>
        <v>62432492.41960492</v>
      </c>
      <c r="W188" s="41">
        <v>0</v>
      </c>
      <c r="X188" s="41">
        <f t="shared" si="191"/>
        <v>200</v>
      </c>
      <c r="Y188" s="41">
        <v>470</v>
      </c>
      <c r="Z188" s="27">
        <v>0</v>
      </c>
      <c r="AA188" s="41">
        <v>20</v>
      </c>
      <c r="AB188" s="41">
        <f t="shared" si="196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6.0999999999999999E-2</v>
      </c>
      <c r="M189" s="21" t="s">
        <v>221</v>
      </c>
      <c r="P189" s="41">
        <f t="shared" si="193"/>
        <v>12503923880.79229</v>
      </c>
      <c r="Q189" s="41">
        <f t="shared" si="194"/>
        <v>367103.05542727694</v>
      </c>
      <c r="R189" s="41">
        <f t="shared" si="195"/>
        <v>13110823408.117035</v>
      </c>
      <c r="S189" s="27">
        <v>100</v>
      </c>
      <c r="T189" s="52">
        <v>450</v>
      </c>
      <c r="U189" s="57">
        <v>0.5</v>
      </c>
      <c r="V189" s="27">
        <f t="shared" si="197"/>
        <v>65554117.040585175</v>
      </c>
      <c r="W189" s="41">
        <v>0</v>
      </c>
      <c r="X189" s="41">
        <f t="shared" si="191"/>
        <v>200</v>
      </c>
      <c r="Y189" s="41">
        <v>480</v>
      </c>
      <c r="Z189" s="27">
        <v>0</v>
      </c>
      <c r="AA189" s="41">
        <v>20</v>
      </c>
      <c r="AB189" s="41">
        <f t="shared" si="196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6.0999999999999999E-2</v>
      </c>
      <c r="M190" s="21" t="s">
        <v>221</v>
      </c>
      <c r="P190" s="41">
        <f t="shared" si="193"/>
        <v>13129120074.831905</v>
      </c>
      <c r="Q190" s="41">
        <f t="shared" si="194"/>
        <v>385458.20819864079</v>
      </c>
      <c r="R190" s="41">
        <f t="shared" si="195"/>
        <v>13766364578.522888</v>
      </c>
      <c r="S190" s="27">
        <v>100</v>
      </c>
      <c r="T190" s="52">
        <v>450</v>
      </c>
      <c r="U190" s="57">
        <v>0.5</v>
      </c>
      <c r="V190" s="27">
        <f t="shared" si="197"/>
        <v>68831822.892614439</v>
      </c>
      <c r="W190" s="41">
        <v>0</v>
      </c>
      <c r="X190" s="41">
        <f t="shared" si="191"/>
        <v>200</v>
      </c>
      <c r="Y190" s="41">
        <v>490</v>
      </c>
      <c r="Z190" s="27">
        <v>0</v>
      </c>
      <c r="AA190" s="41">
        <v>20</v>
      </c>
      <c r="AB190" s="41">
        <f t="shared" si="196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6.0999999999999999E-2</v>
      </c>
      <c r="M191" s="21" t="s">
        <v>221</v>
      </c>
      <c r="P191" s="41">
        <f t="shared" si="193"/>
        <v>13785576078.573502</v>
      </c>
      <c r="Q191" s="41">
        <f t="shared" si="194"/>
        <v>404731.11860857287</v>
      </c>
      <c r="R191" s="41">
        <f t="shared" si="195"/>
        <v>14454682807.449034</v>
      </c>
      <c r="S191" s="27">
        <v>100</v>
      </c>
      <c r="T191" s="52">
        <v>450</v>
      </c>
      <c r="U191" s="57">
        <v>0.5</v>
      </c>
      <c r="V191" s="27">
        <f t="shared" si="197"/>
        <v>72273414.037245169</v>
      </c>
      <c r="W191" s="41">
        <v>0</v>
      </c>
      <c r="X191" s="41">
        <f t="shared" si="191"/>
        <v>200</v>
      </c>
      <c r="Y191" s="41">
        <v>500</v>
      </c>
      <c r="Z191" s="27">
        <v>0</v>
      </c>
      <c r="AA191" s="41">
        <v>20</v>
      </c>
      <c r="AB191" s="41">
        <f t="shared" si="196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6.0999999999999999E-2</v>
      </c>
      <c r="M192" s="21" t="s">
        <v>221</v>
      </c>
      <c r="P192" s="41">
        <f t="shared" si="193"/>
        <v>14474854882.502178</v>
      </c>
      <c r="Q192" s="41">
        <f t="shared" si="194"/>
        <v>424967.67453900154</v>
      </c>
      <c r="R192" s="41">
        <f t="shared" si="195"/>
        <v>15177416947.821486</v>
      </c>
      <c r="S192" s="27">
        <v>100</v>
      </c>
      <c r="T192" s="52">
        <v>450</v>
      </c>
      <c r="U192" s="57">
        <v>0.5</v>
      </c>
      <c r="V192" s="27">
        <f t="shared" si="197"/>
        <v>75887084.73910743</v>
      </c>
      <c r="W192" s="41">
        <v>0</v>
      </c>
      <c r="X192" s="41">
        <f t="shared" si="191"/>
        <v>200</v>
      </c>
      <c r="Y192" s="41">
        <v>510</v>
      </c>
      <c r="Z192" s="27">
        <v>0</v>
      </c>
      <c r="AA192" s="41">
        <v>20</v>
      </c>
      <c r="AB192" s="41">
        <f t="shared" si="196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6.0999999999999999E-2</v>
      </c>
      <c r="M193" s="21" t="s">
        <v>221</v>
      </c>
      <c r="P193" s="41">
        <f t="shared" si="193"/>
        <v>15198597626.627287</v>
      </c>
      <c r="Q193" s="41">
        <f t="shared" si="194"/>
        <v>446216.05826595164</v>
      </c>
      <c r="R193" s="41">
        <f t="shared" si="195"/>
        <v>15936287795.212561</v>
      </c>
      <c r="S193" s="27">
        <v>100</v>
      </c>
      <c r="T193" s="52">
        <v>450</v>
      </c>
      <c r="U193" s="57">
        <v>0.5</v>
      </c>
      <c r="V193" s="27">
        <f t="shared" si="197"/>
        <v>79681438.976062804</v>
      </c>
      <c r="W193" s="41">
        <v>0</v>
      </c>
      <c r="X193" s="41">
        <f t="shared" si="191"/>
        <v>200</v>
      </c>
      <c r="Y193" s="41">
        <v>520</v>
      </c>
      <c r="Z193" s="27">
        <v>0</v>
      </c>
      <c r="AA193" s="41">
        <v>20</v>
      </c>
      <c r="AB193" s="41">
        <f t="shared" si="196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6.0999999999999999E-2</v>
      </c>
      <c r="M194" s="21" t="s">
        <v>221</v>
      </c>
      <c r="P194" s="41">
        <f t="shared" si="193"/>
        <v>15958527507.958652</v>
      </c>
      <c r="Q194" s="41">
        <f t="shared" si="194"/>
        <v>468526.86117924924</v>
      </c>
      <c r="R194" s="41">
        <f t="shared" si="195"/>
        <v>16733102184.97319</v>
      </c>
      <c r="S194" s="27">
        <v>100</v>
      </c>
      <c r="T194" s="52">
        <v>450</v>
      </c>
      <c r="U194" s="57">
        <v>0.5</v>
      </c>
      <c r="V194" s="27">
        <f t="shared" si="197"/>
        <v>83665510.924865946</v>
      </c>
      <c r="W194" s="41">
        <v>0</v>
      </c>
      <c r="X194" s="41">
        <f t="shared" si="191"/>
        <v>200</v>
      </c>
      <c r="Y194" s="41">
        <v>530</v>
      </c>
      <c r="Z194" s="27">
        <v>0</v>
      </c>
      <c r="AA194" s="41">
        <v>20</v>
      </c>
      <c r="AB194" s="41">
        <f t="shared" si="196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6.0999999999999999E-2</v>
      </c>
      <c r="M195" s="21" t="s">
        <v>221</v>
      </c>
      <c r="P195" s="41">
        <f t="shared" si="193"/>
        <v>16756453883.356586</v>
      </c>
      <c r="Q195" s="41">
        <f t="shared" si="194"/>
        <v>491953.20423821174</v>
      </c>
      <c r="R195" s="41">
        <f t="shared" si="195"/>
        <v>17569757294.221851</v>
      </c>
      <c r="S195" s="27">
        <v>100</v>
      </c>
      <c r="T195" s="52">
        <v>450</v>
      </c>
      <c r="U195" s="57">
        <v>0.5</v>
      </c>
      <c r="V195" s="27">
        <f t="shared" si="197"/>
        <v>87848786.471109256</v>
      </c>
      <c r="W195" s="41">
        <v>0</v>
      </c>
      <c r="X195" s="41">
        <f t="shared" si="191"/>
        <v>200</v>
      </c>
      <c r="Y195" s="41">
        <v>540</v>
      </c>
      <c r="Z195" s="27">
        <v>0</v>
      </c>
      <c r="AA195" s="41">
        <v>20</v>
      </c>
      <c r="AB195" s="41">
        <f t="shared" si="196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6.0999999999999999E-2</v>
      </c>
      <c r="M196" s="21" t="s">
        <v>221</v>
      </c>
      <c r="P196" s="41">
        <f t="shared" si="193"/>
        <v>17594276577.524418</v>
      </c>
      <c r="Q196" s="41">
        <f t="shared" si="194"/>
        <v>516550.86445012235</v>
      </c>
      <c r="R196" s="41">
        <f t="shared" si="195"/>
        <v>18448245158.932945</v>
      </c>
      <c r="S196" s="27">
        <v>100</v>
      </c>
      <c r="T196" s="52">
        <v>450</v>
      </c>
      <c r="U196" s="57">
        <v>0.5</v>
      </c>
      <c r="V196" s="27">
        <f t="shared" si="197"/>
        <v>92241225.794664726</v>
      </c>
      <c r="W196" s="41">
        <v>0</v>
      </c>
      <c r="X196" s="41">
        <f t="shared" si="191"/>
        <v>200</v>
      </c>
      <c r="Y196" s="41">
        <v>550</v>
      </c>
      <c r="Z196" s="27">
        <v>0</v>
      </c>
      <c r="AA196" s="41">
        <v>20</v>
      </c>
      <c r="AB196" s="41">
        <f t="shared" si="196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6.0999999999999999E-2</v>
      </c>
      <c r="M197" s="21" t="s">
        <v>221</v>
      </c>
      <c r="P197" s="41">
        <f t="shared" si="193"/>
        <v>18473990406.400639</v>
      </c>
      <c r="Q197" s="41">
        <f t="shared" si="194"/>
        <v>542378.40767262853</v>
      </c>
      <c r="R197" s="41">
        <f t="shared" si="195"/>
        <v>19370657416.879593</v>
      </c>
      <c r="S197" s="27">
        <v>100</v>
      </c>
      <c r="T197" s="52">
        <v>450</v>
      </c>
      <c r="U197" s="57">
        <v>0.5</v>
      </c>
      <c r="V197" s="27">
        <f t="shared" si="197"/>
        <v>96853287.084397972</v>
      </c>
      <c r="W197" s="41">
        <v>0</v>
      </c>
      <c r="X197" s="41">
        <f t="shared" si="191"/>
        <v>200</v>
      </c>
      <c r="Y197" s="41">
        <v>560</v>
      </c>
      <c r="Z197" s="27">
        <v>0</v>
      </c>
      <c r="AA197" s="41">
        <v>20</v>
      </c>
      <c r="AB197" s="41">
        <f t="shared" si="196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6.0999999999999999E-2</v>
      </c>
      <c r="M198" s="21" t="s">
        <v>221</v>
      </c>
      <c r="P198" s="41">
        <f t="shared" si="193"/>
        <v>19397689926.720673</v>
      </c>
      <c r="Q198" s="41">
        <f t="shared" si="194"/>
        <v>569497.32805626001</v>
      </c>
      <c r="R198" s="41">
        <f t="shared" si="195"/>
        <v>20339190287.723572</v>
      </c>
      <c r="S198" s="27">
        <v>100</v>
      </c>
      <c r="T198" s="52">
        <v>450</v>
      </c>
      <c r="U198" s="57">
        <v>0.5</v>
      </c>
      <c r="V198" s="27">
        <f t="shared" si="197"/>
        <v>101695951.43861786</v>
      </c>
      <c r="W198" s="41">
        <v>0</v>
      </c>
      <c r="X198" s="41">
        <f t="shared" si="191"/>
        <v>200</v>
      </c>
      <c r="Y198" s="41">
        <v>570</v>
      </c>
      <c r="Z198" s="27">
        <v>0</v>
      </c>
      <c r="AA198" s="41">
        <v>20</v>
      </c>
      <c r="AB198" s="41">
        <f t="shared" si="196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6.0999999999999999E-2</v>
      </c>
      <c r="M199" s="21" t="s">
        <v>221</v>
      </c>
      <c r="P199" s="41">
        <f t="shared" si="193"/>
        <v>20367574423.056705</v>
      </c>
      <c r="Q199" s="41">
        <f t="shared" si="194"/>
        <v>597972.19445907301</v>
      </c>
      <c r="R199" s="41">
        <f t="shared" si="195"/>
        <v>21356149802.109753</v>
      </c>
      <c r="S199" s="27">
        <v>100</v>
      </c>
      <c r="T199" s="52">
        <v>450</v>
      </c>
      <c r="U199" s="57">
        <v>0.5</v>
      </c>
      <c r="V199" s="27">
        <f t="shared" si="197"/>
        <v>106780749.01054877</v>
      </c>
      <c r="W199" s="41">
        <v>0</v>
      </c>
      <c r="X199" s="41">
        <f t="shared" si="191"/>
        <v>200</v>
      </c>
      <c r="Y199" s="41">
        <v>580</v>
      </c>
      <c r="Z199" s="27">
        <v>0</v>
      </c>
      <c r="AA199" s="41">
        <v>20</v>
      </c>
      <c r="AB199" s="41">
        <f t="shared" si="196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6.0999999999999999E-2</v>
      </c>
      <c r="M200" s="21" t="s">
        <v>221</v>
      </c>
      <c r="P200" s="41">
        <f t="shared" si="193"/>
        <v>21385953144.209541</v>
      </c>
      <c r="Q200" s="41">
        <f t="shared" si="194"/>
        <v>627870.80418202665</v>
      </c>
      <c r="R200" s="41">
        <f t="shared" si="195"/>
        <v>22423957292.21524</v>
      </c>
      <c r="S200" s="27">
        <v>100</v>
      </c>
      <c r="T200" s="52">
        <v>450</v>
      </c>
      <c r="U200" s="57">
        <v>0.5</v>
      </c>
      <c r="V200" s="27">
        <f t="shared" si="197"/>
        <v>112119786.4610762</v>
      </c>
      <c r="W200" s="41">
        <v>0</v>
      </c>
      <c r="X200" s="41">
        <f t="shared" si="191"/>
        <v>200</v>
      </c>
      <c r="Y200" s="41">
        <v>590</v>
      </c>
      <c r="Z200" s="27">
        <v>0</v>
      </c>
      <c r="AA200" s="41">
        <v>20</v>
      </c>
      <c r="AB200" s="41">
        <f t="shared" si="196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6.0999999999999999E-2</v>
      </c>
      <c r="M201" s="21" t="s">
        <v>221</v>
      </c>
      <c r="P201" s="41">
        <f t="shared" si="193"/>
        <v>22455250801.420021</v>
      </c>
      <c r="Q201" s="41">
        <f t="shared" si="194"/>
        <v>659264.34439112805</v>
      </c>
      <c r="R201" s="41">
        <f t="shared" si="195"/>
        <v>23545155156.826004</v>
      </c>
      <c r="S201" s="27">
        <v>100</v>
      </c>
      <c r="T201" s="52">
        <v>450</v>
      </c>
      <c r="U201" s="57">
        <v>0.5</v>
      </c>
      <c r="V201" s="27">
        <f t="shared" si="197"/>
        <v>117725775.78413002</v>
      </c>
      <c r="W201" s="41">
        <v>0</v>
      </c>
      <c r="X201" s="41">
        <f t="shared" si="191"/>
        <v>200</v>
      </c>
      <c r="Y201" s="41">
        <v>600</v>
      </c>
      <c r="Z201" s="27">
        <v>0</v>
      </c>
      <c r="AA201" s="41">
        <v>20</v>
      </c>
      <c r="AB201" s="41">
        <f t="shared" si="196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6.0999999999999999E-2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8">R182</f>
        <v>9317617418.7817459</v>
      </c>
      <c r="S202" s="41">
        <f t="shared" si="198"/>
        <v>100</v>
      </c>
      <c r="T202" s="41">
        <f t="shared" si="198"/>
        <v>450</v>
      </c>
      <c r="U202" s="57">
        <v>0.5</v>
      </c>
      <c r="V202" s="41">
        <f t="shared" si="198"/>
        <v>46588087.093908727</v>
      </c>
      <c r="W202" s="41">
        <f t="shared" si="198"/>
        <v>0</v>
      </c>
      <c r="X202" s="41">
        <f t="shared" si="198"/>
        <v>200</v>
      </c>
      <c r="Y202" s="41">
        <f t="shared" si="198"/>
        <v>410</v>
      </c>
      <c r="Z202" s="41">
        <f t="shared" si="198"/>
        <v>0</v>
      </c>
      <c r="AA202" s="41">
        <f t="shared" si="198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6.0999999999999999E-2</v>
      </c>
      <c r="M203" s="21" t="s">
        <v>221</v>
      </c>
      <c r="P203" s="41">
        <f t="shared" ref="P203:AB203" si="199">P183</f>
        <v>9330620518.2196178</v>
      </c>
      <c r="Q203" s="41">
        <f t="shared" si="199"/>
        <v>273937.95211218327</v>
      </c>
      <c r="R203" s="41">
        <f t="shared" si="199"/>
        <v>9783498289.7208328</v>
      </c>
      <c r="S203" s="41">
        <f t="shared" si="199"/>
        <v>100</v>
      </c>
      <c r="T203" s="41">
        <f t="shared" si="199"/>
        <v>450</v>
      </c>
      <c r="U203" s="57">
        <v>0.5</v>
      </c>
      <c r="V203" s="41">
        <f t="shared" si="199"/>
        <v>48917491.448604167</v>
      </c>
      <c r="W203" s="41">
        <f t="shared" si="199"/>
        <v>0</v>
      </c>
      <c r="X203" s="41">
        <f t="shared" si="199"/>
        <v>200</v>
      </c>
      <c r="Y203" s="41">
        <f t="shared" si="199"/>
        <v>420</v>
      </c>
      <c r="Z203" s="41">
        <f t="shared" si="199"/>
        <v>0</v>
      </c>
      <c r="AA203" s="41">
        <f t="shared" si="199"/>
        <v>20</v>
      </c>
      <c r="AB203" s="41">
        <f t="shared" si="199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6.0999999999999999E-2</v>
      </c>
      <c r="M204" s="21" t="s">
        <v>221</v>
      </c>
      <c r="P204" s="41">
        <f t="shared" ref="P204:AB204" si="200">P184</f>
        <v>9797151544.1306</v>
      </c>
      <c r="Q204" s="41">
        <f t="shared" si="200"/>
        <v>287634.84971779241</v>
      </c>
      <c r="R204" s="41">
        <f t="shared" si="200"/>
        <v>10272673204.206875</v>
      </c>
      <c r="S204" s="41">
        <f t="shared" si="200"/>
        <v>100</v>
      </c>
      <c r="T204" s="41">
        <f t="shared" si="200"/>
        <v>450</v>
      </c>
      <c r="U204" s="57">
        <v>0.5</v>
      </c>
      <c r="V204" s="41">
        <f t="shared" si="200"/>
        <v>51363366.021034375</v>
      </c>
      <c r="W204" s="41">
        <f t="shared" si="200"/>
        <v>0</v>
      </c>
      <c r="X204" s="41">
        <f t="shared" si="200"/>
        <v>200</v>
      </c>
      <c r="Y204" s="41">
        <f t="shared" si="200"/>
        <v>430</v>
      </c>
      <c r="Z204" s="41">
        <f t="shared" si="200"/>
        <v>0</v>
      </c>
      <c r="AA204" s="41">
        <f t="shared" si="200"/>
        <v>20</v>
      </c>
      <c r="AB204" s="41">
        <f t="shared" si="200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6.0999999999999999E-2</v>
      </c>
      <c r="M205" s="21" t="s">
        <v>221</v>
      </c>
      <c r="P205" s="41">
        <f t="shared" ref="P205:AB205" si="201">P185</f>
        <v>10287009121.33713</v>
      </c>
      <c r="Q205" s="41">
        <f t="shared" si="201"/>
        <v>302016.59220368206</v>
      </c>
      <c r="R205" s="41">
        <f t="shared" si="201"/>
        <v>10786306864.417219</v>
      </c>
      <c r="S205" s="41">
        <f t="shared" si="201"/>
        <v>100</v>
      </c>
      <c r="T205" s="41">
        <f t="shared" si="201"/>
        <v>450</v>
      </c>
      <c r="U205" s="57">
        <v>0.5</v>
      </c>
      <c r="V205" s="41">
        <f t="shared" si="201"/>
        <v>53931534.322086096</v>
      </c>
      <c r="W205" s="41">
        <f t="shared" si="201"/>
        <v>0</v>
      </c>
      <c r="X205" s="41">
        <f t="shared" si="201"/>
        <v>200</v>
      </c>
      <c r="Y205" s="41">
        <f t="shared" si="201"/>
        <v>440</v>
      </c>
      <c r="Z205" s="41">
        <f t="shared" si="201"/>
        <v>0</v>
      </c>
      <c r="AA205" s="41">
        <f t="shared" si="201"/>
        <v>20</v>
      </c>
      <c r="AB205" s="41">
        <f t="shared" si="201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6.0999999999999999E-2</v>
      </c>
      <c r="M206" s="21" t="s">
        <v>221</v>
      </c>
      <c r="P206" s="41">
        <f t="shared" ref="P206:AB206" si="202">P186</f>
        <v>10801359577.403986</v>
      </c>
      <c r="Q206" s="41">
        <f t="shared" si="202"/>
        <v>317117.42181386618</v>
      </c>
      <c r="R206" s="41">
        <f t="shared" si="202"/>
        <v>11325622207.638081</v>
      </c>
      <c r="S206" s="41">
        <f t="shared" si="202"/>
        <v>100</v>
      </c>
      <c r="T206" s="41">
        <f t="shared" si="202"/>
        <v>450</v>
      </c>
      <c r="U206" s="57">
        <v>0.5</v>
      </c>
      <c r="V206" s="41">
        <f t="shared" si="202"/>
        <v>56628111.038190402</v>
      </c>
      <c r="W206" s="41">
        <f t="shared" si="202"/>
        <v>0</v>
      </c>
      <c r="X206" s="41">
        <f t="shared" si="202"/>
        <v>200</v>
      </c>
      <c r="Y206" s="41">
        <f t="shared" si="202"/>
        <v>450</v>
      </c>
      <c r="Z206" s="41">
        <f t="shared" si="202"/>
        <v>0</v>
      </c>
      <c r="AA206" s="41">
        <f t="shared" si="202"/>
        <v>20</v>
      </c>
      <c r="AB206" s="41">
        <f t="shared" si="202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6.0999999999999999E-2</v>
      </c>
      <c r="M207" s="21" t="s">
        <v>221</v>
      </c>
      <c r="P207" s="41">
        <f t="shared" ref="P207:AB207" si="203">P187</f>
        <v>11341427556.274185</v>
      </c>
      <c r="Q207" s="41">
        <f t="shared" si="203"/>
        <v>332973.29290455952</v>
      </c>
      <c r="R207" s="41">
        <f t="shared" si="203"/>
        <v>11891903318.019985</v>
      </c>
      <c r="S207" s="41">
        <f t="shared" si="203"/>
        <v>100</v>
      </c>
      <c r="T207" s="41">
        <f t="shared" si="203"/>
        <v>450</v>
      </c>
      <c r="U207" s="57">
        <v>0.5</v>
      </c>
      <c r="V207" s="41">
        <f t="shared" si="203"/>
        <v>59459516.590099931</v>
      </c>
      <c r="W207" s="41">
        <f t="shared" si="203"/>
        <v>0</v>
      </c>
      <c r="X207" s="41">
        <f t="shared" si="203"/>
        <v>200</v>
      </c>
      <c r="Y207" s="41">
        <f t="shared" si="203"/>
        <v>460</v>
      </c>
      <c r="Z207" s="41">
        <f t="shared" si="203"/>
        <v>0</v>
      </c>
      <c r="AA207" s="41">
        <f t="shared" si="203"/>
        <v>20</v>
      </c>
      <c r="AB207" s="41">
        <f t="shared" si="203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6.0999999999999999E-2</v>
      </c>
      <c r="M208" s="21" t="s">
        <v>221</v>
      </c>
      <c r="P208" s="41">
        <f t="shared" ref="P208:AB208" si="204">P188</f>
        <v>11908498934.087894</v>
      </c>
      <c r="Q208" s="41">
        <f t="shared" si="204"/>
        <v>349621.95754978753</v>
      </c>
      <c r="R208" s="41">
        <f t="shared" si="204"/>
        <v>12486498483.920984</v>
      </c>
      <c r="S208" s="41">
        <f t="shared" si="204"/>
        <v>100</v>
      </c>
      <c r="T208" s="41">
        <f t="shared" si="204"/>
        <v>450</v>
      </c>
      <c r="U208" s="57">
        <v>0.5</v>
      </c>
      <c r="V208" s="41">
        <f t="shared" si="204"/>
        <v>62432492.41960492</v>
      </c>
      <c r="W208" s="41">
        <f t="shared" si="204"/>
        <v>0</v>
      </c>
      <c r="X208" s="41">
        <f t="shared" si="204"/>
        <v>200</v>
      </c>
      <c r="Y208" s="41">
        <f t="shared" si="204"/>
        <v>470</v>
      </c>
      <c r="Z208" s="41">
        <f t="shared" si="204"/>
        <v>0</v>
      </c>
      <c r="AA208" s="41">
        <f t="shared" si="204"/>
        <v>20</v>
      </c>
      <c r="AB208" s="41">
        <f t="shared" si="204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6.0999999999999999E-2</v>
      </c>
      <c r="M209" s="21" t="s">
        <v>221</v>
      </c>
      <c r="P209" s="41">
        <f t="shared" ref="P209:AB209" si="205">P189</f>
        <v>12503923880.79229</v>
      </c>
      <c r="Q209" s="41">
        <f t="shared" si="205"/>
        <v>367103.05542727694</v>
      </c>
      <c r="R209" s="41">
        <f t="shared" si="205"/>
        <v>13110823408.117035</v>
      </c>
      <c r="S209" s="41">
        <f t="shared" si="205"/>
        <v>100</v>
      </c>
      <c r="T209" s="41">
        <f t="shared" si="205"/>
        <v>450</v>
      </c>
      <c r="U209" s="57">
        <v>0.5</v>
      </c>
      <c r="V209" s="41">
        <f t="shared" si="205"/>
        <v>65554117.040585175</v>
      </c>
      <c r="W209" s="41">
        <f t="shared" si="205"/>
        <v>0</v>
      </c>
      <c r="X209" s="41">
        <f t="shared" si="205"/>
        <v>200</v>
      </c>
      <c r="Y209" s="41">
        <f t="shared" si="205"/>
        <v>480</v>
      </c>
      <c r="Z209" s="41">
        <f t="shared" si="205"/>
        <v>0</v>
      </c>
      <c r="AA209" s="41">
        <f t="shared" si="205"/>
        <v>20</v>
      </c>
      <c r="AB209" s="41">
        <f t="shared" si="205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6.0999999999999999E-2</v>
      </c>
      <c r="M210" s="21" t="s">
        <v>221</v>
      </c>
      <c r="P210" s="41">
        <f t="shared" ref="P210:AB210" si="206">P190</f>
        <v>13129120074.831905</v>
      </c>
      <c r="Q210" s="41">
        <f t="shared" si="206"/>
        <v>385458.20819864079</v>
      </c>
      <c r="R210" s="41">
        <f t="shared" si="206"/>
        <v>13766364578.522888</v>
      </c>
      <c r="S210" s="41">
        <f t="shared" si="206"/>
        <v>100</v>
      </c>
      <c r="T210" s="41">
        <f t="shared" si="206"/>
        <v>450</v>
      </c>
      <c r="U210" s="57">
        <v>0.5</v>
      </c>
      <c r="V210" s="41">
        <f t="shared" si="206"/>
        <v>68831822.892614439</v>
      </c>
      <c r="W210" s="41">
        <f t="shared" si="206"/>
        <v>0</v>
      </c>
      <c r="X210" s="41">
        <f t="shared" si="206"/>
        <v>200</v>
      </c>
      <c r="Y210" s="41">
        <f t="shared" si="206"/>
        <v>490</v>
      </c>
      <c r="Z210" s="41">
        <f t="shared" si="206"/>
        <v>0</v>
      </c>
      <c r="AA210" s="41">
        <f t="shared" si="206"/>
        <v>20</v>
      </c>
      <c r="AB210" s="41">
        <f t="shared" si="206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6.0999999999999999E-2</v>
      </c>
      <c r="M211" s="21" t="s">
        <v>221</v>
      </c>
      <c r="P211" s="41">
        <f t="shared" ref="P211:AB211" si="207">P191</f>
        <v>13785576078.573502</v>
      </c>
      <c r="Q211" s="41">
        <f t="shared" si="207"/>
        <v>404731.11860857287</v>
      </c>
      <c r="R211" s="41">
        <f t="shared" si="207"/>
        <v>14454682807.449034</v>
      </c>
      <c r="S211" s="41">
        <f t="shared" si="207"/>
        <v>100</v>
      </c>
      <c r="T211" s="41">
        <f t="shared" si="207"/>
        <v>450</v>
      </c>
      <c r="U211" s="57">
        <v>0.5</v>
      </c>
      <c r="V211" s="41">
        <f t="shared" si="207"/>
        <v>72273414.037245169</v>
      </c>
      <c r="W211" s="41">
        <f t="shared" si="207"/>
        <v>0</v>
      </c>
      <c r="X211" s="41">
        <f t="shared" si="207"/>
        <v>200</v>
      </c>
      <c r="Y211" s="41">
        <f t="shared" si="207"/>
        <v>500</v>
      </c>
      <c r="Z211" s="41">
        <f t="shared" si="207"/>
        <v>0</v>
      </c>
      <c r="AA211" s="41">
        <f t="shared" si="207"/>
        <v>20</v>
      </c>
      <c r="AB211" s="41">
        <f t="shared" si="207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6.0999999999999999E-2</v>
      </c>
      <c r="M212" s="21" t="s">
        <v>221</v>
      </c>
      <c r="P212" s="41">
        <f t="shared" ref="P212:AB212" si="208">P192</f>
        <v>14474854882.502178</v>
      </c>
      <c r="Q212" s="41">
        <f t="shared" si="208"/>
        <v>424967.67453900154</v>
      </c>
      <c r="R212" s="41">
        <f t="shared" si="208"/>
        <v>15177416947.821486</v>
      </c>
      <c r="S212" s="41">
        <f t="shared" si="208"/>
        <v>100</v>
      </c>
      <c r="T212" s="41">
        <f t="shared" si="208"/>
        <v>450</v>
      </c>
      <c r="U212" s="57">
        <v>0.5</v>
      </c>
      <c r="V212" s="41">
        <f t="shared" si="208"/>
        <v>75887084.73910743</v>
      </c>
      <c r="W212" s="41">
        <f t="shared" si="208"/>
        <v>0</v>
      </c>
      <c r="X212" s="41">
        <f t="shared" si="208"/>
        <v>200</v>
      </c>
      <c r="Y212" s="41">
        <f t="shared" si="208"/>
        <v>510</v>
      </c>
      <c r="Z212" s="41">
        <f t="shared" si="208"/>
        <v>0</v>
      </c>
      <c r="AA212" s="41">
        <f t="shared" si="208"/>
        <v>20</v>
      </c>
      <c r="AB212" s="41">
        <f t="shared" si="208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6.0999999999999999E-2</v>
      </c>
      <c r="M213" s="21" t="s">
        <v>221</v>
      </c>
      <c r="P213" s="41">
        <f t="shared" ref="P213:AB213" si="209">P193</f>
        <v>15198597626.627287</v>
      </c>
      <c r="Q213" s="41">
        <f t="shared" si="209"/>
        <v>446216.05826595164</v>
      </c>
      <c r="R213" s="41">
        <f t="shared" si="209"/>
        <v>15936287795.212561</v>
      </c>
      <c r="S213" s="41">
        <f t="shared" si="209"/>
        <v>100</v>
      </c>
      <c r="T213" s="41">
        <f t="shared" si="209"/>
        <v>450</v>
      </c>
      <c r="U213" s="57">
        <v>0.5</v>
      </c>
      <c r="V213" s="41">
        <f t="shared" si="209"/>
        <v>79681438.976062804</v>
      </c>
      <c r="W213" s="41">
        <f t="shared" si="209"/>
        <v>0</v>
      </c>
      <c r="X213" s="41">
        <f t="shared" si="209"/>
        <v>200</v>
      </c>
      <c r="Y213" s="41">
        <f t="shared" si="209"/>
        <v>520</v>
      </c>
      <c r="Z213" s="41">
        <f t="shared" si="209"/>
        <v>0</v>
      </c>
      <c r="AA213" s="41">
        <f t="shared" si="209"/>
        <v>20</v>
      </c>
      <c r="AB213" s="41">
        <f t="shared" si="209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6.0999999999999999E-2</v>
      </c>
      <c r="M214" s="21" t="s">
        <v>221</v>
      </c>
      <c r="P214" s="41">
        <f t="shared" ref="P214:AB214" si="210">P194</f>
        <v>15958527507.958652</v>
      </c>
      <c r="Q214" s="41">
        <f t="shared" si="210"/>
        <v>468526.86117924924</v>
      </c>
      <c r="R214" s="41">
        <f t="shared" si="210"/>
        <v>16733102184.97319</v>
      </c>
      <c r="S214" s="41">
        <f t="shared" si="210"/>
        <v>100</v>
      </c>
      <c r="T214" s="41">
        <f t="shared" si="210"/>
        <v>450</v>
      </c>
      <c r="U214" s="57">
        <v>0.5</v>
      </c>
      <c r="V214" s="41">
        <f t="shared" si="210"/>
        <v>83665510.924865946</v>
      </c>
      <c r="W214" s="41">
        <f t="shared" si="210"/>
        <v>0</v>
      </c>
      <c r="X214" s="41">
        <f t="shared" si="210"/>
        <v>200</v>
      </c>
      <c r="Y214" s="41">
        <f t="shared" si="210"/>
        <v>530</v>
      </c>
      <c r="Z214" s="41">
        <f t="shared" si="210"/>
        <v>0</v>
      </c>
      <c r="AA214" s="41">
        <f t="shared" si="210"/>
        <v>20</v>
      </c>
      <c r="AB214" s="41">
        <f t="shared" si="210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6.0999999999999999E-2</v>
      </c>
      <c r="M215" s="21" t="s">
        <v>221</v>
      </c>
      <c r="P215" s="41">
        <f t="shared" ref="P215:AB215" si="211">P195</f>
        <v>16756453883.356586</v>
      </c>
      <c r="Q215" s="41">
        <f t="shared" si="211"/>
        <v>491953.20423821174</v>
      </c>
      <c r="R215" s="41">
        <f t="shared" si="211"/>
        <v>17569757294.221851</v>
      </c>
      <c r="S215" s="41">
        <f t="shared" si="211"/>
        <v>100</v>
      </c>
      <c r="T215" s="41">
        <f t="shared" si="211"/>
        <v>450</v>
      </c>
      <c r="U215" s="57">
        <v>0.5</v>
      </c>
      <c r="V215" s="41">
        <f t="shared" si="211"/>
        <v>87848786.471109256</v>
      </c>
      <c r="W215" s="41">
        <f t="shared" si="211"/>
        <v>0</v>
      </c>
      <c r="X215" s="41">
        <f t="shared" si="211"/>
        <v>200</v>
      </c>
      <c r="Y215" s="41">
        <f t="shared" si="211"/>
        <v>540</v>
      </c>
      <c r="Z215" s="41">
        <f t="shared" si="211"/>
        <v>0</v>
      </c>
      <c r="AA215" s="41">
        <f t="shared" si="211"/>
        <v>20</v>
      </c>
      <c r="AB215" s="41">
        <f t="shared" si="211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6.0999999999999999E-2</v>
      </c>
      <c r="M216" s="21" t="s">
        <v>221</v>
      </c>
      <c r="P216" s="41">
        <f t="shared" ref="P216:AB216" si="212">P196</f>
        <v>17594276577.524418</v>
      </c>
      <c r="Q216" s="41">
        <f t="shared" si="212"/>
        <v>516550.86445012235</v>
      </c>
      <c r="R216" s="41">
        <f t="shared" si="212"/>
        <v>18448245158.932945</v>
      </c>
      <c r="S216" s="41">
        <f t="shared" si="212"/>
        <v>100</v>
      </c>
      <c r="T216" s="41">
        <f t="shared" si="212"/>
        <v>450</v>
      </c>
      <c r="U216" s="57">
        <v>0.5</v>
      </c>
      <c r="V216" s="41">
        <f t="shared" si="212"/>
        <v>92241225.794664726</v>
      </c>
      <c r="W216" s="41">
        <f t="shared" si="212"/>
        <v>0</v>
      </c>
      <c r="X216" s="41">
        <f t="shared" si="212"/>
        <v>200</v>
      </c>
      <c r="Y216" s="41">
        <f t="shared" si="212"/>
        <v>550</v>
      </c>
      <c r="Z216" s="41">
        <f t="shared" si="212"/>
        <v>0</v>
      </c>
      <c r="AA216" s="41">
        <f t="shared" si="212"/>
        <v>20</v>
      </c>
      <c r="AB216" s="41">
        <f t="shared" si="212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6.0999999999999999E-2</v>
      </c>
      <c r="M217" s="21" t="s">
        <v>221</v>
      </c>
      <c r="P217" s="41">
        <f t="shared" ref="P217:AB217" si="213">P197</f>
        <v>18473990406.400639</v>
      </c>
      <c r="Q217" s="41">
        <f t="shared" si="213"/>
        <v>542378.40767262853</v>
      </c>
      <c r="R217" s="41">
        <f t="shared" si="213"/>
        <v>19370657416.879593</v>
      </c>
      <c r="S217" s="41">
        <f t="shared" si="213"/>
        <v>100</v>
      </c>
      <c r="T217" s="41">
        <f t="shared" si="213"/>
        <v>450</v>
      </c>
      <c r="U217" s="57">
        <v>0.5</v>
      </c>
      <c r="V217" s="41">
        <f t="shared" si="213"/>
        <v>96853287.084397972</v>
      </c>
      <c r="W217" s="41">
        <f t="shared" si="213"/>
        <v>0</v>
      </c>
      <c r="X217" s="41">
        <f t="shared" si="213"/>
        <v>200</v>
      </c>
      <c r="Y217" s="41">
        <f t="shared" si="213"/>
        <v>560</v>
      </c>
      <c r="Z217" s="41">
        <f t="shared" si="213"/>
        <v>0</v>
      </c>
      <c r="AA217" s="41">
        <f t="shared" si="213"/>
        <v>20</v>
      </c>
      <c r="AB217" s="41">
        <f t="shared" si="213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6.0999999999999999E-2</v>
      </c>
      <c r="M218" s="21" t="s">
        <v>221</v>
      </c>
      <c r="P218" s="41">
        <f t="shared" ref="P218:AB218" si="214">P198</f>
        <v>19397689926.720673</v>
      </c>
      <c r="Q218" s="41">
        <f t="shared" si="214"/>
        <v>569497.32805626001</v>
      </c>
      <c r="R218" s="41">
        <f t="shared" si="214"/>
        <v>20339190287.723572</v>
      </c>
      <c r="S218" s="41">
        <f t="shared" si="214"/>
        <v>100</v>
      </c>
      <c r="T218" s="41">
        <f t="shared" si="214"/>
        <v>450</v>
      </c>
      <c r="U218" s="57">
        <v>0.5</v>
      </c>
      <c r="V218" s="41">
        <f t="shared" si="214"/>
        <v>101695951.43861786</v>
      </c>
      <c r="W218" s="41">
        <f t="shared" si="214"/>
        <v>0</v>
      </c>
      <c r="X218" s="41">
        <f t="shared" si="214"/>
        <v>200</v>
      </c>
      <c r="Y218" s="41">
        <f t="shared" si="214"/>
        <v>570</v>
      </c>
      <c r="Z218" s="41">
        <f t="shared" si="214"/>
        <v>0</v>
      </c>
      <c r="AA218" s="41">
        <f t="shared" si="214"/>
        <v>20</v>
      </c>
      <c r="AB218" s="41">
        <f t="shared" si="214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6.0999999999999999E-2</v>
      </c>
      <c r="M219" s="21" t="s">
        <v>221</v>
      </c>
      <c r="P219" s="41">
        <f t="shared" ref="P219:AB219" si="215">P199</f>
        <v>20367574423.056705</v>
      </c>
      <c r="Q219" s="41">
        <f t="shared" si="215"/>
        <v>597972.19445907301</v>
      </c>
      <c r="R219" s="41">
        <f t="shared" si="215"/>
        <v>21356149802.109753</v>
      </c>
      <c r="S219" s="41">
        <f t="shared" si="215"/>
        <v>100</v>
      </c>
      <c r="T219" s="41">
        <f t="shared" si="215"/>
        <v>450</v>
      </c>
      <c r="U219" s="57">
        <v>0.5</v>
      </c>
      <c r="V219" s="41">
        <f t="shared" si="215"/>
        <v>106780749.01054877</v>
      </c>
      <c r="W219" s="41">
        <f t="shared" si="215"/>
        <v>0</v>
      </c>
      <c r="X219" s="41">
        <f t="shared" si="215"/>
        <v>200</v>
      </c>
      <c r="Y219" s="41">
        <f t="shared" si="215"/>
        <v>580</v>
      </c>
      <c r="Z219" s="41">
        <f t="shared" si="215"/>
        <v>0</v>
      </c>
      <c r="AA219" s="41">
        <f t="shared" si="215"/>
        <v>20</v>
      </c>
      <c r="AB219" s="41">
        <f t="shared" si="215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6.0999999999999999E-2</v>
      </c>
      <c r="M220" s="21" t="s">
        <v>221</v>
      </c>
      <c r="P220" s="41">
        <f t="shared" ref="P220:AB220" si="216">P200</f>
        <v>21385953144.209541</v>
      </c>
      <c r="Q220" s="41">
        <f t="shared" si="216"/>
        <v>627870.80418202665</v>
      </c>
      <c r="R220" s="41">
        <f t="shared" si="216"/>
        <v>22423957292.21524</v>
      </c>
      <c r="S220" s="41">
        <f t="shared" si="216"/>
        <v>100</v>
      </c>
      <c r="T220" s="41">
        <f t="shared" si="216"/>
        <v>450</v>
      </c>
      <c r="U220" s="57">
        <v>0.5</v>
      </c>
      <c r="V220" s="41">
        <f t="shared" si="216"/>
        <v>112119786.4610762</v>
      </c>
      <c r="W220" s="41">
        <f t="shared" si="216"/>
        <v>0</v>
      </c>
      <c r="X220" s="41">
        <f t="shared" si="216"/>
        <v>200</v>
      </c>
      <c r="Y220" s="41">
        <f t="shared" si="216"/>
        <v>590</v>
      </c>
      <c r="Z220" s="41">
        <f t="shared" si="216"/>
        <v>0</v>
      </c>
      <c r="AA220" s="41">
        <f t="shared" si="216"/>
        <v>20</v>
      </c>
      <c r="AB220" s="41">
        <f t="shared" si="216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6.0999999999999999E-2</v>
      </c>
      <c r="M221" s="21" t="s">
        <v>221</v>
      </c>
      <c r="P221" s="41">
        <f t="shared" ref="P221:AB221" si="217">P201</f>
        <v>22455250801.420021</v>
      </c>
      <c r="Q221" s="41">
        <f t="shared" si="217"/>
        <v>659264.34439112805</v>
      </c>
      <c r="R221" s="41">
        <f t="shared" si="217"/>
        <v>23545155156.826004</v>
      </c>
      <c r="S221" s="41">
        <f t="shared" si="217"/>
        <v>100</v>
      </c>
      <c r="T221" s="41">
        <f t="shared" si="217"/>
        <v>450</v>
      </c>
      <c r="U221" s="57">
        <v>0.5</v>
      </c>
      <c r="V221" s="41">
        <f t="shared" si="217"/>
        <v>117725775.78413002</v>
      </c>
      <c r="W221" s="41">
        <f t="shared" si="217"/>
        <v>0</v>
      </c>
      <c r="X221" s="41">
        <f t="shared" si="217"/>
        <v>200</v>
      </c>
      <c r="Y221" s="41">
        <f t="shared" si="217"/>
        <v>600</v>
      </c>
      <c r="Z221" s="41">
        <f t="shared" si="217"/>
        <v>0</v>
      </c>
      <c r="AA221" s="41">
        <f t="shared" si="217"/>
        <v>20</v>
      </c>
      <c r="AB221" s="41">
        <f t="shared" si="217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664</v>
      </c>
      <c r="B222" s="13" t="s">
        <v>663</v>
      </c>
      <c r="C222" s="47" t="s">
        <v>222</v>
      </c>
      <c r="D222" s="11" t="s">
        <v>351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9999999999</v>
      </c>
      <c r="Q222" s="27">
        <v>199999</v>
      </c>
      <c r="R222" s="27">
        <v>49999999999</v>
      </c>
      <c r="S222" s="27">
        <v>100</v>
      </c>
      <c r="T222" s="27">
        <v>450</v>
      </c>
      <c r="U222" s="18">
        <v>0.75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662</v>
      </c>
      <c r="B223" s="13" t="s">
        <v>666</v>
      </c>
      <c r="C223" s="47" t="s">
        <v>222</v>
      </c>
      <c r="D223" s="48" t="s">
        <v>667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668</v>
      </c>
      <c r="B224" s="13" t="s">
        <v>669</v>
      </c>
      <c r="C224" s="47" t="s">
        <v>222</v>
      </c>
      <c r="D224" s="48" t="s">
        <v>667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2020-04-02T16:53:44Z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