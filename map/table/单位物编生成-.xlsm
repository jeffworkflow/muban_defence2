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9B2EA57F-3813-4F7B-8DBD-5080D698FF5A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65" i="29" l="1"/>
  <c r="P88" i="29"/>
  <c r="Q88" i="29"/>
  <c r="Q110" i="29"/>
  <c r="R110" i="29"/>
  <c r="P110" i="29"/>
  <c r="Q99" i="29"/>
  <c r="R99" i="29"/>
  <c r="P99" i="29"/>
  <c r="P101" i="29" s="1"/>
  <c r="R12" i="29"/>
  <c r="Q12" i="29"/>
  <c r="P12" i="29"/>
  <c r="N168" i="29" l="1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X217" i="29"/>
  <c r="Y217" i="29"/>
  <c r="Z217" i="29"/>
  <c r="AA217" i="29"/>
  <c r="S218" i="29"/>
  <c r="T218" i="29"/>
  <c r="W218" i="29"/>
  <c r="X218" i="29"/>
  <c r="Y218" i="29"/>
  <c r="Z218" i="29"/>
  <c r="AA218" i="29"/>
  <c r="S219" i="29"/>
  <c r="T219" i="29"/>
  <c r="W219" i="29"/>
  <c r="X219" i="29"/>
  <c r="Y219" i="29"/>
  <c r="Z219" i="29"/>
  <c r="AA219" i="29"/>
  <c r="S220" i="29"/>
  <c r="T220" i="29"/>
  <c r="W220" i="29"/>
  <c r="X220" i="29"/>
  <c r="Y220" i="29"/>
  <c r="Z220" i="29"/>
  <c r="AA220" i="29"/>
  <c r="S221" i="29"/>
  <c r="T221" i="29"/>
  <c r="W221" i="29"/>
  <c r="X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198" i="29"/>
  <c r="X199" i="29"/>
  <c r="X200" i="29"/>
  <c r="X201" i="29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X119" i="29"/>
  <c r="X118" i="29"/>
  <c r="X117" i="29"/>
  <c r="X116" i="29"/>
  <c r="X115" i="29"/>
  <c r="X114" i="29"/>
  <c r="X113" i="29"/>
  <c r="X112" i="29"/>
  <c r="AA111" i="29"/>
  <c r="X111" i="29"/>
  <c r="AA110" i="29"/>
  <c r="X110" i="29"/>
  <c r="N106" i="29"/>
  <c r="N104" i="29"/>
  <c r="N102" i="29"/>
  <c r="N100" i="29"/>
  <c r="N98" i="29"/>
  <c r="N108" i="29"/>
  <c r="AD109" i="29"/>
  <c r="AC109" i="29"/>
  <c r="AA109" i="29"/>
  <c r="X109" i="29"/>
  <c r="W109" i="29"/>
  <c r="AD108" i="29"/>
  <c r="AC108" i="29"/>
  <c r="Y108" i="29"/>
  <c r="X108" i="29"/>
  <c r="W108" i="29"/>
  <c r="T108" i="29"/>
  <c r="AD107" i="29"/>
  <c r="AC107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C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P89" i="29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P90" i="29"/>
  <c r="R88" i="29" l="1"/>
  <c r="V88" i="29" s="1"/>
  <c r="V67" i="29"/>
  <c r="AB194" i="29"/>
  <c r="AB213" i="29"/>
  <c r="R68" i="29"/>
  <c r="V68" i="29" s="1"/>
  <c r="Q79" i="29"/>
  <c r="Q80" i="29" s="1"/>
  <c r="Q81" i="29" s="1"/>
  <c r="Q91" i="29" s="1"/>
  <c r="Q90" i="29"/>
  <c r="P91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<sst xmlns="http://schemas.openxmlformats.org/spreadsheetml/2006/main" count="1847" uniqueCount="662">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</sst>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1"/>
  <sheetViews>
    <sheetView workbookViewId="0">
      <pane xSplit="1" ySplit="3" topLeftCell="B13" activePane="bottomRight" state="frozen"/>
      <selection pane="topRight"/>
      <selection pane="bottomLeft"/>
      <selection pane="bottomRight" activeCell="A12" sqref="A12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1"/>
  <sheetViews>
    <sheetView tabSelected="1" topLeftCell="A100" zoomScaleNormal="100" workbookViewId="0">
      <pane xSplit="1" topLeftCell="O1" activePane="topRight" state="frozen"/>
      <selection pane="topRight" activeCell="AB108" sqref="AB108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6.0999999999999999E-2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 t="s">
        <v>221</v>
      </c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 t="s">
        <v>221</v>
      </c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6.0999999999999999E-2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6.0999999999999999E-2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6.0999999999999999E-2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6.0999999999999999E-2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6.0999999999999999E-2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6.0999999999999999E-2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6.0999999999999999E-2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6.0999999999999999E-2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6.0999999999999999E-2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6.0999999999999999E-2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6.0999999999999999E-2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6.0999999999999999E-2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6.0999999999999999E-2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6.0999999999999999E-2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6.0999999999999999E-2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6.0999999999999999E-2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6.0999999999999999E-2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6.0999999999999999E-2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6.0999999999999999E-2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6.0999999999999999E-2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6.0999999999999999E-2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6.0999999999999999E-2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6.0999999999999999E-2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6.0999999999999999E-2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6.0999999999999999E-2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6.0999999999999999E-2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6.0999999999999999E-2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6.0999999999999999E-2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6.0999999999999999E-2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6.0999999999999999E-2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6.0999999999999999E-2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6.0999999999999999E-2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6.0999999999999999E-2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6.0999999999999999E-2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6.0999999999999999E-2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6.0999999999999999E-2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6.0999999999999999E-2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6.0999999999999999E-2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6.0999999999999999E-2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6.0999999999999999E-2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6.0999999999999999E-2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6.0999999999999999E-2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6.0999999999999999E-2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6.0999999999999999E-2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6.0999999999999999E-2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6.0999999999999999E-2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6.0999999999999999E-2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6.0999999999999999E-2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6.0999999999999999E-2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6.0999999999999999E-2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6.0999999999999999E-2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6.0999999999999999E-2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6.0999999999999999E-2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6.0999999999999999E-2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6.0999999999999999E-2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6.0999999999999999E-2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P67*12</f>
        <v>93750000</v>
      </c>
      <c r="Q88" s="1">
        <f>Q67*5</f>
        <v>3295.8984375</v>
      </c>
      <c r="R88" s="1">
        <f>R67*5</f>
        <v>134277343.75</v>
      </c>
      <c r="S88" s="27">
        <v>100</v>
      </c>
      <c r="T88" s="41">
        <v>375</v>
      </c>
      <c r="U88" s="57">
        <v>1</v>
      </c>
      <c r="V88" s="27">
        <f t="shared" si="40"/>
        <v>671386.71875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3500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P72*5</f>
        <v>369140625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9000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P77*5</f>
        <v>1658475000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13500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P81*5</f>
        <v>6209330400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45000</v>
      </c>
      <c r="AC92" s="1">
        <v>20</v>
      </c>
      <c r="AD92" s="1">
        <v>500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6.0999999999999999E-2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6.0999999999999999E-2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6.0999999999999999E-2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6.0999999999999999E-2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 t="s">
        <v>221</v>
      </c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6.0999999999999999E-2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27324.000000000004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6.0999999999999999E-2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6">Q13*1.2</f>
        <v>1224.1152000000002</v>
      </c>
      <c r="R99" s="41">
        <f t="shared" si="56"/>
        <v>43718400.000000007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218592.00000000003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2500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6.0999999999999999E-2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7">Q98*1.2</f>
        <v>183.61728000000002</v>
      </c>
      <c r="R100" s="41">
        <f t="shared" si="57"/>
        <v>6557760.0000000009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32788.800000000003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6.0999999999999999E-2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0">Q99*1.2</f>
        <v>1468.9382400000002</v>
      </c>
      <c r="R101" s="41">
        <f t="shared" si="60"/>
        <v>52462080.000000007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262310.40000000002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6.0999999999999999E-2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2">Q100*1.2</f>
        <v>220.34073600000002</v>
      </c>
      <c r="R102" s="41">
        <f t="shared" si="62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6.0999999999999999E-2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3">P101*1.2</f>
        <v>131383296</v>
      </c>
      <c r="Q103" s="41">
        <f t="shared" si="63"/>
        <v>1762.7258880000002</v>
      </c>
      <c r="R103" s="41">
        <f t="shared" si="63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6.0999999999999999E-2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19707494.399999999</v>
      </c>
      <c r="Q104" s="41">
        <f t="shared" si="63"/>
        <v>264.40888319999999</v>
      </c>
      <c r="R104" s="41">
        <f t="shared" si="63"/>
        <v>9443174.4000000004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47215.872000000003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6.0999999999999999E-2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3"/>
        <v>157659955.19999999</v>
      </c>
      <c r="Q105" s="41">
        <f t="shared" si="63"/>
        <v>2115.2710655999999</v>
      </c>
      <c r="R105" s="41">
        <f t="shared" si="63"/>
        <v>75545395.200000003</v>
      </c>
      <c r="S105" s="27">
        <v>100</v>
      </c>
      <c r="T105" s="41">
        <f t="shared" ref="T105:AD105" si="66">T18</f>
        <v>350</v>
      </c>
      <c r="U105" s="57">
        <v>0.8</v>
      </c>
      <c r="V105" s="27">
        <f t="shared" si="40"/>
        <v>377726.97600000002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3250</v>
      </c>
      <c r="AC105" s="41">
        <f t="shared" si="66"/>
        <v>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6.0999999999999999E-2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23648993.279999997</v>
      </c>
      <c r="Q106" s="41">
        <f t="shared" si="63"/>
        <v>317.29065983999999</v>
      </c>
      <c r="R106" s="41">
        <f t="shared" si="63"/>
        <v>11331809.279999999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56659.046399999999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6.0999999999999999E-2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3"/>
        <v>189191946.23999998</v>
      </c>
      <c r="Q107" s="41">
        <f t="shared" si="63"/>
        <v>2538.3252787199999</v>
      </c>
      <c r="R107" s="41">
        <f t="shared" si="63"/>
        <v>90654474.239999995</v>
      </c>
      <c r="S107" s="27">
        <v>100</v>
      </c>
      <c r="T107" s="41">
        <f t="shared" ref="T107:AA107" si="69">T20</f>
        <v>350</v>
      </c>
      <c r="U107" s="57">
        <v>0.8</v>
      </c>
      <c r="V107" s="27">
        <f t="shared" si="40"/>
        <v>453272.37119999999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3500</v>
      </c>
      <c r="AC107" s="41">
        <f t="shared" ref="AC107:AD107" si="70">AC20</f>
        <v>0</v>
      </c>
      <c r="AD107" s="41">
        <f t="shared" si="70"/>
        <v>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6.0999999999999999E-2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28378791.935999997</v>
      </c>
      <c r="Q108" s="41">
        <f t="shared" si="63"/>
        <v>380.74879180799996</v>
      </c>
      <c r="R108" s="41">
        <f t="shared" si="63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6.0999999999999999E-2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3"/>
        <v>227030335.48799998</v>
      </c>
      <c r="Q109" s="41">
        <f>Q107*1.2</f>
        <v>3045.9903344639997</v>
      </c>
      <c r="R109" s="41">
        <f t="shared" si="63"/>
        <v>108785369.08799998</v>
      </c>
      <c r="S109" s="27">
        <v>100</v>
      </c>
      <c r="T109" s="41">
        <v>350</v>
      </c>
      <c r="U109" s="57">
        <v>0.8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f t="shared" ref="AC109:AD109" si="74">AC22</f>
        <v>0</v>
      </c>
      <c r="AD109" s="41">
        <f t="shared" si="74"/>
        <v>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6.0999999999999999E-2</v>
      </c>
      <c r="M110" s="21" t="s">
        <v>221</v>
      </c>
      <c r="N110" s="28"/>
      <c r="P110" s="41">
        <f>P109*1.5</f>
        <v>340545503.23199999</v>
      </c>
      <c r="Q110" s="41">
        <f t="shared" ref="Q110:R110" si="75">Q109*1.5</f>
        <v>4568.9855016959991</v>
      </c>
      <c r="R110" s="41">
        <f t="shared" si="75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110</v>
      </c>
      <c r="Z110" s="27">
        <v>0</v>
      </c>
      <c r="AA110" s="41">
        <f t="shared" si="73"/>
        <v>20</v>
      </c>
      <c r="AB110" s="41">
        <v>5000</v>
      </c>
      <c r="AC110" s="41">
        <v>10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6.0999999999999999E-2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120</v>
      </c>
      <c r="Z111" s="27">
        <v>0</v>
      </c>
      <c r="AA111" s="41">
        <f t="shared" si="73"/>
        <v>20</v>
      </c>
      <c r="AB111" s="41">
        <v>5000</v>
      </c>
      <c r="AC111" s="41">
        <v>10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6.0999999999999999E-2</v>
      </c>
      <c r="M112" s="21" t="s">
        <v>221</v>
      </c>
      <c r="N112" s="28"/>
      <c r="P112" s="41">
        <f t="shared" ref="P112:P119" si="76">P111*1.1</f>
        <v>412060058.91072005</v>
      </c>
      <c r="Q112" s="41">
        <f t="shared" ref="Q112:Q119" si="77">Q111*1.2</f>
        <v>6579.3391224422385</v>
      </c>
      <c r="R112" s="41">
        <f t="shared" ref="R112:R119" si="78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130</v>
      </c>
      <c r="Z112" s="27">
        <v>0</v>
      </c>
      <c r="AA112" s="41">
        <v>20</v>
      </c>
      <c r="AB112" s="41">
        <v>5000</v>
      </c>
      <c r="AC112" s="41">
        <v>10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6.0999999999999999E-2</v>
      </c>
      <c r="M113" s="21" t="s">
        <v>221</v>
      </c>
      <c r="N113" s="28"/>
      <c r="P113" s="41">
        <f t="shared" si="76"/>
        <v>453266064.80179209</v>
      </c>
      <c r="Q113" s="41">
        <f t="shared" si="77"/>
        <v>7895.2069469306862</v>
      </c>
      <c r="R113" s="41">
        <f t="shared" si="78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140</v>
      </c>
      <c r="Z113" s="27">
        <v>0</v>
      </c>
      <c r="AA113" s="41">
        <v>20</v>
      </c>
      <c r="AB113" s="41">
        <v>5000</v>
      </c>
      <c r="AC113" s="41">
        <v>10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6.0999999999999999E-2</v>
      </c>
      <c r="M114" s="21" t="s">
        <v>221</v>
      </c>
      <c r="N114" s="28"/>
      <c r="P114" s="41">
        <f t="shared" si="76"/>
        <v>498592671.28197134</v>
      </c>
      <c r="Q114" s="41">
        <f t="shared" si="77"/>
        <v>9474.248336316823</v>
      </c>
      <c r="R114" s="41">
        <f t="shared" si="78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5000</v>
      </c>
      <c r="AC114" s="41">
        <v>10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6.0999999999999999E-2</v>
      </c>
      <c r="M115" s="21" t="s">
        <v>221</v>
      </c>
      <c r="N115" s="28"/>
      <c r="P115" s="41">
        <f t="shared" si="76"/>
        <v>548451938.41016853</v>
      </c>
      <c r="Q115" s="41">
        <f t="shared" si="77"/>
        <v>11369.098003580188</v>
      </c>
      <c r="R115" s="41">
        <f t="shared" si="78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160</v>
      </c>
      <c r="Z115" s="27">
        <v>0</v>
      </c>
      <c r="AA115" s="41">
        <v>20</v>
      </c>
      <c r="AB115" s="41">
        <v>5000</v>
      </c>
      <c r="AC115" s="41">
        <v>10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6.0999999999999999E-2</v>
      </c>
      <c r="M116" s="21" t="s">
        <v>221</v>
      </c>
      <c r="N116" s="28"/>
      <c r="P116" s="41">
        <f t="shared" si="76"/>
        <v>603297132.25118542</v>
      </c>
      <c r="Q116" s="41">
        <f t="shared" si="77"/>
        <v>13642.917604296224</v>
      </c>
      <c r="R116" s="41">
        <f t="shared" si="78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170</v>
      </c>
      <c r="Z116" s="27">
        <v>0</v>
      </c>
      <c r="AA116" s="41">
        <v>20</v>
      </c>
      <c r="AB116" s="41">
        <v>5000</v>
      </c>
      <c r="AC116" s="41">
        <v>10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6.0999999999999999E-2</v>
      </c>
      <c r="M117" s="21" t="s">
        <v>221</v>
      </c>
      <c r="N117" s="28"/>
      <c r="P117" s="41">
        <f t="shared" si="76"/>
        <v>663626845.47630405</v>
      </c>
      <c r="Q117" s="41">
        <f t="shared" si="77"/>
        <v>16371.501125155468</v>
      </c>
      <c r="R117" s="41">
        <f t="shared" si="78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180</v>
      </c>
      <c r="Z117" s="27">
        <v>0</v>
      </c>
      <c r="AA117" s="41">
        <v>20</v>
      </c>
      <c r="AB117" s="41">
        <v>5000</v>
      </c>
      <c r="AC117" s="41">
        <v>10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6.0999999999999999E-2</v>
      </c>
      <c r="M118" s="21" t="s">
        <v>221</v>
      </c>
      <c r="N118" s="28"/>
      <c r="P118" s="41">
        <f t="shared" si="76"/>
        <v>729989530.02393448</v>
      </c>
      <c r="Q118" s="41">
        <f t="shared" si="77"/>
        <v>19645.801350186561</v>
      </c>
      <c r="R118" s="41">
        <f t="shared" si="78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190</v>
      </c>
      <c r="Z118" s="27">
        <v>0</v>
      </c>
      <c r="AA118" s="41">
        <v>20</v>
      </c>
      <c r="AB118" s="41">
        <v>5000</v>
      </c>
      <c r="AC118" s="41">
        <v>10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6.0999999999999999E-2</v>
      </c>
      <c r="M119" s="21" t="s">
        <v>221</v>
      </c>
      <c r="N119" s="28"/>
      <c r="P119" s="41">
        <f t="shared" si="76"/>
        <v>802988483.02632797</v>
      </c>
      <c r="Q119" s="41">
        <f t="shared" si="77"/>
        <v>23574.961620223872</v>
      </c>
      <c r="R119" s="41">
        <f t="shared" si="78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5000</v>
      </c>
      <c r="AC119" s="41">
        <v>10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6.0999999999999999E-2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9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80">X33</f>
        <v>200</v>
      </c>
      <c r="Y120" s="41">
        <v>210</v>
      </c>
      <c r="Z120" s="27">
        <v>0</v>
      </c>
      <c r="AA120" s="41">
        <v>20</v>
      </c>
      <c r="AB120" s="41">
        <v>5000</v>
      </c>
      <c r="AC120" s="41">
        <v>15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6.0999999999999999E-2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81">Q120*1.02</f>
        <v>26451.106937891185</v>
      </c>
      <c r="R121" s="41">
        <f t="shared" si="81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2">X34</f>
        <v>200</v>
      </c>
      <c r="Y121" s="41">
        <v>210</v>
      </c>
      <c r="Z121" s="27">
        <v>0</v>
      </c>
      <c r="AA121" s="41">
        <v>20</v>
      </c>
      <c r="AB121" s="41">
        <v>5000</v>
      </c>
      <c r="AC121" s="41">
        <v>15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6.0999999999999999E-2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3">P121*1.02</f>
        <v>918972139.51465082</v>
      </c>
      <c r="Q122" s="41">
        <f t="shared" si="83"/>
        <v>26980.129076649009</v>
      </c>
      <c r="R122" s="41">
        <f t="shared" si="83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4">X35</f>
        <v>200</v>
      </c>
      <c r="Y122" s="41">
        <v>210</v>
      </c>
      <c r="Z122" s="27">
        <v>0</v>
      </c>
      <c r="AA122" s="41">
        <v>20</v>
      </c>
      <c r="AB122" s="41">
        <v>5000</v>
      </c>
      <c r="AC122" s="41">
        <v>15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6.0999999999999999E-2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3"/>
        <v>937351582.3049438</v>
      </c>
      <c r="Q123" s="41">
        <f t="shared" si="83"/>
        <v>27519.73165818199</v>
      </c>
      <c r="R123" s="41">
        <f t="shared" si="83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5">X36</f>
        <v>200</v>
      </c>
      <c r="Y123" s="41">
        <v>210</v>
      </c>
      <c r="Z123" s="27">
        <v>0</v>
      </c>
      <c r="AA123" s="41">
        <v>20</v>
      </c>
      <c r="AB123" s="41">
        <v>5000</v>
      </c>
      <c r="AC123" s="41">
        <v>15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6.0999999999999999E-2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6">X37</f>
        <v>200</v>
      </c>
      <c r="Y124" s="41">
        <v>210</v>
      </c>
      <c r="Z124" s="27">
        <v>0</v>
      </c>
      <c r="AA124" s="41">
        <v>20</v>
      </c>
      <c r="AB124" s="41">
        <v>7500</v>
      </c>
      <c r="AC124" s="41">
        <v>15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6.0999999999999999E-2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3"/>
        <v>1003903544.6485949</v>
      </c>
      <c r="Q125" s="41">
        <f t="shared" ref="Q125:R125" si="87">Q124*1.02</f>
        <v>29473.632605912913</v>
      </c>
      <c r="R125" s="41">
        <f t="shared" si="87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8">X38</f>
        <v>200</v>
      </c>
      <c r="Y125" s="41">
        <v>220</v>
      </c>
      <c r="Z125" s="27">
        <v>0</v>
      </c>
      <c r="AA125" s="41">
        <v>20</v>
      </c>
      <c r="AB125" s="41">
        <v>5000</v>
      </c>
      <c r="AC125" s="41">
        <v>15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6.0999999999999999E-2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3"/>
        <v>1023981615.5415667</v>
      </c>
      <c r="Q126" s="41">
        <f t="shared" ref="Q126:R126" si="89">Q125*1.02</f>
        <v>30063.105258031173</v>
      </c>
      <c r="R126" s="41">
        <f t="shared" si="89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90">X39</f>
        <v>200</v>
      </c>
      <c r="Y126" s="41">
        <v>220</v>
      </c>
      <c r="Z126" s="27">
        <v>0</v>
      </c>
      <c r="AA126" s="41">
        <v>20</v>
      </c>
      <c r="AB126" s="41">
        <v>5000</v>
      </c>
      <c r="AC126" s="41">
        <v>15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6.0999999999999999E-2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3"/>
        <v>1044461247.852398</v>
      </c>
      <c r="Q127" s="41">
        <f t="shared" ref="Q127:R127" si="91">Q126*1.02</f>
        <v>30664.367363191799</v>
      </c>
      <c r="R127" s="41">
        <f t="shared" si="91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2">X40</f>
        <v>200</v>
      </c>
      <c r="Y127" s="41">
        <v>220</v>
      </c>
      <c r="Z127" s="27">
        <v>0</v>
      </c>
      <c r="AA127" s="41">
        <v>20</v>
      </c>
      <c r="AB127" s="41">
        <v>5000</v>
      </c>
      <c r="AC127" s="41">
        <v>15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6.0999999999999999E-2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3"/>
        <v>1065350472.809446</v>
      </c>
      <c r="Q128" s="41">
        <f t="shared" ref="Q128:R128" si="93">Q127*1.02</f>
        <v>31277.654710455634</v>
      </c>
      <c r="R128" s="41">
        <f t="shared" si="93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4">X41</f>
        <v>200</v>
      </c>
      <c r="Y128" s="41">
        <v>220</v>
      </c>
      <c r="Z128" s="27">
        <v>0</v>
      </c>
      <c r="AA128" s="41">
        <v>20</v>
      </c>
      <c r="AB128" s="41">
        <v>5000</v>
      </c>
      <c r="AC128" s="41">
        <v>15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6.0999999999999999E-2</v>
      </c>
      <c r="M129" s="21" t="s">
        <v>221</v>
      </c>
      <c r="N129" s="28"/>
      <c r="P129" s="41">
        <f>P128*1.05</f>
        <v>1118617996.4499183</v>
      </c>
      <c r="Q129" s="41">
        <f t="shared" ref="Q129:R129" si="95">Q128*1.05</f>
        <v>32841.537445978414</v>
      </c>
      <c r="R129" s="41">
        <f t="shared" si="95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6">X42</f>
        <v>200</v>
      </c>
      <c r="Y129" s="41">
        <v>220</v>
      </c>
      <c r="Z129" s="27">
        <v>0</v>
      </c>
      <c r="AA129" s="41">
        <v>20</v>
      </c>
      <c r="AB129" s="41">
        <v>7500</v>
      </c>
      <c r="AC129" s="41">
        <v>15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6.0999999999999999E-2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7">P129*1.02</f>
        <v>1140990356.3789167</v>
      </c>
      <c r="Q130" s="41">
        <f t="shared" si="97"/>
        <v>33498.368194897987</v>
      </c>
      <c r="R130" s="41">
        <f t="shared" si="97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8">X43</f>
        <v>200</v>
      </c>
      <c r="Y130" s="41">
        <v>230</v>
      </c>
      <c r="Z130" s="27">
        <v>0</v>
      </c>
      <c r="AA130" s="41">
        <v>20</v>
      </c>
      <c r="AB130" s="41">
        <v>5000</v>
      </c>
      <c r="AC130" s="41">
        <v>15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6.0999999999999999E-2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9">P130*1.02</f>
        <v>1163810163.506495</v>
      </c>
      <c r="Q131" s="41">
        <f t="shared" si="99"/>
        <v>34168.335558795945</v>
      </c>
      <c r="R131" s="41">
        <f t="shared" si="99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100">X44</f>
        <v>200</v>
      </c>
      <c r="Y131" s="41">
        <v>230</v>
      </c>
      <c r="Z131" s="27">
        <v>0</v>
      </c>
      <c r="AA131" s="41">
        <v>20</v>
      </c>
      <c r="AB131" s="41">
        <v>5000</v>
      </c>
      <c r="AC131" s="41">
        <v>15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6.0999999999999999E-2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101">P131*1.02</f>
        <v>1187086366.7766249</v>
      </c>
      <c r="Q132" s="41">
        <f t="shared" si="101"/>
        <v>34851.702269971865</v>
      </c>
      <c r="R132" s="41">
        <f t="shared" si="101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2">X45</f>
        <v>200</v>
      </c>
      <c r="Y132" s="41">
        <v>230</v>
      </c>
      <c r="Z132" s="27">
        <v>0</v>
      </c>
      <c r="AA132" s="41">
        <v>20</v>
      </c>
      <c r="AB132" s="41">
        <v>5000</v>
      </c>
      <c r="AC132" s="41">
        <v>15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6.0999999999999999E-2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3">P132*1.02</f>
        <v>1210828094.1121573</v>
      </c>
      <c r="Q133" s="41">
        <f t="shared" si="103"/>
        <v>35548.736315371301</v>
      </c>
      <c r="R133" s="41">
        <f t="shared" si="103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4">X46</f>
        <v>200</v>
      </c>
      <c r="Y133" s="41">
        <v>230</v>
      </c>
      <c r="Z133" s="27">
        <v>0</v>
      </c>
      <c r="AA133" s="41">
        <v>20</v>
      </c>
      <c r="AB133" s="41">
        <v>5000</v>
      </c>
      <c r="AC133" s="41">
        <v>15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6.0999999999999999E-2</v>
      </c>
      <c r="M134" s="21" t="s">
        <v>221</v>
      </c>
      <c r="N134" s="28"/>
      <c r="P134" s="41">
        <f>P133*1.05</f>
        <v>1271369498.8177652</v>
      </c>
      <c r="Q134" s="41">
        <f t="shared" ref="Q134" si="105">Q133*1.05</f>
        <v>37326.173131139869</v>
      </c>
      <c r="R134" s="41">
        <f t="shared" ref="R134" si="106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7">X47</f>
        <v>200</v>
      </c>
      <c r="Y134" s="41">
        <v>230</v>
      </c>
      <c r="Z134" s="27">
        <v>0</v>
      </c>
      <c r="AA134" s="41">
        <v>20</v>
      </c>
      <c r="AB134" s="41">
        <v>7500</v>
      </c>
      <c r="AC134" s="41">
        <v>15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6.0999999999999999E-2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8">P134*1.02</f>
        <v>1296796888.7941206</v>
      </c>
      <c r="Q135" s="41">
        <f t="shared" si="108"/>
        <v>38072.696593762666</v>
      </c>
      <c r="R135" s="41">
        <f t="shared" si="108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9">X48</f>
        <v>200</v>
      </c>
      <c r="Y135" s="41">
        <v>240</v>
      </c>
      <c r="Z135" s="27">
        <v>0</v>
      </c>
      <c r="AA135" s="41">
        <v>20</v>
      </c>
      <c r="AB135" s="41">
        <v>5000</v>
      </c>
      <c r="AC135" s="41">
        <v>15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6.0999999999999999E-2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10">P135*1.02</f>
        <v>1322732826.570003</v>
      </c>
      <c r="Q136" s="41">
        <f t="shared" si="110"/>
        <v>38834.150525637917</v>
      </c>
      <c r="R136" s="41">
        <f t="shared" si="110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1">X49</f>
        <v>200</v>
      </c>
      <c r="Y136" s="41">
        <v>240</v>
      </c>
      <c r="Z136" s="27">
        <v>0</v>
      </c>
      <c r="AA136" s="41">
        <v>20</v>
      </c>
      <c r="AB136" s="41">
        <v>5000</v>
      </c>
      <c r="AC136" s="41">
        <v>15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6.0999999999999999E-2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2">P136*1.02</f>
        <v>1349187483.101403</v>
      </c>
      <c r="Q137" s="41">
        <f t="shared" si="112"/>
        <v>39610.833536150676</v>
      </c>
      <c r="R137" s="41">
        <f t="shared" si="112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3">R137*0.005</f>
        <v>7073363.1314554764</v>
      </c>
      <c r="W137" s="41">
        <v>0</v>
      </c>
      <c r="X137" s="41">
        <f t="shared" ref="X137" si="114">X50</f>
        <v>200</v>
      </c>
      <c r="Y137" s="41">
        <v>240</v>
      </c>
      <c r="Z137" s="27">
        <v>0</v>
      </c>
      <c r="AA137" s="41">
        <v>20</v>
      </c>
      <c r="AB137" s="41">
        <v>5000</v>
      </c>
      <c r="AC137" s="41">
        <v>15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6.0999999999999999E-2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5">P137*1.02</f>
        <v>1376171232.7634311</v>
      </c>
      <c r="Q138" s="41">
        <f t="shared" si="115"/>
        <v>40403.05020687369</v>
      </c>
      <c r="R138" s="41">
        <f t="shared" si="115"/>
        <v>1442966078.8169172</v>
      </c>
      <c r="S138" s="27">
        <v>100</v>
      </c>
      <c r="T138" s="52">
        <v>450</v>
      </c>
      <c r="U138" s="57">
        <v>0.7</v>
      </c>
      <c r="V138" s="27">
        <f t="shared" si="113"/>
        <v>7214830.3940845858</v>
      </c>
      <c r="W138" s="41">
        <v>0</v>
      </c>
      <c r="X138" s="41">
        <f t="shared" ref="X138" si="116">X51</f>
        <v>200</v>
      </c>
      <c r="Y138" s="41">
        <v>240</v>
      </c>
      <c r="Z138" s="27">
        <v>0</v>
      </c>
      <c r="AA138" s="41">
        <v>20</v>
      </c>
      <c r="AB138" s="41">
        <v>5000</v>
      </c>
      <c r="AC138" s="41">
        <v>15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6.0999999999999999E-2</v>
      </c>
      <c r="M139" s="21" t="s">
        <v>221</v>
      </c>
      <c r="N139" s="28"/>
      <c r="P139" s="41">
        <f>P138*1.05</f>
        <v>1444979794.4016027</v>
      </c>
      <c r="Q139" s="41">
        <f t="shared" ref="Q139" si="117">Q138*1.05</f>
        <v>42423.202717217377</v>
      </c>
      <c r="R139" s="41">
        <f t="shared" ref="R139" si="118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3"/>
        <v>7575571.913788816</v>
      </c>
      <c r="W139" s="41">
        <v>0</v>
      </c>
      <c r="X139" s="41">
        <f t="shared" ref="X139" si="119">X52</f>
        <v>200</v>
      </c>
      <c r="Y139" s="41">
        <v>240</v>
      </c>
      <c r="Z139" s="27">
        <v>0</v>
      </c>
      <c r="AA139" s="41">
        <v>20</v>
      </c>
      <c r="AB139" s="41">
        <v>7500</v>
      </c>
      <c r="AC139" s="41">
        <v>15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6.0999999999999999E-2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20">P139*1.02</f>
        <v>1473879390.2896349</v>
      </c>
      <c r="Q140" s="41">
        <f t="shared" si="120"/>
        <v>43271.666771561722</v>
      </c>
      <c r="R140" s="41">
        <f t="shared" si="120"/>
        <v>1545416670.4129183</v>
      </c>
      <c r="S140" s="27">
        <v>100</v>
      </c>
      <c r="T140" s="52">
        <v>450</v>
      </c>
      <c r="U140" s="57">
        <v>0.7</v>
      </c>
      <c r="V140" s="27">
        <f t="shared" si="113"/>
        <v>7727083.3520645918</v>
      </c>
      <c r="W140" s="41">
        <v>0</v>
      </c>
      <c r="X140" s="41">
        <f t="shared" ref="X140" si="121">X53</f>
        <v>200</v>
      </c>
      <c r="Y140" s="41">
        <v>250</v>
      </c>
      <c r="Z140" s="27">
        <v>0</v>
      </c>
      <c r="AA140" s="41">
        <v>20</v>
      </c>
      <c r="AB140" s="41">
        <v>5000</v>
      </c>
      <c r="AC140" s="41">
        <v>15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6.0999999999999999E-2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2">P140*1.02</f>
        <v>1503356978.0954278</v>
      </c>
      <c r="Q141" s="41">
        <f t="shared" si="122"/>
        <v>44137.100106992955</v>
      </c>
      <c r="R141" s="41">
        <f t="shared" si="122"/>
        <v>1576325003.8211768</v>
      </c>
      <c r="S141" s="27">
        <v>100</v>
      </c>
      <c r="T141" s="52">
        <v>450</v>
      </c>
      <c r="U141" s="57">
        <v>0.7</v>
      </c>
      <c r="V141" s="27">
        <f t="shared" si="113"/>
        <v>7881625.0191058842</v>
      </c>
      <c r="W141" s="41">
        <v>0</v>
      </c>
      <c r="X141" s="41">
        <f t="shared" ref="X141" si="123">X54</f>
        <v>200</v>
      </c>
      <c r="Y141" s="41">
        <v>250</v>
      </c>
      <c r="Z141" s="27">
        <v>0</v>
      </c>
      <c r="AA141" s="41">
        <v>20</v>
      </c>
      <c r="AB141" s="41">
        <v>5000</v>
      </c>
      <c r="AC141" s="41">
        <v>15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6.0999999999999999E-2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4">P141*1.02</f>
        <v>1533424117.6573362</v>
      </c>
      <c r="Q142" s="41">
        <f t="shared" si="124"/>
        <v>45019.842109132813</v>
      </c>
      <c r="R142" s="41">
        <f t="shared" si="124"/>
        <v>1607851503.8976004</v>
      </c>
      <c r="S142" s="27">
        <v>100</v>
      </c>
      <c r="T142" s="52">
        <v>450</v>
      </c>
      <c r="U142" s="57">
        <v>0.7</v>
      </c>
      <c r="V142" s="27">
        <f t="shared" si="113"/>
        <v>8039257.5194880022</v>
      </c>
      <c r="W142" s="41">
        <v>0</v>
      </c>
      <c r="X142" s="41">
        <f t="shared" ref="X142" si="125">X55</f>
        <v>200</v>
      </c>
      <c r="Y142" s="41">
        <v>250</v>
      </c>
      <c r="Z142" s="27">
        <v>0</v>
      </c>
      <c r="AA142" s="41">
        <v>20</v>
      </c>
      <c r="AB142" s="41">
        <v>5000</v>
      </c>
      <c r="AC142" s="41">
        <v>15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6.0999999999999999E-2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6">P142*1.02</f>
        <v>1564092600.010483</v>
      </c>
      <c r="Q143" s="41">
        <f t="shared" si="126"/>
        <v>45920.23895131547</v>
      </c>
      <c r="R143" s="41">
        <f t="shared" si="126"/>
        <v>1640008533.9755526</v>
      </c>
      <c r="S143" s="27">
        <v>100</v>
      </c>
      <c r="T143" s="52">
        <v>450</v>
      </c>
      <c r="U143" s="57">
        <v>0.7</v>
      </c>
      <c r="V143" s="27">
        <f t="shared" si="113"/>
        <v>8200042.6698777629</v>
      </c>
      <c r="W143" s="41">
        <v>0</v>
      </c>
      <c r="X143" s="41">
        <f t="shared" ref="X143" si="127">X56</f>
        <v>200</v>
      </c>
      <c r="Y143" s="41">
        <v>250</v>
      </c>
      <c r="Z143" s="27">
        <v>0</v>
      </c>
      <c r="AA143" s="41">
        <v>20</v>
      </c>
      <c r="AB143" s="41">
        <v>5000</v>
      </c>
      <c r="AC143" s="41">
        <v>15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6.0999999999999999E-2</v>
      </c>
      <c r="M144" s="21" t="s">
        <v>221</v>
      </c>
      <c r="N144" s="28"/>
      <c r="P144" s="41">
        <f>P143*1.05</f>
        <v>1642297230.0110073</v>
      </c>
      <c r="Q144" s="41">
        <f t="shared" ref="Q144" si="128">Q143*1.05</f>
        <v>48216.250898881248</v>
      </c>
      <c r="R144" s="41">
        <f t="shared" ref="R144" si="129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3"/>
        <v>8610044.8033716511</v>
      </c>
      <c r="W144" s="41">
        <v>0</v>
      </c>
      <c r="X144" s="41">
        <f t="shared" ref="X144" si="130">X57</f>
        <v>200</v>
      </c>
      <c r="Y144" s="41">
        <v>250</v>
      </c>
      <c r="Z144" s="27">
        <v>0</v>
      </c>
      <c r="AA144" s="41">
        <v>20</v>
      </c>
      <c r="AB144" s="41">
        <v>7500</v>
      </c>
      <c r="AC144" s="41">
        <v>15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6.0999999999999999E-2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31">P144*1.02</f>
        <v>1675143174.6112275</v>
      </c>
      <c r="Q145" s="41">
        <f t="shared" si="131"/>
        <v>49180.57591685887</v>
      </c>
      <c r="R145" s="41">
        <f t="shared" si="131"/>
        <v>1756449139.8878169</v>
      </c>
      <c r="S145" s="27">
        <v>100</v>
      </c>
      <c r="T145" s="52">
        <v>450</v>
      </c>
      <c r="U145" s="57">
        <v>0.7</v>
      </c>
      <c r="V145" s="27">
        <f t="shared" si="113"/>
        <v>8782245.6994390842</v>
      </c>
      <c r="W145" s="41">
        <v>0</v>
      </c>
      <c r="X145" s="41">
        <f t="shared" ref="X145" si="132">X58</f>
        <v>200</v>
      </c>
      <c r="Y145" s="41">
        <v>260</v>
      </c>
      <c r="Z145" s="27">
        <v>0</v>
      </c>
      <c r="AA145" s="41">
        <v>20</v>
      </c>
      <c r="AB145" s="41">
        <v>5000</v>
      </c>
      <c r="AC145" s="41">
        <v>15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6.0999999999999999E-2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3">P145*1.02</f>
        <v>1708646038.1034522</v>
      </c>
      <c r="Q146" s="41">
        <f t="shared" si="133"/>
        <v>50164.187435196051</v>
      </c>
      <c r="R146" s="41">
        <f t="shared" si="133"/>
        <v>1791578122.6855733</v>
      </c>
      <c r="S146" s="27">
        <v>100</v>
      </c>
      <c r="T146" s="52">
        <v>450</v>
      </c>
      <c r="U146" s="57">
        <v>0.7</v>
      </c>
      <c r="V146" s="27">
        <f t="shared" si="113"/>
        <v>8957890.6134278663</v>
      </c>
      <c r="W146" s="41">
        <v>0</v>
      </c>
      <c r="X146" s="41">
        <f t="shared" ref="X146" si="134">X59</f>
        <v>200</v>
      </c>
      <c r="Y146" s="41">
        <v>260</v>
      </c>
      <c r="Z146" s="27">
        <v>0</v>
      </c>
      <c r="AA146" s="41">
        <v>20</v>
      </c>
      <c r="AB146" s="41">
        <v>5000</v>
      </c>
      <c r="AC146" s="41">
        <v>15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6.0999999999999999E-2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5">P146*1.02</f>
        <v>1742818958.8655212</v>
      </c>
      <c r="Q147" s="41">
        <f t="shared" si="135"/>
        <v>51167.471183899972</v>
      </c>
      <c r="R147" s="41">
        <f t="shared" si="135"/>
        <v>1827409685.1392848</v>
      </c>
      <c r="S147" s="27">
        <v>100</v>
      </c>
      <c r="T147" s="52">
        <v>450</v>
      </c>
      <c r="U147" s="57">
        <v>0.7</v>
      </c>
      <c r="V147" s="27">
        <f t="shared" si="113"/>
        <v>9137048.4256964251</v>
      </c>
      <c r="W147" s="41">
        <v>0</v>
      </c>
      <c r="X147" s="41">
        <f t="shared" ref="X147" si="136">X60</f>
        <v>200</v>
      </c>
      <c r="Y147" s="41">
        <v>260</v>
      </c>
      <c r="Z147" s="27">
        <v>0</v>
      </c>
      <c r="AA147" s="41">
        <v>20</v>
      </c>
      <c r="AB147" s="41">
        <v>5000</v>
      </c>
      <c r="AC147" s="41">
        <v>15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6.0999999999999999E-2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7">P147*1.02</f>
        <v>1777675338.0428317</v>
      </c>
      <c r="Q148" s="41">
        <f t="shared" si="137"/>
        <v>52190.820607577974</v>
      </c>
      <c r="R148" s="41">
        <f t="shared" si="137"/>
        <v>1863957878.8420706</v>
      </c>
      <c r="S148" s="27">
        <v>100</v>
      </c>
      <c r="T148" s="52">
        <v>450</v>
      </c>
      <c r="U148" s="57">
        <v>0.7</v>
      </c>
      <c r="V148" s="27">
        <f t="shared" si="113"/>
        <v>9319789.3942103535</v>
      </c>
      <c r="W148" s="41">
        <v>0</v>
      </c>
      <c r="X148" s="41">
        <f t="shared" ref="X148" si="138">X61</f>
        <v>200</v>
      </c>
      <c r="Y148" s="41">
        <v>260</v>
      </c>
      <c r="Z148" s="27">
        <v>0</v>
      </c>
      <c r="AA148" s="41">
        <v>20</v>
      </c>
      <c r="AB148" s="41">
        <v>5000</v>
      </c>
      <c r="AC148" s="41">
        <v>15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6.0999999999999999E-2</v>
      </c>
      <c r="M149" s="21" t="s">
        <v>221</v>
      </c>
      <c r="N149" s="28"/>
      <c r="P149" s="41">
        <f>P148*1.05</f>
        <v>1866559104.9449732</v>
      </c>
      <c r="Q149" s="41">
        <f t="shared" ref="Q149" si="139">Q148*1.05</f>
        <v>54800.361637956878</v>
      </c>
      <c r="R149" s="41">
        <f t="shared" ref="R149" si="140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3"/>
        <v>9785778.8639208712</v>
      </c>
      <c r="W149" s="41">
        <v>0</v>
      </c>
      <c r="X149" s="41">
        <f t="shared" ref="X149" si="141">X62</f>
        <v>200</v>
      </c>
      <c r="Y149" s="41">
        <v>260</v>
      </c>
      <c r="Z149" s="27">
        <v>0</v>
      </c>
      <c r="AA149" s="41">
        <v>20</v>
      </c>
      <c r="AB149" s="41">
        <v>7500</v>
      </c>
      <c r="AC149" s="41">
        <v>15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6.0999999999999999E-2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2">P149*1.02</f>
        <v>1903890287.0438728</v>
      </c>
      <c r="Q150" s="41">
        <f t="shared" si="142"/>
        <v>55896.368870716018</v>
      </c>
      <c r="R150" s="41">
        <f t="shared" si="142"/>
        <v>1996298888.2398577</v>
      </c>
      <c r="S150" s="27">
        <v>100</v>
      </c>
      <c r="T150" s="52">
        <v>450</v>
      </c>
      <c r="U150" s="57">
        <v>0.7</v>
      </c>
      <c r="V150" s="27">
        <f t="shared" si="113"/>
        <v>9981494.4411992878</v>
      </c>
      <c r="W150" s="41">
        <v>0</v>
      </c>
      <c r="X150" s="41">
        <f t="shared" ref="X150" si="143">X63</f>
        <v>200</v>
      </c>
      <c r="Y150" s="41">
        <v>270</v>
      </c>
      <c r="Z150" s="27">
        <v>0</v>
      </c>
      <c r="AA150" s="41">
        <v>20</v>
      </c>
      <c r="AB150" s="41">
        <v>5000</v>
      </c>
      <c r="AC150" s="41">
        <v>15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6.0999999999999999E-2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4">P150*1.02</f>
        <v>1941968092.7847502</v>
      </c>
      <c r="Q151" s="41">
        <f t="shared" si="144"/>
        <v>57014.29624813034</v>
      </c>
      <c r="R151" s="41">
        <f t="shared" si="144"/>
        <v>2036224866.0046549</v>
      </c>
      <c r="S151" s="27">
        <v>100</v>
      </c>
      <c r="T151" s="52">
        <v>450</v>
      </c>
      <c r="U151" s="57">
        <v>0.7</v>
      </c>
      <c r="V151" s="27">
        <f t="shared" si="113"/>
        <v>10181124.330023274</v>
      </c>
      <c r="W151" s="41">
        <v>0</v>
      </c>
      <c r="X151" s="41">
        <f t="shared" ref="X151" si="145">X64</f>
        <v>200</v>
      </c>
      <c r="Y151" s="41">
        <v>270</v>
      </c>
      <c r="Z151" s="27">
        <v>0</v>
      </c>
      <c r="AA151" s="41">
        <v>20</v>
      </c>
      <c r="AB151" s="41">
        <v>5000</v>
      </c>
      <c r="AC151" s="41">
        <v>15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6.0999999999999999E-2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6">P151*1.02</f>
        <v>1980807454.6404452</v>
      </c>
      <c r="Q152" s="41">
        <f t="shared" si="146"/>
        <v>58154.582173092946</v>
      </c>
      <c r="R152" s="41">
        <f t="shared" si="146"/>
        <v>2076949363.324748</v>
      </c>
      <c r="S152" s="27">
        <v>100</v>
      </c>
      <c r="T152" s="52">
        <v>450</v>
      </c>
      <c r="U152" s="57">
        <v>0.7</v>
      </c>
      <c r="V152" s="27">
        <f t="shared" si="113"/>
        <v>10384746.81662374</v>
      </c>
      <c r="W152" s="41">
        <v>0</v>
      </c>
      <c r="X152" s="41">
        <f t="shared" ref="X152" si="147">X65</f>
        <v>200</v>
      </c>
      <c r="Y152" s="41">
        <v>270</v>
      </c>
      <c r="Z152" s="27">
        <v>0</v>
      </c>
      <c r="AA152" s="41">
        <v>20</v>
      </c>
      <c r="AB152" s="41">
        <v>5000</v>
      </c>
      <c r="AC152" s="41">
        <v>15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6.0999999999999999E-2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8">P152*1.02</f>
        <v>2020423603.7332542</v>
      </c>
      <c r="Q153" s="41">
        <f t="shared" si="148"/>
        <v>59317.673816554809</v>
      </c>
      <c r="R153" s="41">
        <f t="shared" si="148"/>
        <v>2118488350.591243</v>
      </c>
      <c r="S153" s="27">
        <v>100</v>
      </c>
      <c r="T153" s="52">
        <v>450</v>
      </c>
      <c r="U153" s="57">
        <v>0.7</v>
      </c>
      <c r="V153" s="27">
        <f t="shared" si="113"/>
        <v>10592441.752956215</v>
      </c>
      <c r="W153" s="41">
        <v>0</v>
      </c>
      <c r="X153" s="41">
        <f t="shared" ref="X153" si="149">X66</f>
        <v>200</v>
      </c>
      <c r="Y153" s="41">
        <v>270</v>
      </c>
      <c r="Z153" s="27">
        <v>0</v>
      </c>
      <c r="AA153" s="41">
        <v>20</v>
      </c>
      <c r="AB153" s="41">
        <v>5000</v>
      </c>
      <c r="AC153" s="41">
        <v>15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6.0999999999999999E-2</v>
      </c>
      <c r="M154" s="21" t="s">
        <v>221</v>
      </c>
      <c r="N154" s="28"/>
      <c r="P154" s="41">
        <f>P153*1.05</f>
        <v>2121444783.9199171</v>
      </c>
      <c r="Q154" s="41">
        <f t="shared" ref="Q154" si="150">Q153*1.05</f>
        <v>62283.557507382553</v>
      </c>
      <c r="R154" s="41">
        <f t="shared" ref="R154" si="151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3"/>
        <v>11122063.840604026</v>
      </c>
      <c r="W154" s="41">
        <v>0</v>
      </c>
      <c r="X154" s="41">
        <f t="shared" ref="X154" si="152">X67</f>
        <v>200</v>
      </c>
      <c r="Y154" s="41">
        <v>270</v>
      </c>
      <c r="Z154" s="27">
        <v>0</v>
      </c>
      <c r="AA154" s="41">
        <v>20</v>
      </c>
      <c r="AB154" s="41">
        <v>7500</v>
      </c>
      <c r="AC154" s="41">
        <v>15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6.0999999999999999E-2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3">P154*1.02</f>
        <v>2163873679.5983157</v>
      </c>
      <c r="Q155" s="41">
        <f t="shared" si="153"/>
        <v>63529.228657530206</v>
      </c>
      <c r="R155" s="41">
        <f t="shared" si="153"/>
        <v>2268901023.4832215</v>
      </c>
      <c r="S155" s="27">
        <v>100</v>
      </c>
      <c r="T155" s="52">
        <v>450</v>
      </c>
      <c r="U155" s="57">
        <v>0.7</v>
      </c>
      <c r="V155" s="27">
        <f t="shared" si="113"/>
        <v>11344505.117416108</v>
      </c>
      <c r="W155" s="41">
        <v>0</v>
      </c>
      <c r="X155" s="41">
        <f t="shared" ref="X155" si="154">X68</f>
        <v>200</v>
      </c>
      <c r="Y155" s="41">
        <v>280</v>
      </c>
      <c r="Z155" s="27">
        <v>0</v>
      </c>
      <c r="AA155" s="41">
        <v>20</v>
      </c>
      <c r="AB155" s="41">
        <v>5000</v>
      </c>
      <c r="AC155" s="41">
        <v>15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6.0999999999999999E-2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5">P155*1.02</f>
        <v>2207151153.1902819</v>
      </c>
      <c r="Q156" s="41">
        <f t="shared" si="155"/>
        <v>64799.813230680811</v>
      </c>
      <c r="R156" s="41">
        <f t="shared" si="155"/>
        <v>2314279043.9528861</v>
      </c>
      <c r="S156" s="27">
        <v>100</v>
      </c>
      <c r="T156" s="52">
        <v>450</v>
      </c>
      <c r="U156" s="57">
        <v>0.7</v>
      </c>
      <c r="V156" s="27">
        <f t="shared" si="113"/>
        <v>11571395.21976443</v>
      </c>
      <c r="W156" s="41">
        <v>0</v>
      </c>
      <c r="X156" s="41">
        <f t="shared" ref="X156" si="156">X69</f>
        <v>200</v>
      </c>
      <c r="Y156" s="41">
        <v>280</v>
      </c>
      <c r="Z156" s="27">
        <v>0</v>
      </c>
      <c r="AA156" s="41">
        <v>20</v>
      </c>
      <c r="AB156" s="41">
        <v>5000</v>
      </c>
      <c r="AC156" s="41">
        <v>15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6.0999999999999999E-2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7">P156*1.02</f>
        <v>2251294176.2540874</v>
      </c>
      <c r="Q157" s="41">
        <f t="shared" si="157"/>
        <v>66095.809495294423</v>
      </c>
      <c r="R157" s="41">
        <f t="shared" si="157"/>
        <v>2360564624.831944</v>
      </c>
      <c r="S157" s="27">
        <v>100</v>
      </c>
      <c r="T157" s="52">
        <v>450</v>
      </c>
      <c r="U157" s="57">
        <v>0.7</v>
      </c>
      <c r="V157" s="27">
        <f t="shared" si="113"/>
        <v>11802823.12415972</v>
      </c>
      <c r="W157" s="41">
        <v>0</v>
      </c>
      <c r="X157" s="41">
        <f t="shared" ref="X157" si="158">X70</f>
        <v>200</v>
      </c>
      <c r="Y157" s="41">
        <v>280</v>
      </c>
      <c r="Z157" s="27">
        <v>0</v>
      </c>
      <c r="AA157" s="41">
        <v>20</v>
      </c>
      <c r="AB157" s="41">
        <v>5000</v>
      </c>
      <c r="AC157" s="41">
        <v>15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6.0999999999999999E-2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9">P157*1.02</f>
        <v>2296320059.7791691</v>
      </c>
      <c r="Q158" s="41">
        <f t="shared" si="159"/>
        <v>67417.725685200319</v>
      </c>
      <c r="R158" s="41">
        <f t="shared" si="159"/>
        <v>2407775917.3285828</v>
      </c>
      <c r="S158" s="27">
        <v>100</v>
      </c>
      <c r="T158" s="52">
        <v>450</v>
      </c>
      <c r="U158" s="57">
        <v>0.7</v>
      </c>
      <c r="V158" s="27">
        <f t="shared" si="113"/>
        <v>12038879.586642914</v>
      </c>
      <c r="W158" s="41">
        <v>0</v>
      </c>
      <c r="X158" s="41">
        <f t="shared" ref="X158" si="160">X71</f>
        <v>200</v>
      </c>
      <c r="Y158" s="41">
        <v>280</v>
      </c>
      <c r="Z158" s="27">
        <v>0</v>
      </c>
      <c r="AA158" s="41">
        <v>20</v>
      </c>
      <c r="AB158" s="41">
        <v>5000</v>
      </c>
      <c r="AC158" s="41">
        <v>15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6.0999999999999999E-2</v>
      </c>
      <c r="M159" s="21" t="s">
        <v>221</v>
      </c>
      <c r="N159" s="28"/>
      <c r="P159" s="41">
        <f>P158*1.05</f>
        <v>2411136062.7681274</v>
      </c>
      <c r="Q159" s="41">
        <f t="shared" ref="Q159" si="161">Q158*1.05</f>
        <v>70788.61196946034</v>
      </c>
      <c r="R159" s="41">
        <f t="shared" ref="R159" si="162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3"/>
        <v>12640823.565975061</v>
      </c>
      <c r="W159" s="41">
        <v>0</v>
      </c>
      <c r="X159" s="41">
        <f t="shared" ref="X159" si="163">X72</f>
        <v>200</v>
      </c>
      <c r="Y159" s="41">
        <v>280</v>
      </c>
      <c r="Z159" s="27">
        <v>0</v>
      </c>
      <c r="AA159" s="41">
        <v>20</v>
      </c>
      <c r="AB159" s="41">
        <v>7500</v>
      </c>
      <c r="AC159" s="41">
        <v>15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6.0999999999999999E-2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4">P159*1.02</f>
        <v>2459358784.02349</v>
      </c>
      <c r="Q160" s="41">
        <f t="shared" si="164"/>
        <v>72204.384208849544</v>
      </c>
      <c r="R160" s="41">
        <f t="shared" si="164"/>
        <v>2578728007.4589124</v>
      </c>
      <c r="S160" s="27">
        <v>100</v>
      </c>
      <c r="T160" s="52">
        <v>450</v>
      </c>
      <c r="U160" s="57">
        <v>0.7</v>
      </c>
      <c r="V160" s="27">
        <f t="shared" si="113"/>
        <v>12893640.037294563</v>
      </c>
      <c r="W160" s="41">
        <v>0</v>
      </c>
      <c r="X160" s="41">
        <f t="shared" ref="X160" si="165">X73</f>
        <v>200</v>
      </c>
      <c r="Y160" s="41">
        <v>290</v>
      </c>
      <c r="Z160" s="27">
        <v>0</v>
      </c>
      <c r="AA160" s="41">
        <v>20</v>
      </c>
      <c r="AB160" s="41">
        <v>5000</v>
      </c>
      <c r="AC160" s="41">
        <v>15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6.0999999999999999E-2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6">P160*1.02</f>
        <v>2508545959.7039599</v>
      </c>
      <c r="Q161" s="41">
        <f t="shared" si="166"/>
        <v>73648.471893026537</v>
      </c>
      <c r="R161" s="41">
        <f t="shared" si="166"/>
        <v>2630302567.6080909</v>
      </c>
      <c r="S161" s="27">
        <v>100</v>
      </c>
      <c r="T161" s="52">
        <v>450</v>
      </c>
      <c r="U161" s="57">
        <v>0.7</v>
      </c>
      <c r="V161" s="27">
        <f t="shared" si="113"/>
        <v>13151512.838040454</v>
      </c>
      <c r="W161" s="41">
        <v>0</v>
      </c>
      <c r="X161" s="41">
        <f t="shared" ref="X161" si="167">X74</f>
        <v>200</v>
      </c>
      <c r="Y161" s="41">
        <v>290</v>
      </c>
      <c r="Z161" s="27">
        <v>0</v>
      </c>
      <c r="AA161" s="41">
        <v>20</v>
      </c>
      <c r="AB161" s="41">
        <v>5000</v>
      </c>
      <c r="AC161" s="41">
        <v>15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6.0999999999999999E-2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8">P161*1.02</f>
        <v>2558716878.8980393</v>
      </c>
      <c r="Q162" s="41">
        <f t="shared" si="168"/>
        <v>75121.441330887072</v>
      </c>
      <c r="R162" s="41">
        <f t="shared" si="168"/>
        <v>2682908618.9602528</v>
      </c>
      <c r="S162" s="27">
        <v>100</v>
      </c>
      <c r="T162" s="52">
        <v>450</v>
      </c>
      <c r="U162" s="57">
        <v>0.7</v>
      </c>
      <c r="V162" s="27">
        <f t="shared" si="113"/>
        <v>13414543.094801264</v>
      </c>
      <c r="W162" s="41">
        <v>0</v>
      </c>
      <c r="X162" s="41">
        <f t="shared" ref="X162" si="169">X75</f>
        <v>200</v>
      </c>
      <c r="Y162" s="41">
        <v>290</v>
      </c>
      <c r="Z162" s="27">
        <v>0</v>
      </c>
      <c r="AA162" s="41">
        <v>20</v>
      </c>
      <c r="AB162" s="41">
        <v>5000</v>
      </c>
      <c r="AC162" s="41">
        <v>15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6.0999999999999999E-2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70">P162*1.02</f>
        <v>2609891216.4760003</v>
      </c>
      <c r="Q163" s="41">
        <f t="shared" si="170"/>
        <v>76623.870157504818</v>
      </c>
      <c r="R163" s="41">
        <f t="shared" si="170"/>
        <v>2736566791.339458</v>
      </c>
      <c r="S163" s="27">
        <v>100</v>
      </c>
      <c r="T163" s="52">
        <v>450</v>
      </c>
      <c r="U163" s="57">
        <v>0.7</v>
      </c>
      <c r="V163" s="27">
        <f t="shared" si="113"/>
        <v>13682833.956697291</v>
      </c>
      <c r="W163" s="41">
        <v>0</v>
      </c>
      <c r="X163" s="41">
        <f t="shared" ref="X163" si="171">X76</f>
        <v>200</v>
      </c>
      <c r="Y163" s="41">
        <v>290</v>
      </c>
      <c r="Z163" s="27">
        <v>0</v>
      </c>
      <c r="AA163" s="41">
        <v>20</v>
      </c>
      <c r="AB163" s="41">
        <v>5000</v>
      </c>
      <c r="AC163" s="41">
        <v>15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6.0999999999999999E-2</v>
      </c>
      <c r="M164" s="21" t="s">
        <v>221</v>
      </c>
      <c r="N164" s="28"/>
      <c r="P164" s="41">
        <f>P163*1.05</f>
        <v>2740385777.2998004</v>
      </c>
      <c r="Q164" s="41">
        <f t="shared" ref="Q164" si="172">Q163*1.05</f>
        <v>80455.063665380061</v>
      </c>
      <c r="R164" s="41">
        <f t="shared" ref="R164" si="173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3"/>
        <v>14366975.654532157</v>
      </c>
      <c r="W164" s="41">
        <v>0</v>
      </c>
      <c r="X164" s="41">
        <f t="shared" ref="X164" si="174">X77</f>
        <v>200</v>
      </c>
      <c r="Y164" s="41">
        <v>290</v>
      </c>
      <c r="Z164" s="27">
        <v>0</v>
      </c>
      <c r="AA164" s="41">
        <v>20</v>
      </c>
      <c r="AB164" s="41">
        <v>7500</v>
      </c>
      <c r="AC164" s="41">
        <v>15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6.0999999999999999E-2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5">P164*1.02</f>
        <v>2795193492.8457966</v>
      </c>
      <c r="Q165" s="41">
        <f t="shared" si="175"/>
        <v>82064.164938687667</v>
      </c>
      <c r="R165" s="41">
        <f t="shared" si="175"/>
        <v>2930863033.52456</v>
      </c>
      <c r="S165" s="27">
        <v>100</v>
      </c>
      <c r="T165" s="52">
        <v>450</v>
      </c>
      <c r="U165" s="57">
        <v>0.7</v>
      </c>
      <c r="V165" s="27">
        <f t="shared" si="113"/>
        <v>14654315.167622801</v>
      </c>
      <c r="W165" s="41">
        <v>0</v>
      </c>
      <c r="X165" s="41">
        <f t="shared" ref="X165" si="176">X78</f>
        <v>200</v>
      </c>
      <c r="Y165" s="41">
        <v>300</v>
      </c>
      <c r="Z165" s="27">
        <v>0</v>
      </c>
      <c r="AA165" s="41">
        <v>20</v>
      </c>
      <c r="AB165" s="41">
        <v>5000</v>
      </c>
      <c r="AC165" s="41">
        <v>15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6.0999999999999999E-2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7">P165*1.02</f>
        <v>2851097362.7027125</v>
      </c>
      <c r="Q166" s="41">
        <f t="shared" si="177"/>
        <v>83705.448237461416</v>
      </c>
      <c r="R166" s="41">
        <f t="shared" si="177"/>
        <v>2989480294.1950512</v>
      </c>
      <c r="S166" s="27">
        <v>100</v>
      </c>
      <c r="T166" s="52">
        <v>450</v>
      </c>
      <c r="U166" s="57">
        <v>0.7</v>
      </c>
      <c r="V166" s="27">
        <f t="shared" si="113"/>
        <v>14947401.470975256</v>
      </c>
      <c r="W166" s="41">
        <v>0</v>
      </c>
      <c r="X166" s="41">
        <f t="shared" ref="X166" si="178">X79</f>
        <v>200</v>
      </c>
      <c r="Y166" s="41">
        <v>300</v>
      </c>
      <c r="Z166" s="27">
        <v>0</v>
      </c>
      <c r="AA166" s="41">
        <v>20</v>
      </c>
      <c r="AB166" s="41">
        <v>5000</v>
      </c>
      <c r="AC166" s="41">
        <v>15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6.0999999999999999E-2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9">P166*1.02</f>
        <v>2908119309.9567666</v>
      </c>
      <c r="Q167" s="41">
        <f t="shared" si="179"/>
        <v>85379.55720221065</v>
      </c>
      <c r="R167" s="41">
        <f t="shared" si="179"/>
        <v>3049269900.0789523</v>
      </c>
      <c r="S167" s="27">
        <v>100</v>
      </c>
      <c r="T167" s="52">
        <v>450</v>
      </c>
      <c r="U167" s="57">
        <v>0.7</v>
      </c>
      <c r="V167" s="27">
        <f t="shared" si="113"/>
        <v>15246349.500394762</v>
      </c>
      <c r="W167" s="41">
        <v>0</v>
      </c>
      <c r="X167" s="41">
        <f t="shared" ref="X167" si="180">X80</f>
        <v>200</v>
      </c>
      <c r="Y167" s="41">
        <v>300</v>
      </c>
      <c r="Z167" s="27">
        <v>0</v>
      </c>
      <c r="AA167" s="41">
        <v>20</v>
      </c>
      <c r="AB167" s="41">
        <v>5000</v>
      </c>
      <c r="AC167" s="41">
        <v>15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6.0999999999999999E-2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81">P167*1.02</f>
        <v>2966281696.1559019</v>
      </c>
      <c r="Q168" s="41">
        <f t="shared" si="181"/>
        <v>87087.148346254864</v>
      </c>
      <c r="R168" s="41">
        <f t="shared" si="181"/>
        <v>3110255298.0805316</v>
      </c>
      <c r="S168" s="27">
        <v>100</v>
      </c>
      <c r="T168" s="52">
        <v>450</v>
      </c>
      <c r="U168" s="57">
        <v>0.7</v>
      </c>
      <c r="V168" s="27">
        <f t="shared" si="113"/>
        <v>15551276.490402658</v>
      </c>
      <c r="W168" s="41">
        <v>0</v>
      </c>
      <c r="X168" s="41">
        <f t="shared" ref="X168" si="182">X81</f>
        <v>200</v>
      </c>
      <c r="Y168" s="41">
        <v>300</v>
      </c>
      <c r="Z168" s="27">
        <v>0</v>
      </c>
      <c r="AA168" s="41">
        <v>20</v>
      </c>
      <c r="AB168" s="41">
        <v>5000</v>
      </c>
      <c r="AC168" s="41">
        <v>15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6.0999999999999999E-2</v>
      </c>
      <c r="M169" s="21" t="s">
        <v>221</v>
      </c>
      <c r="N169" s="28"/>
      <c r="P169" s="41">
        <f>P168*1.05</f>
        <v>3114595780.963697</v>
      </c>
      <c r="Q169" s="41">
        <f t="shared" ref="Q169" si="183">Q168*1.05</f>
        <v>91441.505763567606</v>
      </c>
      <c r="R169" s="41">
        <f t="shared" ref="R169" si="184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3"/>
        <v>16328840.314922791</v>
      </c>
      <c r="W169" s="41">
        <v>0</v>
      </c>
      <c r="X169" s="41">
        <f t="shared" ref="X169:X179" si="185">X82</f>
        <v>200</v>
      </c>
      <c r="Y169" s="41">
        <v>300</v>
      </c>
      <c r="Z169" s="27">
        <v>0</v>
      </c>
      <c r="AA169" s="41">
        <v>20</v>
      </c>
      <c r="AB169" s="41">
        <v>7500</v>
      </c>
      <c r="AC169" s="41">
        <v>15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6.0999999999999999E-2</v>
      </c>
      <c r="M170" s="21" t="s">
        <v>221</v>
      </c>
      <c r="N170" s="28"/>
      <c r="P170" s="41">
        <f>P169*1.1</f>
        <v>3426055359.0600667</v>
      </c>
      <c r="Q170" s="41">
        <f t="shared" ref="Q170:R170" si="186">Q169*1.1</f>
        <v>100585.65633992438</v>
      </c>
      <c r="R170" s="41">
        <f t="shared" si="186"/>
        <v>3592344869.2830143</v>
      </c>
      <c r="S170" s="27">
        <v>100</v>
      </c>
      <c r="T170" s="52">
        <v>450</v>
      </c>
      <c r="U170" s="57">
        <v>0.6</v>
      </c>
      <c r="V170" s="27">
        <f t="shared" si="113"/>
        <v>17961724.346415073</v>
      </c>
      <c r="W170" s="41">
        <v>0</v>
      </c>
      <c r="X170" s="41">
        <f t="shared" si="185"/>
        <v>200</v>
      </c>
      <c r="Y170" s="41">
        <v>310</v>
      </c>
      <c r="Z170" s="27">
        <v>0</v>
      </c>
      <c r="AA170" s="41">
        <v>20</v>
      </c>
      <c r="AB170" s="41">
        <v>10000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6.0999999999999999E-2</v>
      </c>
      <c r="M171" s="21" t="s">
        <v>221</v>
      </c>
      <c r="N171" s="28"/>
      <c r="P171" s="41">
        <f>P170*1.1</f>
        <v>3768660894.9660735</v>
      </c>
      <c r="Q171" s="41">
        <f t="shared" ref="Q171:R171" si="187">Q170*1.1</f>
        <v>110644.22197391682</v>
      </c>
      <c r="R171" s="41">
        <f t="shared" si="187"/>
        <v>3951579356.2113161</v>
      </c>
      <c r="S171" s="27">
        <v>100</v>
      </c>
      <c r="T171" s="52">
        <v>450</v>
      </c>
      <c r="U171" s="57">
        <v>0.6</v>
      </c>
      <c r="V171" s="27">
        <f t="shared" si="113"/>
        <v>19757896.781056579</v>
      </c>
      <c r="W171" s="41">
        <v>0</v>
      </c>
      <c r="X171" s="41">
        <f t="shared" si="185"/>
        <v>200</v>
      </c>
      <c r="Y171" s="41">
        <v>320</v>
      </c>
      <c r="Z171" s="27">
        <v>0</v>
      </c>
      <c r="AA171" s="41">
        <v>20</v>
      </c>
      <c r="AB171" s="41">
        <v>10000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6.0999999999999999E-2</v>
      </c>
      <c r="M172" s="21" t="s">
        <v>221</v>
      </c>
      <c r="N172" s="28"/>
      <c r="P172" s="41">
        <f t="shared" ref="P172:P179" si="188">P171*1.1</f>
        <v>4145526984.4626813</v>
      </c>
      <c r="Q172" s="41">
        <f t="shared" ref="Q172:Q179" si="189">Q171*1.1</f>
        <v>121708.64417130851</v>
      </c>
      <c r="R172" s="41">
        <f t="shared" ref="R172:R179" si="190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3"/>
        <v>21733686.459162239</v>
      </c>
      <c r="W172" s="41">
        <v>0</v>
      </c>
      <c r="X172" s="41">
        <f t="shared" si="185"/>
        <v>200</v>
      </c>
      <c r="Y172" s="41">
        <v>330</v>
      </c>
      <c r="Z172" s="27">
        <v>0</v>
      </c>
      <c r="AA172" s="41">
        <v>20</v>
      </c>
      <c r="AB172" s="41">
        <v>10000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6.0999999999999999E-2</v>
      </c>
      <c r="M173" s="21" t="s">
        <v>221</v>
      </c>
      <c r="N173" s="28"/>
      <c r="P173" s="41">
        <f t="shared" si="188"/>
        <v>4560079682.9089499</v>
      </c>
      <c r="Q173" s="41">
        <f t="shared" si="189"/>
        <v>133879.50858843938</v>
      </c>
      <c r="R173" s="41">
        <f t="shared" si="190"/>
        <v>4781411021.0156937</v>
      </c>
      <c r="S173" s="27">
        <v>100</v>
      </c>
      <c r="T173" s="52">
        <v>450</v>
      </c>
      <c r="U173" s="57">
        <v>0.6</v>
      </c>
      <c r="V173" s="27">
        <f t="shared" si="113"/>
        <v>23907055.10507847</v>
      </c>
      <c r="W173" s="41">
        <v>0</v>
      </c>
      <c r="X173" s="41">
        <f t="shared" si="185"/>
        <v>200</v>
      </c>
      <c r="Y173" s="41">
        <v>340</v>
      </c>
      <c r="Z173" s="27">
        <v>0</v>
      </c>
      <c r="AA173" s="41">
        <v>20</v>
      </c>
      <c r="AB173" s="41">
        <v>10000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6.0999999999999999E-2</v>
      </c>
      <c r="M174" s="21" t="s">
        <v>221</v>
      </c>
      <c r="N174" s="28"/>
      <c r="P174" s="41">
        <f t="shared" si="188"/>
        <v>5016087651.1998453</v>
      </c>
      <c r="Q174" s="41">
        <f t="shared" si="189"/>
        <v>147267.45944728333</v>
      </c>
      <c r="R174" s="41">
        <f t="shared" si="190"/>
        <v>5259552123.1172638</v>
      </c>
      <c r="S174" s="27">
        <v>100</v>
      </c>
      <c r="T174" s="52">
        <v>450</v>
      </c>
      <c r="U174" s="57">
        <v>0.6</v>
      </c>
      <c r="V174" s="27">
        <f t="shared" si="113"/>
        <v>26297760.615586318</v>
      </c>
      <c r="W174" s="41">
        <v>0</v>
      </c>
      <c r="X174" s="41">
        <f t="shared" si="185"/>
        <v>200</v>
      </c>
      <c r="Y174" s="41">
        <v>350</v>
      </c>
      <c r="Z174" s="27">
        <v>0</v>
      </c>
      <c r="AA174" s="41">
        <v>20</v>
      </c>
      <c r="AB174" s="41">
        <v>10000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6.0999999999999999E-2</v>
      </c>
      <c r="M175" s="21" t="s">
        <v>221</v>
      </c>
      <c r="N175" s="28"/>
      <c r="P175" s="41">
        <f t="shared" si="188"/>
        <v>5517696416.3198299</v>
      </c>
      <c r="Q175" s="41">
        <f t="shared" si="189"/>
        <v>161994.20539201167</v>
      </c>
      <c r="R175" s="41">
        <f t="shared" si="190"/>
        <v>5785507335.4289904</v>
      </c>
      <c r="S175" s="27">
        <v>100</v>
      </c>
      <c r="T175" s="52">
        <v>450</v>
      </c>
      <c r="U175" s="57">
        <v>0.6</v>
      </c>
      <c r="V175" s="27">
        <f t="shared" si="113"/>
        <v>28927536.677144952</v>
      </c>
      <c r="W175" s="41">
        <v>0</v>
      </c>
      <c r="X175" s="41">
        <f t="shared" si="185"/>
        <v>200</v>
      </c>
      <c r="Y175" s="41">
        <v>360</v>
      </c>
      <c r="Z175" s="27">
        <v>0</v>
      </c>
      <c r="AA175" s="41">
        <v>20</v>
      </c>
      <c r="AB175" s="41">
        <v>10000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6.0999999999999999E-2</v>
      </c>
      <c r="M176" s="21" t="s">
        <v>221</v>
      </c>
      <c r="N176" s="28"/>
      <c r="P176" s="41">
        <f t="shared" si="188"/>
        <v>6069466057.9518137</v>
      </c>
      <c r="Q176" s="41">
        <f t="shared" si="189"/>
        <v>178193.62593121285</v>
      </c>
      <c r="R176" s="41">
        <f t="shared" si="190"/>
        <v>6364058068.9718895</v>
      </c>
      <c r="S176" s="27">
        <v>100</v>
      </c>
      <c r="T176" s="52">
        <v>450</v>
      </c>
      <c r="U176" s="57">
        <v>0.6</v>
      </c>
      <c r="V176" s="27">
        <f t="shared" si="113"/>
        <v>31820290.344859447</v>
      </c>
      <c r="W176" s="41">
        <v>0</v>
      </c>
      <c r="X176" s="41">
        <f t="shared" si="185"/>
        <v>200</v>
      </c>
      <c r="Y176" s="41">
        <v>370</v>
      </c>
      <c r="Z176" s="27">
        <v>0</v>
      </c>
      <c r="AA176" s="41">
        <v>20</v>
      </c>
      <c r="AB176" s="41">
        <v>10000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6.0999999999999999E-2</v>
      </c>
      <c r="M177" s="21" t="s">
        <v>221</v>
      </c>
      <c r="N177" s="28"/>
      <c r="P177" s="41">
        <f t="shared" si="188"/>
        <v>6676412663.7469959</v>
      </c>
      <c r="Q177" s="41">
        <f t="shared" si="189"/>
        <v>196012.98852433416</v>
      </c>
      <c r="R177" s="41">
        <f t="shared" si="190"/>
        <v>7000463875.8690786</v>
      </c>
      <c r="S177" s="27">
        <v>100</v>
      </c>
      <c r="T177" s="52">
        <v>450</v>
      </c>
      <c r="U177" s="57">
        <v>0.6</v>
      </c>
      <c r="V177" s="27">
        <f t="shared" si="113"/>
        <v>35002319.379345395</v>
      </c>
      <c r="W177" s="41">
        <v>0</v>
      </c>
      <c r="X177" s="41">
        <f t="shared" si="185"/>
        <v>200</v>
      </c>
      <c r="Y177" s="41">
        <v>380</v>
      </c>
      <c r="Z177" s="27">
        <v>0</v>
      </c>
      <c r="AA177" s="41">
        <v>20</v>
      </c>
      <c r="AB177" s="41">
        <v>10000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6.0999999999999999E-2</v>
      </c>
      <c r="M178" s="21" t="s">
        <v>221</v>
      </c>
      <c r="N178" s="28"/>
      <c r="P178" s="41">
        <f t="shared" si="188"/>
        <v>7344053930.1216965</v>
      </c>
      <c r="Q178" s="41">
        <f t="shared" si="189"/>
        <v>215614.28737676758</v>
      </c>
      <c r="R178" s="41">
        <f t="shared" si="190"/>
        <v>7700510263.455987</v>
      </c>
      <c r="S178" s="27">
        <v>100</v>
      </c>
      <c r="T178" s="52">
        <v>450</v>
      </c>
      <c r="U178" s="57">
        <v>0.6</v>
      </c>
      <c r="V178" s="27">
        <f t="shared" si="113"/>
        <v>38502551.317279935</v>
      </c>
      <c r="W178" s="41">
        <v>0</v>
      </c>
      <c r="X178" s="41">
        <f t="shared" si="185"/>
        <v>200</v>
      </c>
      <c r="Y178" s="41">
        <v>390</v>
      </c>
      <c r="Z178" s="27">
        <v>0</v>
      </c>
      <c r="AA178" s="41">
        <v>20</v>
      </c>
      <c r="AB178" s="41">
        <v>10000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6.0999999999999999E-2</v>
      </c>
      <c r="M179" s="21" t="s">
        <v>221</v>
      </c>
      <c r="N179" s="28"/>
      <c r="P179" s="41">
        <f t="shared" si="188"/>
        <v>8078459323.1338663</v>
      </c>
      <c r="Q179" s="41">
        <f t="shared" si="189"/>
        <v>237175.71611444437</v>
      </c>
      <c r="R179" s="41">
        <f t="shared" si="190"/>
        <v>8470561289.8015862</v>
      </c>
      <c r="S179" s="27">
        <v>100</v>
      </c>
      <c r="T179" s="52">
        <v>450</v>
      </c>
      <c r="U179" s="57">
        <v>0.6</v>
      </c>
      <c r="V179" s="27">
        <f t="shared" si="113"/>
        <v>42352806.449007928</v>
      </c>
      <c r="W179" s="41">
        <v>0</v>
      </c>
      <c r="X179" s="41">
        <f t="shared" si="185"/>
        <v>200</v>
      </c>
      <c r="Y179" s="41">
        <v>400</v>
      </c>
      <c r="Z179" s="27">
        <v>0</v>
      </c>
      <c r="AA179" s="41">
        <v>20</v>
      </c>
      <c r="AB179" s="41">
        <v>10000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3"/>
        <v>0.75</v>
      </c>
      <c r="W180" s="41">
        <v>0</v>
      </c>
      <c r="X180" s="27">
        <v>200</v>
      </c>
      <c r="Y180" s="27">
        <v>50</v>
      </c>
      <c r="Z180" s="27">
        <v>0</v>
      </c>
      <c r="AA180" s="27">
        <v>20</v>
      </c>
      <c r="AB180" s="27">
        <v>45</v>
      </c>
      <c r="AC180" s="27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 t="s">
        <v>221</v>
      </c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3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52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6.0999999999999999E-2</v>
      </c>
      <c r="M182" s="21" t="s">
        <v>221</v>
      </c>
      <c r="N182" s="28"/>
      <c r="P182" s="41">
        <f>P179*1.1</f>
        <v>8886305255.4472542</v>
      </c>
      <c r="Q182" s="41">
        <f t="shared" ref="Q182:R182" si="191">Q179*1.1</f>
        <v>260893.28772588883</v>
      </c>
      <c r="R182" s="41">
        <f t="shared" si="191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2">R182*0.005</f>
        <v>46588087.093908727</v>
      </c>
      <c r="W182" s="41">
        <v>0</v>
      </c>
      <c r="X182" s="41">
        <f t="shared" ref="X182:X201" si="193">X95</f>
        <v>200</v>
      </c>
      <c r="Y182" s="41">
        <v>410</v>
      </c>
      <c r="Z182" s="27">
        <v>0</v>
      </c>
      <c r="AA182" s="41">
        <v>20</v>
      </c>
      <c r="AB182" s="41">
        <f>AB179*1.1</f>
        <v>11000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6.0999999999999999E-2</v>
      </c>
      <c r="M183" s="21" t="s">
        <v>221</v>
      </c>
      <c r="N183" s="28"/>
      <c r="P183" s="41">
        <f>P182*1.05</f>
        <v>9330620518.2196178</v>
      </c>
      <c r="Q183" s="41">
        <f t="shared" ref="Q183:R184" si="194">Q182*1.05</f>
        <v>273937.95211218327</v>
      </c>
      <c r="R183" s="41">
        <f t="shared" si="194"/>
        <v>9783498289.7208328</v>
      </c>
      <c r="S183" s="27">
        <v>100</v>
      </c>
      <c r="T183" s="52">
        <v>450</v>
      </c>
      <c r="U183" s="57">
        <v>0.5</v>
      </c>
      <c r="V183" s="27">
        <f t="shared" si="192"/>
        <v>48917491.448604167</v>
      </c>
      <c r="W183" s="41">
        <v>0</v>
      </c>
      <c r="X183" s="41">
        <f t="shared" si="193"/>
        <v>200</v>
      </c>
      <c r="Y183" s="41">
        <v>420</v>
      </c>
      <c r="Z183" s="27">
        <v>0</v>
      </c>
      <c r="AA183" s="41">
        <v>20</v>
      </c>
      <c r="AB183" s="41">
        <f>AB182*1.05</f>
        <v>11550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6.0999999999999999E-2</v>
      </c>
      <c r="M184" s="21" t="s">
        <v>221</v>
      </c>
      <c r="N184" s="28"/>
      <c r="P184" s="41">
        <f>P183*1.05</f>
        <v>9797151544.1306</v>
      </c>
      <c r="Q184" s="41">
        <f t="shared" si="194"/>
        <v>287634.84971779241</v>
      </c>
      <c r="R184" s="41">
        <f t="shared" si="194"/>
        <v>10272673204.206875</v>
      </c>
      <c r="S184" s="27">
        <v>100</v>
      </c>
      <c r="T184" s="52">
        <v>450</v>
      </c>
      <c r="U184" s="57">
        <v>0.5</v>
      </c>
      <c r="V184" s="27">
        <f t="shared" si="192"/>
        <v>51363366.021034375</v>
      </c>
      <c r="W184" s="41">
        <v>0</v>
      </c>
      <c r="X184" s="41">
        <f t="shared" si="193"/>
        <v>200</v>
      </c>
      <c r="Y184" s="41">
        <v>430</v>
      </c>
      <c r="Z184" s="27">
        <v>0</v>
      </c>
      <c r="AA184" s="41">
        <v>20</v>
      </c>
      <c r="AB184" s="41">
        <f>AB183*1.05</f>
        <v>12127.5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6.0999999999999999E-2</v>
      </c>
      <c r="M185" s="21" t="s">
        <v>221</v>
      </c>
      <c r="N185" s="28"/>
      <c r="P185" s="41">
        <f t="shared" ref="P185:P201" si="195">P184*1.05</f>
        <v>10287009121.33713</v>
      </c>
      <c r="Q185" s="41">
        <f t="shared" ref="Q185:Q201" si="196">Q184*1.05</f>
        <v>302016.59220368206</v>
      </c>
      <c r="R185" s="41">
        <f t="shared" ref="R185:R201" si="197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2"/>
        <v>53931534.322086096</v>
      </c>
      <c r="W185" s="41">
        <v>0</v>
      </c>
      <c r="X185" s="41">
        <f t="shared" si="193"/>
        <v>200</v>
      </c>
      <c r="Y185" s="41">
        <v>440</v>
      </c>
      <c r="Z185" s="27">
        <v>0</v>
      </c>
      <c r="AA185" s="41">
        <v>20</v>
      </c>
      <c r="AB185" s="41">
        <f t="shared" ref="AB185:AB201" si="198">AB184*1.05</f>
        <v>12733.875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6.0999999999999999E-2</v>
      </c>
      <c r="M186" s="21" t="s">
        <v>221</v>
      </c>
      <c r="P186" s="41">
        <f t="shared" si="195"/>
        <v>10801359577.403986</v>
      </c>
      <c r="Q186" s="41">
        <f t="shared" si="196"/>
        <v>317117.42181386618</v>
      </c>
      <c r="R186" s="41">
        <f t="shared" si="197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9">R186*0.005</f>
        <v>56628111.038190402</v>
      </c>
      <c r="W186" s="41">
        <v>0</v>
      </c>
      <c r="X186" s="41">
        <f t="shared" si="193"/>
        <v>200</v>
      </c>
      <c r="Y186" s="41">
        <v>450</v>
      </c>
      <c r="Z186" s="27">
        <v>0</v>
      </c>
      <c r="AA186" s="41">
        <v>20</v>
      </c>
      <c r="AB186" s="41">
        <f t="shared" si="198"/>
        <v>13370.56875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6.0999999999999999E-2</v>
      </c>
      <c r="M187" s="21" t="s">
        <v>221</v>
      </c>
      <c r="P187" s="41">
        <f t="shared" si="195"/>
        <v>11341427556.274185</v>
      </c>
      <c r="Q187" s="41">
        <f t="shared" si="196"/>
        <v>332973.29290455952</v>
      </c>
      <c r="R187" s="41">
        <f t="shared" si="197"/>
        <v>11891903318.019985</v>
      </c>
      <c r="S187" s="27">
        <v>100</v>
      </c>
      <c r="T187" s="52">
        <v>450</v>
      </c>
      <c r="U187" s="57">
        <v>0.5</v>
      </c>
      <c r="V187" s="27">
        <f t="shared" si="199"/>
        <v>59459516.590099931</v>
      </c>
      <c r="W187" s="41">
        <v>0</v>
      </c>
      <c r="X187" s="41">
        <f t="shared" si="193"/>
        <v>200</v>
      </c>
      <c r="Y187" s="41">
        <v>460</v>
      </c>
      <c r="Z187" s="27">
        <v>0</v>
      </c>
      <c r="AA187" s="41">
        <v>20</v>
      </c>
      <c r="AB187" s="41">
        <f t="shared" si="198"/>
        <v>14039.097187500001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6.0999999999999999E-2</v>
      </c>
      <c r="M188" s="21" t="s">
        <v>221</v>
      </c>
      <c r="P188" s="41">
        <f t="shared" si="195"/>
        <v>11908498934.087894</v>
      </c>
      <c r="Q188" s="41">
        <f t="shared" si="196"/>
        <v>349621.95754978753</v>
      </c>
      <c r="R188" s="41">
        <f t="shared" si="197"/>
        <v>12486498483.920984</v>
      </c>
      <c r="S188" s="27">
        <v>100</v>
      </c>
      <c r="T188" s="52">
        <v>450</v>
      </c>
      <c r="U188" s="57">
        <v>0.5</v>
      </c>
      <c r="V188" s="27">
        <f t="shared" si="199"/>
        <v>62432492.41960492</v>
      </c>
      <c r="W188" s="41">
        <v>0</v>
      </c>
      <c r="X188" s="41">
        <f t="shared" si="193"/>
        <v>200</v>
      </c>
      <c r="Y188" s="41">
        <v>470</v>
      </c>
      <c r="Z188" s="27">
        <v>0</v>
      </c>
      <c r="AA188" s="41">
        <v>20</v>
      </c>
      <c r="AB188" s="41">
        <f t="shared" si="198"/>
        <v>14741.052046875002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6.0999999999999999E-2</v>
      </c>
      <c r="M189" s="21" t="s">
        <v>221</v>
      </c>
      <c r="P189" s="41">
        <f t="shared" si="195"/>
        <v>12503923880.79229</v>
      </c>
      <c r="Q189" s="41">
        <f t="shared" si="196"/>
        <v>367103.05542727694</v>
      </c>
      <c r="R189" s="41">
        <f t="shared" si="197"/>
        <v>13110823408.117035</v>
      </c>
      <c r="S189" s="27">
        <v>100</v>
      </c>
      <c r="T189" s="52">
        <v>450</v>
      </c>
      <c r="U189" s="57">
        <v>0.5</v>
      </c>
      <c r="V189" s="27">
        <f t="shared" si="199"/>
        <v>65554117.040585175</v>
      </c>
      <c r="W189" s="41">
        <v>0</v>
      </c>
      <c r="X189" s="41">
        <f t="shared" si="193"/>
        <v>200</v>
      </c>
      <c r="Y189" s="41">
        <v>480</v>
      </c>
      <c r="Z189" s="27">
        <v>0</v>
      </c>
      <c r="AA189" s="41">
        <v>20</v>
      </c>
      <c r="AB189" s="41">
        <f t="shared" si="198"/>
        <v>15478.104649218752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6.0999999999999999E-2</v>
      </c>
      <c r="M190" s="21" t="s">
        <v>221</v>
      </c>
      <c r="P190" s="41">
        <f t="shared" si="195"/>
        <v>13129120074.831905</v>
      </c>
      <c r="Q190" s="41">
        <f t="shared" si="196"/>
        <v>385458.20819864079</v>
      </c>
      <c r="R190" s="41">
        <f t="shared" si="197"/>
        <v>13766364578.522888</v>
      </c>
      <c r="S190" s="27">
        <v>100</v>
      </c>
      <c r="T190" s="52">
        <v>450</v>
      </c>
      <c r="U190" s="57">
        <v>0.5</v>
      </c>
      <c r="V190" s="27">
        <f t="shared" si="199"/>
        <v>68831822.892614439</v>
      </c>
      <c r="W190" s="41">
        <v>0</v>
      </c>
      <c r="X190" s="41">
        <f t="shared" si="193"/>
        <v>200</v>
      </c>
      <c r="Y190" s="41">
        <v>490</v>
      </c>
      <c r="Z190" s="27">
        <v>0</v>
      </c>
      <c r="AA190" s="41">
        <v>20</v>
      </c>
      <c r="AB190" s="41">
        <f t="shared" si="198"/>
        <v>16252.009881679691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6.0999999999999999E-2</v>
      </c>
      <c r="M191" s="21" t="s">
        <v>221</v>
      </c>
      <c r="P191" s="41">
        <f t="shared" si="195"/>
        <v>13785576078.573502</v>
      </c>
      <c r="Q191" s="41">
        <f t="shared" si="196"/>
        <v>404731.11860857287</v>
      </c>
      <c r="R191" s="41">
        <f t="shared" si="197"/>
        <v>14454682807.449034</v>
      </c>
      <c r="S191" s="27">
        <v>100</v>
      </c>
      <c r="T191" s="52">
        <v>450</v>
      </c>
      <c r="U191" s="57">
        <v>0.5</v>
      </c>
      <c r="V191" s="27">
        <f t="shared" si="199"/>
        <v>72273414.037245169</v>
      </c>
      <c r="W191" s="41">
        <v>0</v>
      </c>
      <c r="X191" s="41">
        <f t="shared" si="193"/>
        <v>200</v>
      </c>
      <c r="Y191" s="41">
        <v>500</v>
      </c>
      <c r="Z191" s="27">
        <v>0</v>
      </c>
      <c r="AA191" s="41">
        <v>20</v>
      </c>
      <c r="AB191" s="41">
        <f t="shared" si="198"/>
        <v>17064.610375763677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6.0999999999999999E-2</v>
      </c>
      <c r="M192" s="21" t="s">
        <v>221</v>
      </c>
      <c r="P192" s="41">
        <f t="shared" si="195"/>
        <v>14474854882.502178</v>
      </c>
      <c r="Q192" s="41">
        <f t="shared" si="196"/>
        <v>424967.67453900154</v>
      </c>
      <c r="R192" s="41">
        <f t="shared" si="197"/>
        <v>15177416947.821486</v>
      </c>
      <c r="S192" s="27">
        <v>100</v>
      </c>
      <c r="T192" s="52">
        <v>450</v>
      </c>
      <c r="U192" s="57">
        <v>0.5</v>
      </c>
      <c r="V192" s="27">
        <f t="shared" si="199"/>
        <v>75887084.73910743</v>
      </c>
      <c r="W192" s="41">
        <v>0</v>
      </c>
      <c r="X192" s="41">
        <f t="shared" si="193"/>
        <v>200</v>
      </c>
      <c r="Y192" s="41">
        <v>510</v>
      </c>
      <c r="Z192" s="27">
        <v>0</v>
      </c>
      <c r="AA192" s="41">
        <v>20</v>
      </c>
      <c r="AB192" s="41">
        <f t="shared" si="198"/>
        <v>17917.84089455186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6.0999999999999999E-2</v>
      </c>
      <c r="M193" s="21" t="s">
        <v>221</v>
      </c>
      <c r="P193" s="41">
        <f t="shared" si="195"/>
        <v>15198597626.627287</v>
      </c>
      <c r="Q193" s="41">
        <f t="shared" si="196"/>
        <v>446216.05826595164</v>
      </c>
      <c r="R193" s="41">
        <f t="shared" si="197"/>
        <v>15936287795.212561</v>
      </c>
      <c r="S193" s="27">
        <v>100</v>
      </c>
      <c r="T193" s="52">
        <v>450</v>
      </c>
      <c r="U193" s="57">
        <v>0.5</v>
      </c>
      <c r="V193" s="27">
        <f t="shared" si="199"/>
        <v>79681438.976062804</v>
      </c>
      <c r="W193" s="41">
        <v>0</v>
      </c>
      <c r="X193" s="41">
        <f t="shared" si="193"/>
        <v>200</v>
      </c>
      <c r="Y193" s="41">
        <v>520</v>
      </c>
      <c r="Z193" s="27">
        <v>0</v>
      </c>
      <c r="AA193" s="41">
        <v>20</v>
      </c>
      <c r="AB193" s="41">
        <f t="shared" si="198"/>
        <v>18813.732939279453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6.0999999999999999E-2</v>
      </c>
      <c r="M194" s="21" t="s">
        <v>221</v>
      </c>
      <c r="P194" s="41">
        <f t="shared" si="195"/>
        <v>15958527507.958652</v>
      </c>
      <c r="Q194" s="41">
        <f t="shared" si="196"/>
        <v>468526.86117924924</v>
      </c>
      <c r="R194" s="41">
        <f t="shared" si="197"/>
        <v>16733102184.97319</v>
      </c>
      <c r="S194" s="27">
        <v>100</v>
      </c>
      <c r="T194" s="52">
        <v>450</v>
      </c>
      <c r="U194" s="57">
        <v>0.5</v>
      </c>
      <c r="V194" s="27">
        <f t="shared" si="199"/>
        <v>83665510.924865946</v>
      </c>
      <c r="W194" s="41">
        <v>0</v>
      </c>
      <c r="X194" s="41">
        <f t="shared" si="193"/>
        <v>200</v>
      </c>
      <c r="Y194" s="41">
        <v>530</v>
      </c>
      <c r="Z194" s="27">
        <v>0</v>
      </c>
      <c r="AA194" s="41">
        <v>20</v>
      </c>
      <c r="AB194" s="41">
        <f t="shared" si="198"/>
        <v>19754.419586243424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6.0999999999999999E-2</v>
      </c>
      <c r="M195" s="21" t="s">
        <v>221</v>
      </c>
      <c r="P195" s="41">
        <f t="shared" si="195"/>
        <v>16756453883.356586</v>
      </c>
      <c r="Q195" s="41">
        <f t="shared" si="196"/>
        <v>491953.20423821174</v>
      </c>
      <c r="R195" s="41">
        <f t="shared" si="197"/>
        <v>17569757294.221851</v>
      </c>
      <c r="S195" s="27">
        <v>100</v>
      </c>
      <c r="T195" s="52">
        <v>450</v>
      </c>
      <c r="U195" s="57">
        <v>0.5</v>
      </c>
      <c r="V195" s="27">
        <f t="shared" si="199"/>
        <v>87848786.471109256</v>
      </c>
      <c r="W195" s="41">
        <v>0</v>
      </c>
      <c r="X195" s="41">
        <f t="shared" si="193"/>
        <v>200</v>
      </c>
      <c r="Y195" s="41">
        <v>540</v>
      </c>
      <c r="Z195" s="27">
        <v>0</v>
      </c>
      <c r="AA195" s="41">
        <v>20</v>
      </c>
      <c r="AB195" s="41">
        <f t="shared" si="198"/>
        <v>20742.140565555597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6.0999999999999999E-2</v>
      </c>
      <c r="M196" s="21" t="s">
        <v>221</v>
      </c>
      <c r="P196" s="41">
        <f t="shared" si="195"/>
        <v>17594276577.524418</v>
      </c>
      <c r="Q196" s="41">
        <f t="shared" si="196"/>
        <v>516550.86445012235</v>
      </c>
      <c r="R196" s="41">
        <f t="shared" si="197"/>
        <v>18448245158.932945</v>
      </c>
      <c r="S196" s="27">
        <v>100</v>
      </c>
      <c r="T196" s="52">
        <v>450</v>
      </c>
      <c r="U196" s="57">
        <v>0.5</v>
      </c>
      <c r="V196" s="27">
        <f t="shared" si="199"/>
        <v>92241225.794664726</v>
      </c>
      <c r="W196" s="41">
        <v>0</v>
      </c>
      <c r="X196" s="41">
        <f t="shared" si="193"/>
        <v>200</v>
      </c>
      <c r="Y196" s="41">
        <v>550</v>
      </c>
      <c r="Z196" s="27">
        <v>0</v>
      </c>
      <c r="AA196" s="41">
        <v>20</v>
      </c>
      <c r="AB196" s="41">
        <f t="shared" si="198"/>
        <v>21779.247593833377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6.0999999999999999E-2</v>
      </c>
      <c r="M197" s="21" t="s">
        <v>221</v>
      </c>
      <c r="P197" s="41">
        <f t="shared" si="195"/>
        <v>18473990406.400639</v>
      </c>
      <c r="Q197" s="41">
        <f t="shared" si="196"/>
        <v>542378.40767262853</v>
      </c>
      <c r="R197" s="41">
        <f t="shared" si="197"/>
        <v>19370657416.879593</v>
      </c>
      <c r="S197" s="27">
        <v>100</v>
      </c>
      <c r="T197" s="52">
        <v>450</v>
      </c>
      <c r="U197" s="57">
        <v>0.5</v>
      </c>
      <c r="V197" s="27">
        <f t="shared" si="199"/>
        <v>96853287.084397972</v>
      </c>
      <c r="W197" s="41">
        <v>0</v>
      </c>
      <c r="X197" s="41">
        <f t="shared" si="193"/>
        <v>200</v>
      </c>
      <c r="Y197" s="41">
        <v>560</v>
      </c>
      <c r="Z197" s="27">
        <v>0</v>
      </c>
      <c r="AA197" s="41">
        <v>20</v>
      </c>
      <c r="AB197" s="41">
        <f t="shared" si="198"/>
        <v>22868.209973525049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6.0999999999999999E-2</v>
      </c>
      <c r="M198" s="21" t="s">
        <v>221</v>
      </c>
      <c r="P198" s="41">
        <f t="shared" si="195"/>
        <v>19397689926.720673</v>
      </c>
      <c r="Q198" s="41">
        <f t="shared" si="196"/>
        <v>569497.32805626001</v>
      </c>
      <c r="R198" s="41">
        <f t="shared" si="197"/>
        <v>20339190287.723572</v>
      </c>
      <c r="S198" s="27">
        <v>100</v>
      </c>
      <c r="T198" s="52">
        <v>450</v>
      </c>
      <c r="U198" s="57">
        <v>0.5</v>
      </c>
      <c r="V198" s="27">
        <f t="shared" si="199"/>
        <v>101695951.43861786</v>
      </c>
      <c r="W198" s="41">
        <v>0</v>
      </c>
      <c r="X198" s="41">
        <f t="shared" si="193"/>
        <v>200</v>
      </c>
      <c r="Y198" s="41">
        <v>570</v>
      </c>
      <c r="Z198" s="27">
        <v>0</v>
      </c>
      <c r="AA198" s="41">
        <v>20</v>
      </c>
      <c r="AB198" s="41">
        <f t="shared" si="198"/>
        <v>24011.620472201303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6.0999999999999999E-2</v>
      </c>
      <c r="M199" s="21" t="s">
        <v>221</v>
      </c>
      <c r="P199" s="41">
        <f t="shared" si="195"/>
        <v>20367574423.056705</v>
      </c>
      <c r="Q199" s="41">
        <f t="shared" si="196"/>
        <v>597972.19445907301</v>
      </c>
      <c r="R199" s="41">
        <f t="shared" si="197"/>
        <v>21356149802.109753</v>
      </c>
      <c r="S199" s="27">
        <v>100</v>
      </c>
      <c r="T199" s="52">
        <v>450</v>
      </c>
      <c r="U199" s="57">
        <v>0.5</v>
      </c>
      <c r="V199" s="27">
        <f t="shared" si="199"/>
        <v>106780749.01054877</v>
      </c>
      <c r="W199" s="41">
        <v>0</v>
      </c>
      <c r="X199" s="41">
        <f t="shared" si="193"/>
        <v>200</v>
      </c>
      <c r="Y199" s="41">
        <v>580</v>
      </c>
      <c r="Z199" s="27">
        <v>0</v>
      </c>
      <c r="AA199" s="41">
        <v>20</v>
      </c>
      <c r="AB199" s="41">
        <f t="shared" si="198"/>
        <v>25212.201495811369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6.0999999999999999E-2</v>
      </c>
      <c r="M200" s="21" t="s">
        <v>221</v>
      </c>
      <c r="P200" s="41">
        <f t="shared" si="195"/>
        <v>21385953144.209541</v>
      </c>
      <c r="Q200" s="41">
        <f t="shared" si="196"/>
        <v>627870.80418202665</v>
      </c>
      <c r="R200" s="41">
        <f t="shared" si="197"/>
        <v>22423957292.21524</v>
      </c>
      <c r="S200" s="27">
        <v>100</v>
      </c>
      <c r="T200" s="52">
        <v>450</v>
      </c>
      <c r="U200" s="57">
        <v>0.5</v>
      </c>
      <c r="V200" s="27">
        <f t="shared" si="199"/>
        <v>112119786.4610762</v>
      </c>
      <c r="W200" s="41">
        <v>0</v>
      </c>
      <c r="X200" s="41">
        <f t="shared" si="193"/>
        <v>200</v>
      </c>
      <c r="Y200" s="41">
        <v>590</v>
      </c>
      <c r="Z200" s="27">
        <v>0</v>
      </c>
      <c r="AA200" s="41">
        <v>20</v>
      </c>
      <c r="AB200" s="41">
        <f t="shared" si="198"/>
        <v>26472.811570601938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6.0999999999999999E-2</v>
      </c>
      <c r="M201" s="21" t="s">
        <v>221</v>
      </c>
      <c r="P201" s="41">
        <f t="shared" si="195"/>
        <v>22455250801.420021</v>
      </c>
      <c r="Q201" s="41">
        <f t="shared" si="196"/>
        <v>659264.34439112805</v>
      </c>
      <c r="R201" s="41">
        <f t="shared" si="197"/>
        <v>23545155156.826004</v>
      </c>
      <c r="S201" s="27">
        <v>100</v>
      </c>
      <c r="T201" s="52">
        <v>450</v>
      </c>
      <c r="U201" s="57">
        <v>0.5</v>
      </c>
      <c r="V201" s="27">
        <f t="shared" si="199"/>
        <v>117725775.78413002</v>
      </c>
      <c r="W201" s="41">
        <v>0</v>
      </c>
      <c r="X201" s="41">
        <f t="shared" si="193"/>
        <v>200</v>
      </c>
      <c r="Y201" s="41">
        <v>600</v>
      </c>
      <c r="Z201" s="27">
        <v>0</v>
      </c>
      <c r="AA201" s="41">
        <v>20</v>
      </c>
      <c r="AB201" s="41">
        <f t="shared" si="198"/>
        <v>27796.452149132037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6.0999999999999999E-2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200">R182</f>
        <v>9317617418.7817459</v>
      </c>
      <c r="S202" s="41">
        <f t="shared" si="200"/>
        <v>100</v>
      </c>
      <c r="T202" s="41">
        <f t="shared" si="200"/>
        <v>450</v>
      </c>
      <c r="U202" s="57">
        <v>0.5</v>
      </c>
      <c r="V202" s="41">
        <f t="shared" si="200"/>
        <v>46588087.093908727</v>
      </c>
      <c r="W202" s="41">
        <f t="shared" si="200"/>
        <v>0</v>
      </c>
      <c r="X202" s="41">
        <f t="shared" si="200"/>
        <v>200</v>
      </c>
      <c r="Y202" s="41">
        <f t="shared" si="200"/>
        <v>410</v>
      </c>
      <c r="Z202" s="41">
        <f t="shared" si="200"/>
        <v>0</v>
      </c>
      <c r="AA202" s="41">
        <f t="shared" si="200"/>
        <v>20</v>
      </c>
      <c r="AB202" s="41">
        <f>AB182</f>
        <v>11000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6.0999999999999999E-2</v>
      </c>
      <c r="M203" s="21" t="s">
        <v>221</v>
      </c>
      <c r="P203" s="41">
        <f t="shared" ref="P203:AB203" si="201">P183</f>
        <v>9330620518.2196178</v>
      </c>
      <c r="Q203" s="41">
        <f t="shared" si="201"/>
        <v>273937.95211218327</v>
      </c>
      <c r="R203" s="41">
        <f t="shared" si="201"/>
        <v>9783498289.7208328</v>
      </c>
      <c r="S203" s="41">
        <f t="shared" si="201"/>
        <v>100</v>
      </c>
      <c r="T203" s="41">
        <f t="shared" si="201"/>
        <v>450</v>
      </c>
      <c r="U203" s="57">
        <v>0.5</v>
      </c>
      <c r="V203" s="41">
        <f t="shared" si="201"/>
        <v>48917491.448604167</v>
      </c>
      <c r="W203" s="41">
        <f t="shared" si="201"/>
        <v>0</v>
      </c>
      <c r="X203" s="41">
        <f t="shared" si="201"/>
        <v>200</v>
      </c>
      <c r="Y203" s="41">
        <f t="shared" si="201"/>
        <v>420</v>
      </c>
      <c r="Z203" s="41">
        <f t="shared" si="201"/>
        <v>0</v>
      </c>
      <c r="AA203" s="41">
        <f t="shared" si="201"/>
        <v>20</v>
      </c>
      <c r="AB203" s="41">
        <f t="shared" si="201"/>
        <v>11550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6.0999999999999999E-2</v>
      </c>
      <c r="M204" s="21" t="s">
        <v>221</v>
      </c>
      <c r="P204" s="41">
        <f t="shared" ref="P204:AB204" si="202">P184</f>
        <v>9797151544.1306</v>
      </c>
      <c r="Q204" s="41">
        <f t="shared" si="202"/>
        <v>287634.84971779241</v>
      </c>
      <c r="R204" s="41">
        <f t="shared" si="202"/>
        <v>10272673204.206875</v>
      </c>
      <c r="S204" s="41">
        <f t="shared" si="202"/>
        <v>100</v>
      </c>
      <c r="T204" s="41">
        <f t="shared" si="202"/>
        <v>450</v>
      </c>
      <c r="U204" s="57">
        <v>0.5</v>
      </c>
      <c r="V204" s="41">
        <f t="shared" si="202"/>
        <v>51363366.021034375</v>
      </c>
      <c r="W204" s="41">
        <f t="shared" si="202"/>
        <v>0</v>
      </c>
      <c r="X204" s="41">
        <f t="shared" si="202"/>
        <v>200</v>
      </c>
      <c r="Y204" s="41">
        <f t="shared" si="202"/>
        <v>430</v>
      </c>
      <c r="Z204" s="41">
        <f t="shared" si="202"/>
        <v>0</v>
      </c>
      <c r="AA204" s="41">
        <f t="shared" si="202"/>
        <v>20</v>
      </c>
      <c r="AB204" s="41">
        <f t="shared" si="202"/>
        <v>12127.5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6.0999999999999999E-2</v>
      </c>
      <c r="M205" s="21" t="s">
        <v>221</v>
      </c>
      <c r="P205" s="41">
        <f t="shared" ref="P205:AB205" si="203">P185</f>
        <v>10287009121.33713</v>
      </c>
      <c r="Q205" s="41">
        <f t="shared" si="203"/>
        <v>302016.59220368206</v>
      </c>
      <c r="R205" s="41">
        <f t="shared" si="203"/>
        <v>10786306864.417219</v>
      </c>
      <c r="S205" s="41">
        <f t="shared" si="203"/>
        <v>100</v>
      </c>
      <c r="T205" s="41">
        <f t="shared" si="203"/>
        <v>450</v>
      </c>
      <c r="U205" s="57">
        <v>0.5</v>
      </c>
      <c r="V205" s="41">
        <f t="shared" si="203"/>
        <v>53931534.322086096</v>
      </c>
      <c r="W205" s="41">
        <f t="shared" si="203"/>
        <v>0</v>
      </c>
      <c r="X205" s="41">
        <f t="shared" si="203"/>
        <v>200</v>
      </c>
      <c r="Y205" s="41">
        <f t="shared" si="203"/>
        <v>440</v>
      </c>
      <c r="Z205" s="41">
        <f t="shared" si="203"/>
        <v>0</v>
      </c>
      <c r="AA205" s="41">
        <f t="shared" si="203"/>
        <v>20</v>
      </c>
      <c r="AB205" s="41">
        <f t="shared" si="203"/>
        <v>12733.875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6.0999999999999999E-2</v>
      </c>
      <c r="M206" s="21" t="s">
        <v>221</v>
      </c>
      <c r="P206" s="41">
        <f t="shared" ref="P206:AB206" si="204">P186</f>
        <v>10801359577.403986</v>
      </c>
      <c r="Q206" s="41">
        <f t="shared" si="204"/>
        <v>317117.42181386618</v>
      </c>
      <c r="R206" s="41">
        <f t="shared" si="204"/>
        <v>11325622207.638081</v>
      </c>
      <c r="S206" s="41">
        <f t="shared" si="204"/>
        <v>100</v>
      </c>
      <c r="T206" s="41">
        <f t="shared" si="204"/>
        <v>450</v>
      </c>
      <c r="U206" s="57">
        <v>0.5</v>
      </c>
      <c r="V206" s="41">
        <f t="shared" si="204"/>
        <v>56628111.038190402</v>
      </c>
      <c r="W206" s="41">
        <f t="shared" si="204"/>
        <v>0</v>
      </c>
      <c r="X206" s="41">
        <f t="shared" si="204"/>
        <v>200</v>
      </c>
      <c r="Y206" s="41">
        <f t="shared" si="204"/>
        <v>450</v>
      </c>
      <c r="Z206" s="41">
        <f t="shared" si="204"/>
        <v>0</v>
      </c>
      <c r="AA206" s="41">
        <f t="shared" si="204"/>
        <v>20</v>
      </c>
      <c r="AB206" s="41">
        <f t="shared" si="204"/>
        <v>13370.56875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6.0999999999999999E-2</v>
      </c>
      <c r="M207" s="21" t="s">
        <v>221</v>
      </c>
      <c r="P207" s="41">
        <f t="shared" ref="P207:AB207" si="205">P187</f>
        <v>11341427556.274185</v>
      </c>
      <c r="Q207" s="41">
        <f t="shared" si="205"/>
        <v>332973.29290455952</v>
      </c>
      <c r="R207" s="41">
        <f t="shared" si="205"/>
        <v>11891903318.019985</v>
      </c>
      <c r="S207" s="41">
        <f t="shared" si="205"/>
        <v>100</v>
      </c>
      <c r="T207" s="41">
        <f t="shared" si="205"/>
        <v>450</v>
      </c>
      <c r="U207" s="57">
        <v>0.5</v>
      </c>
      <c r="V207" s="41">
        <f t="shared" si="205"/>
        <v>59459516.590099931</v>
      </c>
      <c r="W207" s="41">
        <f t="shared" si="205"/>
        <v>0</v>
      </c>
      <c r="X207" s="41">
        <f t="shared" si="205"/>
        <v>200</v>
      </c>
      <c r="Y207" s="41">
        <f t="shared" si="205"/>
        <v>460</v>
      </c>
      <c r="Z207" s="41">
        <f t="shared" si="205"/>
        <v>0</v>
      </c>
      <c r="AA207" s="41">
        <f t="shared" si="205"/>
        <v>20</v>
      </c>
      <c r="AB207" s="41">
        <f t="shared" si="205"/>
        <v>14039.097187500001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6.0999999999999999E-2</v>
      </c>
      <c r="M208" s="21" t="s">
        <v>221</v>
      </c>
      <c r="P208" s="41">
        <f t="shared" ref="P208:AB208" si="206">P188</f>
        <v>11908498934.087894</v>
      </c>
      <c r="Q208" s="41">
        <f t="shared" si="206"/>
        <v>349621.95754978753</v>
      </c>
      <c r="R208" s="41">
        <f t="shared" si="206"/>
        <v>12486498483.920984</v>
      </c>
      <c r="S208" s="41">
        <f t="shared" si="206"/>
        <v>100</v>
      </c>
      <c r="T208" s="41">
        <f t="shared" si="206"/>
        <v>450</v>
      </c>
      <c r="U208" s="57">
        <v>0.5</v>
      </c>
      <c r="V208" s="41">
        <f t="shared" si="206"/>
        <v>62432492.41960492</v>
      </c>
      <c r="W208" s="41">
        <f t="shared" si="206"/>
        <v>0</v>
      </c>
      <c r="X208" s="41">
        <f t="shared" si="206"/>
        <v>200</v>
      </c>
      <c r="Y208" s="41">
        <f t="shared" si="206"/>
        <v>470</v>
      </c>
      <c r="Z208" s="41">
        <f t="shared" si="206"/>
        <v>0</v>
      </c>
      <c r="AA208" s="41">
        <f t="shared" si="206"/>
        <v>20</v>
      </c>
      <c r="AB208" s="41">
        <f t="shared" si="206"/>
        <v>14741.052046875002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6.0999999999999999E-2</v>
      </c>
      <c r="M209" s="21" t="s">
        <v>221</v>
      </c>
      <c r="P209" s="41">
        <f t="shared" ref="P209:AB209" si="207">P189</f>
        <v>12503923880.79229</v>
      </c>
      <c r="Q209" s="41">
        <f t="shared" si="207"/>
        <v>367103.05542727694</v>
      </c>
      <c r="R209" s="41">
        <f t="shared" si="207"/>
        <v>13110823408.117035</v>
      </c>
      <c r="S209" s="41">
        <f t="shared" si="207"/>
        <v>100</v>
      </c>
      <c r="T209" s="41">
        <f t="shared" si="207"/>
        <v>450</v>
      </c>
      <c r="U209" s="57">
        <v>0.5</v>
      </c>
      <c r="V209" s="41">
        <f t="shared" si="207"/>
        <v>65554117.040585175</v>
      </c>
      <c r="W209" s="41">
        <f t="shared" si="207"/>
        <v>0</v>
      </c>
      <c r="X209" s="41">
        <f t="shared" si="207"/>
        <v>200</v>
      </c>
      <c r="Y209" s="41">
        <f t="shared" si="207"/>
        <v>480</v>
      </c>
      <c r="Z209" s="41">
        <f t="shared" si="207"/>
        <v>0</v>
      </c>
      <c r="AA209" s="41">
        <f t="shared" si="207"/>
        <v>20</v>
      </c>
      <c r="AB209" s="41">
        <f t="shared" si="207"/>
        <v>15478.104649218752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6.0999999999999999E-2</v>
      </c>
      <c r="M210" s="21" t="s">
        <v>221</v>
      </c>
      <c r="P210" s="41">
        <f t="shared" ref="P210:AB210" si="208">P190</f>
        <v>13129120074.831905</v>
      </c>
      <c r="Q210" s="41">
        <f t="shared" si="208"/>
        <v>385458.20819864079</v>
      </c>
      <c r="R210" s="41">
        <f t="shared" si="208"/>
        <v>13766364578.522888</v>
      </c>
      <c r="S210" s="41">
        <f t="shared" si="208"/>
        <v>100</v>
      </c>
      <c r="T210" s="41">
        <f t="shared" si="208"/>
        <v>450</v>
      </c>
      <c r="U210" s="57">
        <v>0.5</v>
      </c>
      <c r="V210" s="41">
        <f t="shared" si="208"/>
        <v>68831822.892614439</v>
      </c>
      <c r="W210" s="41">
        <f t="shared" si="208"/>
        <v>0</v>
      </c>
      <c r="X210" s="41">
        <f t="shared" si="208"/>
        <v>200</v>
      </c>
      <c r="Y210" s="41">
        <f t="shared" si="208"/>
        <v>490</v>
      </c>
      <c r="Z210" s="41">
        <f t="shared" si="208"/>
        <v>0</v>
      </c>
      <c r="AA210" s="41">
        <f t="shared" si="208"/>
        <v>20</v>
      </c>
      <c r="AB210" s="41">
        <f t="shared" si="208"/>
        <v>16252.009881679691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6.0999999999999999E-2</v>
      </c>
      <c r="M211" s="21" t="s">
        <v>221</v>
      </c>
      <c r="P211" s="41">
        <f t="shared" ref="P211:AB211" si="209">P191</f>
        <v>13785576078.573502</v>
      </c>
      <c r="Q211" s="41">
        <f t="shared" si="209"/>
        <v>404731.11860857287</v>
      </c>
      <c r="R211" s="41">
        <f t="shared" si="209"/>
        <v>14454682807.449034</v>
      </c>
      <c r="S211" s="41">
        <f t="shared" si="209"/>
        <v>100</v>
      </c>
      <c r="T211" s="41">
        <f t="shared" si="209"/>
        <v>450</v>
      </c>
      <c r="U211" s="57">
        <v>0.5</v>
      </c>
      <c r="V211" s="41">
        <f t="shared" si="209"/>
        <v>72273414.037245169</v>
      </c>
      <c r="W211" s="41">
        <f t="shared" si="209"/>
        <v>0</v>
      </c>
      <c r="X211" s="41">
        <f t="shared" si="209"/>
        <v>200</v>
      </c>
      <c r="Y211" s="41">
        <f t="shared" si="209"/>
        <v>500</v>
      </c>
      <c r="Z211" s="41">
        <f t="shared" si="209"/>
        <v>0</v>
      </c>
      <c r="AA211" s="41">
        <f t="shared" si="209"/>
        <v>20</v>
      </c>
      <c r="AB211" s="41">
        <f t="shared" si="209"/>
        <v>17064.610375763677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6.0999999999999999E-2</v>
      </c>
      <c r="M212" s="21" t="s">
        <v>221</v>
      </c>
      <c r="P212" s="41">
        <f t="shared" ref="P212:AB212" si="210">P192</f>
        <v>14474854882.502178</v>
      </c>
      <c r="Q212" s="41">
        <f t="shared" si="210"/>
        <v>424967.67453900154</v>
      </c>
      <c r="R212" s="41">
        <f t="shared" si="210"/>
        <v>15177416947.821486</v>
      </c>
      <c r="S212" s="41">
        <f t="shared" si="210"/>
        <v>100</v>
      </c>
      <c r="T212" s="41">
        <f t="shared" si="210"/>
        <v>450</v>
      </c>
      <c r="U212" s="57">
        <v>0.5</v>
      </c>
      <c r="V212" s="41">
        <f t="shared" si="210"/>
        <v>75887084.73910743</v>
      </c>
      <c r="W212" s="41">
        <f t="shared" si="210"/>
        <v>0</v>
      </c>
      <c r="X212" s="41">
        <f t="shared" si="210"/>
        <v>200</v>
      </c>
      <c r="Y212" s="41">
        <f t="shared" si="210"/>
        <v>510</v>
      </c>
      <c r="Z212" s="41">
        <f t="shared" si="210"/>
        <v>0</v>
      </c>
      <c r="AA212" s="41">
        <f t="shared" si="210"/>
        <v>20</v>
      </c>
      <c r="AB212" s="41">
        <f t="shared" si="210"/>
        <v>17917.84089455186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6.0999999999999999E-2</v>
      </c>
      <c r="M213" s="21" t="s">
        <v>221</v>
      </c>
      <c r="P213" s="41">
        <f t="shared" ref="P213:AB213" si="211">P193</f>
        <v>15198597626.627287</v>
      </c>
      <c r="Q213" s="41">
        <f t="shared" si="211"/>
        <v>446216.05826595164</v>
      </c>
      <c r="R213" s="41">
        <f t="shared" si="211"/>
        <v>15936287795.212561</v>
      </c>
      <c r="S213" s="41">
        <f t="shared" si="211"/>
        <v>100</v>
      </c>
      <c r="T213" s="41">
        <f t="shared" si="211"/>
        <v>450</v>
      </c>
      <c r="U213" s="57">
        <v>0.5</v>
      </c>
      <c r="V213" s="41">
        <f t="shared" si="211"/>
        <v>79681438.976062804</v>
      </c>
      <c r="W213" s="41">
        <f t="shared" si="211"/>
        <v>0</v>
      </c>
      <c r="X213" s="41">
        <f t="shared" si="211"/>
        <v>200</v>
      </c>
      <c r="Y213" s="41">
        <f t="shared" si="211"/>
        <v>520</v>
      </c>
      <c r="Z213" s="41">
        <f t="shared" si="211"/>
        <v>0</v>
      </c>
      <c r="AA213" s="41">
        <f t="shared" si="211"/>
        <v>20</v>
      </c>
      <c r="AB213" s="41">
        <f t="shared" si="211"/>
        <v>18813.732939279453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6.0999999999999999E-2</v>
      </c>
      <c r="M214" s="21" t="s">
        <v>221</v>
      </c>
      <c r="P214" s="41">
        <f t="shared" ref="P214:AB214" si="212">P194</f>
        <v>15958527507.958652</v>
      </c>
      <c r="Q214" s="41">
        <f t="shared" si="212"/>
        <v>468526.86117924924</v>
      </c>
      <c r="R214" s="41">
        <f t="shared" si="212"/>
        <v>16733102184.97319</v>
      </c>
      <c r="S214" s="41">
        <f t="shared" si="212"/>
        <v>100</v>
      </c>
      <c r="T214" s="41">
        <f t="shared" si="212"/>
        <v>450</v>
      </c>
      <c r="U214" s="57">
        <v>0.5</v>
      </c>
      <c r="V214" s="41">
        <f t="shared" si="212"/>
        <v>83665510.924865946</v>
      </c>
      <c r="W214" s="41">
        <f t="shared" si="212"/>
        <v>0</v>
      </c>
      <c r="X214" s="41">
        <f t="shared" si="212"/>
        <v>200</v>
      </c>
      <c r="Y214" s="41">
        <f t="shared" si="212"/>
        <v>530</v>
      </c>
      <c r="Z214" s="41">
        <f t="shared" si="212"/>
        <v>0</v>
      </c>
      <c r="AA214" s="41">
        <f t="shared" si="212"/>
        <v>20</v>
      </c>
      <c r="AB214" s="41">
        <f t="shared" si="212"/>
        <v>19754.419586243424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6.0999999999999999E-2</v>
      </c>
      <c r="M215" s="21" t="s">
        <v>221</v>
      </c>
      <c r="P215" s="41">
        <f t="shared" ref="P215:AB215" si="213">P195</f>
        <v>16756453883.356586</v>
      </c>
      <c r="Q215" s="41">
        <f t="shared" si="213"/>
        <v>491953.20423821174</v>
      </c>
      <c r="R215" s="41">
        <f t="shared" si="213"/>
        <v>17569757294.221851</v>
      </c>
      <c r="S215" s="41">
        <f t="shared" si="213"/>
        <v>100</v>
      </c>
      <c r="T215" s="41">
        <f t="shared" si="213"/>
        <v>450</v>
      </c>
      <c r="U215" s="57">
        <v>0.5</v>
      </c>
      <c r="V215" s="41">
        <f t="shared" si="213"/>
        <v>87848786.471109256</v>
      </c>
      <c r="W215" s="41">
        <f t="shared" si="213"/>
        <v>0</v>
      </c>
      <c r="X215" s="41">
        <f t="shared" si="213"/>
        <v>200</v>
      </c>
      <c r="Y215" s="41">
        <f t="shared" si="213"/>
        <v>540</v>
      </c>
      <c r="Z215" s="41">
        <f t="shared" si="213"/>
        <v>0</v>
      </c>
      <c r="AA215" s="41">
        <f t="shared" si="213"/>
        <v>20</v>
      </c>
      <c r="AB215" s="41">
        <f t="shared" si="213"/>
        <v>20742.140565555597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6.0999999999999999E-2</v>
      </c>
      <c r="M216" s="21" t="s">
        <v>221</v>
      </c>
      <c r="P216" s="41">
        <f t="shared" ref="P216:AB216" si="214">P196</f>
        <v>17594276577.524418</v>
      </c>
      <c r="Q216" s="41">
        <f t="shared" si="214"/>
        <v>516550.86445012235</v>
      </c>
      <c r="R216" s="41">
        <f t="shared" si="214"/>
        <v>18448245158.932945</v>
      </c>
      <c r="S216" s="41">
        <f t="shared" si="214"/>
        <v>100</v>
      </c>
      <c r="T216" s="41">
        <f t="shared" si="214"/>
        <v>450</v>
      </c>
      <c r="U216" s="57">
        <v>0.5</v>
      </c>
      <c r="V216" s="41">
        <f t="shared" si="214"/>
        <v>92241225.794664726</v>
      </c>
      <c r="W216" s="41">
        <f t="shared" si="214"/>
        <v>0</v>
      </c>
      <c r="X216" s="41">
        <f t="shared" si="214"/>
        <v>200</v>
      </c>
      <c r="Y216" s="41">
        <f t="shared" si="214"/>
        <v>550</v>
      </c>
      <c r="Z216" s="41">
        <f t="shared" si="214"/>
        <v>0</v>
      </c>
      <c r="AA216" s="41">
        <f t="shared" si="214"/>
        <v>20</v>
      </c>
      <c r="AB216" s="41">
        <f t="shared" si="214"/>
        <v>21779.247593833377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6.0999999999999999E-2</v>
      </c>
      <c r="M217" s="21" t="s">
        <v>221</v>
      </c>
      <c r="P217" s="41">
        <f t="shared" ref="P217:AB217" si="215">P197</f>
        <v>18473990406.400639</v>
      </c>
      <c r="Q217" s="41">
        <f t="shared" si="215"/>
        <v>542378.40767262853</v>
      </c>
      <c r="R217" s="41">
        <f t="shared" si="215"/>
        <v>19370657416.879593</v>
      </c>
      <c r="S217" s="41">
        <f t="shared" si="215"/>
        <v>100</v>
      </c>
      <c r="T217" s="41">
        <f t="shared" si="215"/>
        <v>450</v>
      </c>
      <c r="U217" s="57">
        <v>0.5</v>
      </c>
      <c r="V217" s="41">
        <f t="shared" si="215"/>
        <v>96853287.084397972</v>
      </c>
      <c r="W217" s="41">
        <f t="shared" si="215"/>
        <v>0</v>
      </c>
      <c r="X217" s="41">
        <f t="shared" si="215"/>
        <v>200</v>
      </c>
      <c r="Y217" s="41">
        <f t="shared" si="215"/>
        <v>560</v>
      </c>
      <c r="Z217" s="41">
        <f t="shared" si="215"/>
        <v>0</v>
      </c>
      <c r="AA217" s="41">
        <f t="shared" si="215"/>
        <v>20</v>
      </c>
      <c r="AB217" s="41">
        <f t="shared" si="215"/>
        <v>22868.209973525049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6.0999999999999999E-2</v>
      </c>
      <c r="M218" s="21" t="s">
        <v>221</v>
      </c>
      <c r="P218" s="41">
        <f t="shared" ref="P218:AB218" si="216">P198</f>
        <v>19397689926.720673</v>
      </c>
      <c r="Q218" s="41">
        <f t="shared" si="216"/>
        <v>569497.32805626001</v>
      </c>
      <c r="R218" s="41">
        <f t="shared" si="216"/>
        <v>20339190287.723572</v>
      </c>
      <c r="S218" s="41">
        <f t="shared" si="216"/>
        <v>100</v>
      </c>
      <c r="T218" s="41">
        <f t="shared" si="216"/>
        <v>450</v>
      </c>
      <c r="U218" s="57">
        <v>0.5</v>
      </c>
      <c r="V218" s="41">
        <f t="shared" si="216"/>
        <v>101695951.43861786</v>
      </c>
      <c r="W218" s="41">
        <f t="shared" si="216"/>
        <v>0</v>
      </c>
      <c r="X218" s="41">
        <f t="shared" si="216"/>
        <v>200</v>
      </c>
      <c r="Y218" s="41">
        <f t="shared" si="216"/>
        <v>570</v>
      </c>
      <c r="Z218" s="41">
        <f t="shared" si="216"/>
        <v>0</v>
      </c>
      <c r="AA218" s="41">
        <f t="shared" si="216"/>
        <v>20</v>
      </c>
      <c r="AB218" s="41">
        <f t="shared" si="216"/>
        <v>24011.620472201303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6.0999999999999999E-2</v>
      </c>
      <c r="M219" s="21" t="s">
        <v>221</v>
      </c>
      <c r="P219" s="41">
        <f t="shared" ref="P219:AB219" si="217">P199</f>
        <v>20367574423.056705</v>
      </c>
      <c r="Q219" s="41">
        <f t="shared" si="217"/>
        <v>597972.19445907301</v>
      </c>
      <c r="R219" s="41">
        <f t="shared" si="217"/>
        <v>21356149802.109753</v>
      </c>
      <c r="S219" s="41">
        <f t="shared" si="217"/>
        <v>100</v>
      </c>
      <c r="T219" s="41">
        <f t="shared" si="217"/>
        <v>450</v>
      </c>
      <c r="U219" s="57">
        <v>0.5</v>
      </c>
      <c r="V219" s="41">
        <f t="shared" si="217"/>
        <v>106780749.01054877</v>
      </c>
      <c r="W219" s="41">
        <f t="shared" si="217"/>
        <v>0</v>
      </c>
      <c r="X219" s="41">
        <f t="shared" si="217"/>
        <v>200</v>
      </c>
      <c r="Y219" s="41">
        <f t="shared" si="217"/>
        <v>580</v>
      </c>
      <c r="Z219" s="41">
        <f t="shared" si="217"/>
        <v>0</v>
      </c>
      <c r="AA219" s="41">
        <f t="shared" si="217"/>
        <v>20</v>
      </c>
      <c r="AB219" s="41">
        <f t="shared" si="217"/>
        <v>25212.201495811369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6.0999999999999999E-2</v>
      </c>
      <c r="M220" s="21" t="s">
        <v>221</v>
      </c>
      <c r="P220" s="41">
        <f t="shared" ref="P220:AB220" si="218">P200</f>
        <v>21385953144.209541</v>
      </c>
      <c r="Q220" s="41">
        <f t="shared" si="218"/>
        <v>627870.80418202665</v>
      </c>
      <c r="R220" s="41">
        <f t="shared" si="218"/>
        <v>22423957292.21524</v>
      </c>
      <c r="S220" s="41">
        <f t="shared" si="218"/>
        <v>100</v>
      </c>
      <c r="T220" s="41">
        <f t="shared" si="218"/>
        <v>450</v>
      </c>
      <c r="U220" s="57">
        <v>0.5</v>
      </c>
      <c r="V220" s="41">
        <f t="shared" si="218"/>
        <v>112119786.4610762</v>
      </c>
      <c r="W220" s="41">
        <f t="shared" si="218"/>
        <v>0</v>
      </c>
      <c r="X220" s="41">
        <f t="shared" si="218"/>
        <v>200</v>
      </c>
      <c r="Y220" s="41">
        <f t="shared" si="218"/>
        <v>590</v>
      </c>
      <c r="Z220" s="41">
        <f t="shared" si="218"/>
        <v>0</v>
      </c>
      <c r="AA220" s="41">
        <f t="shared" si="218"/>
        <v>20</v>
      </c>
      <c r="AB220" s="41">
        <f t="shared" si="218"/>
        <v>26472.811570601938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6.0999999999999999E-2</v>
      </c>
      <c r="M221" s="21" t="s">
        <v>221</v>
      </c>
      <c r="P221" s="41">
        <f t="shared" ref="P221:AB221" si="219">P201</f>
        <v>22455250801.420021</v>
      </c>
      <c r="Q221" s="41">
        <f t="shared" si="219"/>
        <v>659264.34439112805</v>
      </c>
      <c r="R221" s="41">
        <f t="shared" si="219"/>
        <v>23545155156.826004</v>
      </c>
      <c r="S221" s="41">
        <f t="shared" si="219"/>
        <v>100</v>
      </c>
      <c r="T221" s="41">
        <f t="shared" si="219"/>
        <v>450</v>
      </c>
      <c r="U221" s="57">
        <v>0.5</v>
      </c>
      <c r="V221" s="41">
        <f t="shared" si="219"/>
        <v>117725775.78413002</v>
      </c>
      <c r="W221" s="41">
        <f t="shared" si="219"/>
        <v>0</v>
      </c>
      <c r="X221" s="41">
        <f t="shared" si="219"/>
        <v>200</v>
      </c>
      <c r="Y221" s="41">
        <f t="shared" si="219"/>
        <v>600</v>
      </c>
      <c r="Z221" s="41">
        <f t="shared" si="219"/>
        <v>0</v>
      </c>
      <c r="AA221" s="41">
        <f t="shared" si="219"/>
        <v>20</v>
      </c>
      <c r="AB221" s="41">
        <f t="shared" si="219"/>
        <v>27796.452149132037</v>
      </c>
      <c r="AC221" s="41">
        <v>20</v>
      </c>
      <c r="AD221" s="41">
        <v>200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5:AD10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2020-03-16T08:54:14Z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