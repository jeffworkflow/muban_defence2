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B2F81EE0-F736-45A5-914E-1467D4C4D4E2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0" hidden="1">Sheet3!$A$3:$L$3</definedName>
    <definedName name="_xlnm._FilterDatabase" localSheetId="2" hidden="1">自定义lni!$A$3:$AD$62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9" i="29" l="1"/>
  <c r="R9" i="29"/>
  <c r="P9" i="29"/>
  <c r="P35" i="29"/>
  <c r="P34" i="29"/>
  <c r="Q6" i="29" l="1"/>
  <c r="P7" i="29"/>
  <c r="Q7" i="29"/>
  <c r="R7" i="29"/>
  <c r="N4" i="29" l="1"/>
  <c r="N8" i="29"/>
  <c r="N12" i="29"/>
  <c r="N62" i="29" l="1"/>
  <c r="N61" i="29"/>
  <c r="N96" i="29" l="1"/>
  <c r="N95" i="29"/>
  <c r="N94" i="29"/>
  <c r="N93" i="29"/>
  <c r="Q29" i="29" l="1"/>
  <c r="Y92" i="29"/>
  <c r="Y91" i="29"/>
  <c r="Y90" i="29"/>
  <c r="Y89" i="29"/>
  <c r="Y88" i="29"/>
  <c r="V88" i="29"/>
  <c r="V69" i="29"/>
  <c r="V68" i="29"/>
  <c r="V67" i="29"/>
  <c r="V63" i="29"/>
  <c r="V64" i="29" l="1"/>
  <c r="V70" i="29"/>
  <c r="V65" i="29" l="1"/>
  <c r="V66" i="29"/>
  <c r="V71" i="29"/>
  <c r="V72" i="29" l="1"/>
  <c r="V89" i="29"/>
  <c r="V73" i="29" l="1"/>
  <c r="V74" i="29" l="1"/>
  <c r="V75" i="29" l="1"/>
  <c r="V76" i="29" l="1"/>
  <c r="V90" i="29" l="1"/>
  <c r="V77" i="29"/>
  <c r="V78" i="29" l="1"/>
  <c r="V79" i="29" l="1"/>
  <c r="V80" i="29" l="1"/>
  <c r="V81" i="29" l="1"/>
  <c r="V82" i="29" l="1"/>
  <c r="V91" i="29" l="1"/>
  <c r="V92" i="29"/>
  <c r="V83" i="29"/>
  <c r="V84" i="29" l="1"/>
  <c r="V85" i="29" l="1"/>
  <c r="V87" i="29" l="1"/>
  <c r="V86" i="29"/>
  <c r="Q15" i="29" l="1"/>
  <c r="Q16" i="29" s="1"/>
  <c r="Q17" i="29" s="1"/>
  <c r="Q18" i="29" s="1"/>
  <c r="Q19" i="29" s="1"/>
  <c r="Q20" i="29" s="1"/>
  <c r="Q21" i="29" s="1"/>
  <c r="Q22" i="29" s="1"/>
  <c r="Q23" i="29" s="1"/>
  <c r="Q24" i="29" s="1"/>
  <c r="Q25" i="29" s="1"/>
  <c r="Q26" i="29" s="1"/>
  <c r="Q27" i="29" s="1"/>
  <c r="Q28" i="29" s="1"/>
  <c r="P16" i="29"/>
  <c r="P17" i="29" s="1"/>
  <c r="P18" i="29" s="1"/>
  <c r="P19" i="29" s="1"/>
  <c r="P20" i="29" s="1"/>
  <c r="P21" i="29" s="1"/>
  <c r="P22" i="29" s="1"/>
  <c r="P23" i="29" s="1"/>
  <c r="P24" i="29" s="1"/>
  <c r="P25" i="29" s="1"/>
  <c r="P26" i="29" s="1"/>
  <c r="P27" i="29" s="1"/>
  <c r="P28" i="29" s="1"/>
  <c r="N60" i="29"/>
  <c r="N59" i="29"/>
  <c r="T58" i="29"/>
  <c r="U58" i="29"/>
  <c r="V58" i="29"/>
  <c r="W58" i="29"/>
  <c r="X58" i="29"/>
  <c r="Y58" i="29"/>
  <c r="Z58" i="29"/>
  <c r="AA58" i="29"/>
  <c r="AB58" i="29"/>
  <c r="AC58" i="29"/>
  <c r="S58" i="29"/>
  <c r="Q58" i="29"/>
  <c r="Q59" i="29" s="1"/>
  <c r="R58" i="29"/>
  <c r="P58" i="29"/>
  <c r="P59" i="29" s="1"/>
  <c r="T57" i="29"/>
  <c r="U57" i="29"/>
  <c r="V57" i="29"/>
  <c r="W57" i="29"/>
  <c r="X57" i="29"/>
  <c r="Y57" i="29"/>
  <c r="Z57" i="29"/>
  <c r="AA57" i="29"/>
  <c r="AB57" i="29"/>
  <c r="AC57" i="29"/>
  <c r="S57" i="29"/>
  <c r="Q57" i="29"/>
  <c r="R57" i="29"/>
  <c r="P57" i="29"/>
  <c r="T56" i="29"/>
  <c r="U56" i="29"/>
  <c r="V56" i="29"/>
  <c r="W56" i="29"/>
  <c r="X56" i="29"/>
  <c r="Y56" i="29"/>
  <c r="Z56" i="29"/>
  <c r="AA56" i="29"/>
  <c r="AB56" i="29"/>
  <c r="AC56" i="29"/>
  <c r="S56" i="29"/>
  <c r="Q56" i="29"/>
  <c r="R56" i="29"/>
  <c r="P56" i="29"/>
  <c r="T55" i="29"/>
  <c r="U55" i="29"/>
  <c r="V55" i="29"/>
  <c r="W55" i="29"/>
  <c r="X55" i="29"/>
  <c r="Y55" i="29"/>
  <c r="Z55" i="29"/>
  <c r="AA55" i="29"/>
  <c r="AB55" i="29"/>
  <c r="AC55" i="29"/>
  <c r="S55" i="29"/>
  <c r="Q55" i="29"/>
  <c r="R55" i="29"/>
  <c r="P55" i="29"/>
  <c r="Q51" i="29"/>
  <c r="Q52" i="29" s="1"/>
  <c r="Q53" i="29" s="1"/>
  <c r="Q54" i="29" s="1"/>
  <c r="R51" i="29"/>
  <c r="R52" i="29" s="1"/>
  <c r="R53" i="29" s="1"/>
  <c r="R54" i="29" s="1"/>
  <c r="P51" i="29"/>
  <c r="P52" i="29" s="1"/>
  <c r="P53" i="29" s="1"/>
  <c r="P54" i="29" s="1"/>
  <c r="N13" i="29"/>
  <c r="N11" i="29"/>
  <c r="N10" i="29"/>
  <c r="N9" i="29"/>
  <c r="R10" i="29" l="1"/>
  <c r="R11" i="29" s="1"/>
  <c r="R12" i="29" s="1"/>
  <c r="R13" i="29" s="1"/>
  <c r="Q10" i="29"/>
  <c r="Q11" i="29" s="1"/>
  <c r="Q12" i="29" s="1"/>
  <c r="Q13" i="29" s="1"/>
  <c r="P10" i="29"/>
  <c r="P11" i="29" s="1"/>
  <c r="P12" i="29" s="1"/>
  <c r="P13" i="29" s="1"/>
  <c r="R59" i="29"/>
  <c r="R60" i="29" s="1"/>
  <c r="R16" i="29"/>
  <c r="R17" i="29" s="1"/>
  <c r="R18" i="29" s="1"/>
  <c r="R19" i="29" s="1"/>
  <c r="R20" i="29" s="1"/>
  <c r="R21" i="29" s="1"/>
  <c r="R22" i="29" s="1"/>
  <c r="R23" i="29" s="1"/>
  <c r="R24" i="29" s="1"/>
  <c r="R25" i="29" s="1"/>
  <c r="R26" i="29" s="1"/>
  <c r="R27" i="29" s="1"/>
  <c r="R28" i="29" s="1"/>
  <c r="P60" i="29"/>
  <c r="P61" i="29"/>
  <c r="P62" i="29" s="1"/>
  <c r="Q60" i="29"/>
  <c r="Q61" i="29"/>
  <c r="Q62" i="29" s="1"/>
  <c r="P30" i="29"/>
  <c r="R61" i="29"/>
  <c r="R62" i="29" s="1"/>
  <c r="R34" i="29"/>
  <c r="R30" i="29"/>
  <c r="P31" i="29" l="1"/>
  <c r="P36" i="29" s="1"/>
  <c r="R35" i="29"/>
  <c r="R31" i="29"/>
  <c r="Q34" i="29"/>
  <c r="Q30" i="29"/>
  <c r="P32" i="29" l="1"/>
  <c r="P37" i="29" s="1"/>
  <c r="R36" i="29"/>
  <c r="R32" i="29"/>
  <c r="Q35" i="29"/>
  <c r="Q31" i="29"/>
  <c r="P33" i="29" l="1"/>
  <c r="P38" i="29" s="1"/>
  <c r="R37" i="29"/>
  <c r="R33" i="29"/>
  <c r="R38" i="29" s="1"/>
  <c r="Q36" i="29"/>
  <c r="Q32" i="29"/>
  <c r="Q37" i="29" l="1"/>
  <c r="Q33" i="29"/>
  <c r="Q38" i="29" s="1"/>
</calcChain>
</file>

<file path=xl/sharedStrings.xml><?xml version="1.0" encoding="utf-8"?>
<sst xmlns="http://schemas.openxmlformats.org/spreadsheetml/2006/main" count="773" uniqueCount="360">
  <si>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</si>
  <si>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</si>
  <si>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</si>
  <si>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</si>
  <si>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</si>
  <si>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</si>
  <si>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</si>
  <si>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</si>
  <si>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</si>
  <si>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</si>
  <si>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</si>
  <si>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</si>
  <si>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</si>
  <si>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</si>
  <si>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</si>
  <si>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</si>
  <si>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</si>
  <si>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</si>
  <si>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</si>
  <si>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</si>
  <si>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</si>
  <si>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</si>
  <si>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</si>
  <si>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</si>
  <si>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血魔</t>
  </si>
  <si>
    <t>u001</t>
  </si>
  <si>
    <t>oshm</t>
  </si>
  <si>
    <t>黑心老人</t>
  </si>
  <si>
    <t>u002</t>
  </si>
  <si>
    <t>hfoo</t>
  </si>
  <si>
    <t>celsiusattacksspecial2.mdx</t>
  </si>
  <si>
    <t>俘虏·血魔</t>
  </si>
  <si>
    <t>u003</t>
  </si>
  <si>
    <t>俘虏·黑心老人</t>
  </si>
  <si>
    <t>u004</t>
  </si>
  <si>
    <t>三眼灵猴</t>
  </si>
  <si>
    <t>u005</t>
  </si>
  <si>
    <t>qtds.mdx</t>
  </si>
  <si>
    <t>焰皇</t>
  </si>
  <si>
    <t>u006</t>
  </si>
  <si>
    <t>[WotTH] Firelord.MDX</t>
  </si>
  <si>
    <t>灵魂</t>
  </si>
  <si>
    <t>u007</t>
  </si>
  <si>
    <t>SpiritofVengeance.mdx</t>
  </si>
  <si>
    <t>熊猫人</t>
  </si>
  <si>
    <t>u008</t>
  </si>
  <si>
    <t>Npbm</t>
  </si>
  <si>
    <t>九幽地冥蟒</t>
  </si>
  <si>
    <t>u009</t>
  </si>
  <si>
    <t>HydraBlack.mdx</t>
  </si>
  <si>
    <t>九幽雀</t>
  </si>
  <si>
    <t>u010</t>
  </si>
  <si>
    <t>Phoenix2.mdx</t>
  </si>
  <si>
    <t>心魔BOSS1</t>
  </si>
  <si>
    <t>u011</t>
  </si>
  <si>
    <t>心魔BOSS2</t>
  </si>
  <si>
    <t>u012</t>
  </si>
  <si>
    <t>心魔BOSS3</t>
  </si>
  <si>
    <t>u013</t>
  </si>
  <si>
    <t>心魔BOSS4</t>
  </si>
  <si>
    <t>u014</t>
  </si>
  <si>
    <t>心魔BOSS5</t>
  </si>
  <si>
    <t>u015</t>
  </si>
  <si>
    <t>心魔BOSS6</t>
  </si>
  <si>
    <t>u016</t>
  </si>
  <si>
    <t>心魔BOSS7</t>
  </si>
  <si>
    <t>u017</t>
  </si>
  <si>
    <t>心魔BOSS8</t>
  </si>
  <si>
    <t>u018</t>
  </si>
  <si>
    <t>心魔BOSS9</t>
  </si>
  <si>
    <t>u019</t>
  </si>
  <si>
    <t>心魔BOSS10</t>
  </si>
  <si>
    <t>u020</t>
  </si>
  <si>
    <t>心魔BOSS11</t>
  </si>
  <si>
    <t>u021</t>
  </si>
  <si>
    <t>心魔BOSS12</t>
  </si>
  <si>
    <t>u022</t>
  </si>
  <si>
    <t>心魔BOSS13</t>
  </si>
  <si>
    <t>u023</t>
  </si>
  <si>
    <t>心魔BOSS14</t>
  </si>
  <si>
    <t>u024</t>
  </si>
  <si>
    <t>三眼灵猴BOSS1</t>
  </si>
  <si>
    <t>u025</t>
  </si>
  <si>
    <t>三眼灵猴BOSS2</t>
  </si>
  <si>
    <t>u026</t>
  </si>
  <si>
    <t>三眼灵猴BOSS3</t>
  </si>
  <si>
    <t>u027</t>
  </si>
  <si>
    <t>三眼灵猴BOSS4</t>
  </si>
  <si>
    <t>u028</t>
  </si>
  <si>
    <t>三眼灵猴BOSS5</t>
  </si>
  <si>
    <t>u029</t>
  </si>
  <si>
    <t>焰皇BOSS1</t>
  </si>
  <si>
    <t>u030</t>
  </si>
  <si>
    <t>焰皇BOSS2</t>
  </si>
  <si>
    <t>u031</t>
  </si>
  <si>
    <t>焰皇BOSS3</t>
  </si>
  <si>
    <t>u032</t>
  </si>
  <si>
    <t>焰皇BOSS4</t>
  </si>
  <si>
    <t>u033</t>
  </si>
  <si>
    <t>焰皇BOSS5</t>
  </si>
  <si>
    <t>u034</t>
  </si>
  <si>
    <t>经验怪</t>
  </si>
  <si>
    <t>u035</t>
  </si>
  <si>
    <t>小金币怪</t>
  </si>
  <si>
    <t>u036</t>
  </si>
  <si>
    <t>Objects\InventoryItems\PotofGold\PotofGold.mdl</t>
  </si>
  <si>
    <t>中金币怪</t>
  </si>
  <si>
    <t>u037</t>
  </si>
  <si>
    <t>大金币怪</t>
  </si>
  <si>
    <t>u038</t>
  </si>
  <si>
    <t>小木头怪</t>
  </si>
  <si>
    <t>u039</t>
  </si>
  <si>
    <t>efon</t>
  </si>
  <si>
    <t>中木头怪</t>
  </si>
  <si>
    <t>u040</t>
  </si>
  <si>
    <t>大木头怪</t>
  </si>
  <si>
    <t>u041</t>
  </si>
  <si>
    <t>超大木头怪</t>
  </si>
  <si>
    <t>u042</t>
  </si>
  <si>
    <t>小魔丸怪</t>
  </si>
  <si>
    <t>u043</t>
  </si>
  <si>
    <t>even</t>
  </si>
  <si>
    <t>中魔丸怪</t>
  </si>
  <si>
    <t>u044</t>
  </si>
  <si>
    <t>大魔丸怪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</si>
  <si>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</si>
  <si>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</si>
  <si>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</si>
  <si>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</si>
  <si>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</si>
  <si>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</si>
  <si>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</si>
  <si>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</si>
  <si>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</si>
  <si>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</si>
  <si>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</si>
  <si>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</si>
  <si>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</si>
  <si>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</si>
  <si>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MirrorZI_xukongnuoya.mdx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</si>
  <si>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</si>
  <si>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</si>
  <si>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</si>
  <si>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</si>
  <si>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</si>
  <si>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</si>
  <si>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</si>
  <si>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</si>
  <si>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</si>
  <si>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</si>
  <si>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</si>
  <si>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</si>
  <si>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</si>
  <si>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</si>
  <si>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</si>
  <si>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</si>
  <si>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</si>
  <si>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</si>
  <si>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</si>
  <si>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</si>
  <si>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</si>
  <si>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</si>
  <si>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</si>
  <si>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</si>
  <si>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</si>
  <si>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</si>
  <si>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</si>
  <si>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</si>
  <si>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</si>
  <si>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</si>
  <si>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</si>
  <si>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</si>
  <si>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</si>
  <si>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</si>
  <si>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</si>
  <si>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</si>
  <si>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</si>
  <si>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</si>
  <si>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</si>
  <si>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</si>
  <si>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</si>
  <si>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</si>
  <si>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</si>
  <si>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</si>
  <si>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</si>
  <si>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</si>
  <si>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</si>
  <si>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</si>
  <si>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</si>
  <si>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</si>
  <si>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</si>
  <si>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</si>
  <si>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</si>
  <si>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</si>
  <si>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</si>
  <si>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魔丸</t>
  </si>
  <si>
    <t>经验</t>
  </si>
  <si>
    <t>物品掉落率</t>
  </si>
  <si>
    <t>大类</t>
  </si>
  <si>
    <t>刷怪信息(区域,怪名*1,重生时间,面向,出生时间,玩家id)</t>
  </si>
  <si>
    <t>missile_art</t>
  </si>
  <si>
    <t>index</t>
  </si>
  <si>
    <t>gold</t>
  </si>
  <si>
    <t>wood</t>
  </si>
  <si>
    <t>fire_seed</t>
  </si>
  <si>
    <t>exp</t>
  </si>
  <si>
    <t>fall_rate</t>
  </si>
  <si>
    <t>class</t>
  </si>
  <si>
    <t>creep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</si>
  <si>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</si>
  <si>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</si>
  <si>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</si>
  <si>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</si>
  <si>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</si>
  <si>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</si>
  <si>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</si>
  <si>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</si>
  <si>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</si>
  <si>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</si>
  <si>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</si>
  <si>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暴击伤害</t>
  </si>
  <si>
    <t>会心几率</t>
  </si>
  <si>
    <t>会心伤害</t>
  </si>
  <si>
    <t>小怪</t>
  </si>
  <si>
    <t>模拟死亡</t>
  </si>
  <si>
    <t>boss</t>
  </si>
  <si>
    <t>爱我你就爆了我1</t>
    <phoneticPr fontId="9" type="noConversion"/>
  </si>
  <si>
    <t>爱我你就爆了我2</t>
  </si>
  <si>
    <t>爱我你就爆了我3</t>
  </si>
  <si>
    <t>爱我你就爆了我4</t>
  </si>
  <si>
    <t>爱我你就爆了我5</t>
  </si>
  <si>
    <t>爱我你就爆了我2</t>
    <phoneticPr fontId="9" type="noConversion"/>
  </si>
  <si>
    <t>黄阶功法怪</t>
  </si>
  <si>
    <t>玄阶功法怪</t>
    <phoneticPr fontId="9" type="noConversion"/>
  </si>
  <si>
    <t>地阶功法怪</t>
    <phoneticPr fontId="9" type="noConversion"/>
  </si>
  <si>
    <t>天阶功法怪</t>
    <phoneticPr fontId="9" type="noConversion"/>
  </si>
  <si>
    <t>nwrg</t>
    <phoneticPr fontId="9" type="noConversion"/>
  </si>
  <si>
    <t>nsgg</t>
    <phoneticPr fontId="9" type="noConversion"/>
  </si>
  <si>
    <t>narg</t>
    <phoneticPr fontId="9" type="noConversion"/>
  </si>
  <si>
    <t>三眼老祖</t>
  </si>
  <si>
    <t>八荒火龙</t>
  </si>
  <si>
    <t>一姐</t>
  </si>
  <si>
    <t>炎帝</t>
  </si>
  <si>
    <t>mr.war3_hama.mdx</t>
  </si>
  <si>
    <t>FireElemental.mdx</t>
  </si>
  <si>
    <t>Mx_cailin.mdx</t>
  </si>
  <si>
    <t>甲虫</t>
  </si>
  <si>
    <t>狗头人</t>
  </si>
  <si>
    <t>长牙兽</t>
  </si>
  <si>
    <t>骷髅战士</t>
  </si>
  <si>
    <t>巨魔</t>
  </si>
  <si>
    <t>牛头人</t>
  </si>
  <si>
    <t>混沌骑士</t>
  </si>
  <si>
    <t>屠夫</t>
  </si>
  <si>
    <t>娜迦暴徒</t>
  </si>
  <si>
    <t>龙卵领主</t>
  </si>
  <si>
    <t>血恶魔</t>
  </si>
  <si>
    <t>九头怪</t>
  </si>
  <si>
    <t>蜥蜴领主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</si>
  <si>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</si>
  <si>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</si>
  <si>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</si>
  <si>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</si>
  <si>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</si>
  <si>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</si>
  <si>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</si>
  <si>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</si>
  <si>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</si>
  <si>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</si>
  <si>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</si>
  <si>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</si>
  <si>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</si>
  <si>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</si>
  <si>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</si>
  <si>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</si>
  <si>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</si>
  <si>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</si>
  <si>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</si>
  <si>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</si>
  <si>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</si>
  <si>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</si>
  <si>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</si>
  <si>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u082</t>
  </si>
  <si>
    <t>u083</t>
  </si>
  <si>
    <t>u084</t>
  </si>
  <si>
    <t>u085</t>
  </si>
  <si>
    <t>u086</t>
  </si>
  <si>
    <t>u087</t>
  </si>
  <si>
    <t>u088</t>
  </si>
  <si>
    <t>ucs1</t>
  </si>
  <si>
    <t>nkob</t>
  </si>
  <si>
    <t>uske</t>
  </si>
  <si>
    <t>ndtr</t>
  </si>
  <si>
    <t>otau</t>
  </si>
  <si>
    <t>owar</t>
  </si>
  <si>
    <t>uabo</t>
  </si>
  <si>
    <t>nmys</t>
  </si>
  <si>
    <t>nbdo</t>
  </si>
  <si>
    <t>nfgb</t>
  </si>
  <si>
    <t>nahy</t>
  </si>
  <si>
    <t>nsll</t>
  </si>
  <si>
    <t>苦工</t>
    <phoneticPr fontId="9" type="noConversion"/>
  </si>
  <si>
    <t>opeo</t>
    <phoneticPr fontId="9" type="noConversion"/>
  </si>
  <si>
    <t>兽族步兵</t>
    <phoneticPr fontId="9" type="noConversion"/>
  </si>
  <si>
    <t>orai</t>
    <phoneticPr fontId="9" type="noConversion"/>
  </si>
  <si>
    <t>掠夺者</t>
    <phoneticPr fontId="9" type="noConversion"/>
  </si>
  <si>
    <t>ushd</t>
    <phoneticPr fontId="9" type="noConversion"/>
  </si>
  <si>
    <t>阴影</t>
    <phoneticPr fontId="9" type="noConversion"/>
  </si>
  <si>
    <t>食尸鬼</t>
    <phoneticPr fontId="9" type="noConversion"/>
  </si>
  <si>
    <t>ugho</t>
    <phoneticPr fontId="9" type="noConversion"/>
  </si>
  <si>
    <t>ucry</t>
    <phoneticPr fontId="9" type="noConversion"/>
  </si>
  <si>
    <t>穴居恶魔</t>
    <phoneticPr fontId="9" type="noConversion"/>
  </si>
  <si>
    <t>石像鬼</t>
    <phoneticPr fontId="9" type="noConversion"/>
  </si>
  <si>
    <t>ugar</t>
    <phoneticPr fontId="9" type="noConversion"/>
  </si>
  <si>
    <t>女妖</t>
    <phoneticPr fontId="9" type="noConversion"/>
  </si>
  <si>
    <t>uban</t>
    <phoneticPr fontId="9" type="noConversion"/>
  </si>
  <si>
    <t>ufro</t>
    <phoneticPr fontId="9" type="noConversion"/>
  </si>
  <si>
    <t>冰霜巨龙</t>
    <phoneticPr fontId="9" type="noConversion"/>
  </si>
  <si>
    <t>奇美拉</t>
    <phoneticPr fontId="9" type="noConversion"/>
  </si>
  <si>
    <t>echm</t>
    <phoneticPr fontId="9" type="noConversion"/>
  </si>
  <si>
    <t>emtg</t>
    <phoneticPr fontId="9" type="noConversion"/>
  </si>
  <si>
    <t>山岭巨人</t>
    <phoneticPr fontId="9" type="noConversion"/>
  </si>
  <si>
    <t>基尔加丹</t>
    <phoneticPr fontId="9" type="noConversion"/>
  </si>
  <si>
    <t>JD-GTJG1.mdx</t>
    <phoneticPr fontId="9" type="noConversion"/>
  </si>
  <si>
    <t>一棒男</t>
    <phoneticPr fontId="9" type="noConversion"/>
  </si>
  <si>
    <t>[AHS]firespiderpurple.mdx</t>
  </si>
  <si>
    <t>Griever.mdx</t>
    <phoneticPr fontId="9" type="noConversion"/>
  </si>
  <si>
    <t>uWOWkeersujiade.mdx</t>
  </si>
  <si>
    <t>克尔苏加德</t>
    <phoneticPr fontId="9" type="noConversion"/>
  </si>
  <si>
    <t>MirrorZI_xukongnuoya.mdx</t>
    <phoneticPr fontId="9" type="noConversion"/>
  </si>
  <si>
    <t>戴瑟提克</t>
    <phoneticPr fontId="9" type="noConversion"/>
  </si>
  <si>
    <t>格里弗</t>
    <phoneticPr fontId="9" type="noConversion"/>
  </si>
  <si>
    <t>虚空诺亚</t>
    <phoneticPr fontId="9" type="noConversion"/>
  </si>
  <si>
    <t>熔炼石boss1</t>
    <phoneticPr fontId="9" type="noConversion"/>
  </si>
  <si>
    <t>熔炼石boss2</t>
    <phoneticPr fontId="9" type="noConversion"/>
  </si>
  <si>
    <t>熔炼石boss3</t>
    <phoneticPr fontId="9" type="noConversion"/>
  </si>
  <si>
    <t>熔炼石boss4</t>
    <phoneticPr fontId="9" type="noConversion"/>
  </si>
  <si>
    <t>u089</t>
  </si>
  <si>
    <t>u090</t>
  </si>
  <si>
    <t>u091</t>
  </si>
  <si>
    <t>sageras  0.mdx</t>
  </si>
  <si>
    <t>sageras  0.mdx</t>
    <phoneticPr fontId="9" type="noConversion"/>
  </si>
  <si>
    <t>u092</t>
  </si>
  <si>
    <t>Nkjx</t>
    <phoneticPr fontId="9" type="noConversion"/>
  </si>
  <si>
    <t>ogru</t>
    <phoneticPr fontId="9" type="noConversion"/>
  </si>
  <si>
    <t>npfl</t>
    <phoneticPr fontId="9" type="noConversion"/>
  </si>
  <si>
    <t>心魔BOSS15</t>
  </si>
  <si>
    <t>心魔BOSS15</t>
    <phoneticPr fontId="9" type="noConversion"/>
  </si>
  <si>
    <t>u093</t>
  </si>
  <si>
    <t>狗熊</t>
  </si>
  <si>
    <t>u094</t>
  </si>
  <si>
    <t>edcm</t>
    <phoneticPr fontId="9" type="noConversion"/>
  </si>
  <si>
    <t>狗熊</t>
    <phoneticPr fontId="9" type="noConversion"/>
  </si>
  <si>
    <t>分类</t>
    <phoneticPr fontId="9" type="noConversion"/>
  </si>
  <si>
    <t>召唤物</t>
    <phoneticPr fontId="9" type="noConversion"/>
  </si>
  <si>
    <t>category</t>
    <phoneticPr fontId="9" type="noConversion"/>
  </si>
  <si>
    <t>unit_type</t>
    <phoneticPr fontId="9" type="noConversion"/>
  </si>
  <si>
    <t>dazhuzi.mdx</t>
    <phoneticPr fontId="9" type="noConversion"/>
  </si>
  <si>
    <t>存档物品掉落率</t>
    <phoneticPr fontId="9" type="noConversion"/>
  </si>
  <si>
    <t>fall_save_rate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</si>
</sst>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.00_ "/>
    <numFmt numFmtId="178" formatCode="0_);[Red]\(0\)"/>
    <numFmt numFmtId="179" formatCode="0_ "/>
    <numFmt numFmtId="180" formatCode="0.0000_ "/>
  </numFmts>
  <fonts count="14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11"/>
      <color theme="1"/>
      <name val="Consolas"/>
      <family val="3"/>
    </font>
    <font>
      <sz val="9"/>
      <name val="宋体"/>
      <family val="3"/>
      <charset val="134"/>
      <scheme val="minor"/>
    </font>
    <font>
      <sz val="9.75"/>
      <name val="宋体"/>
      <family val="3"/>
      <charset val="134"/>
    </font>
    <font>
      <sz val="10.5"/>
      <name val="Consolas"/>
      <family val="3"/>
    </font>
    <font>
      <sz val="10"/>
      <color rgb="FF333333"/>
      <name val="宋体"/>
      <family val="3"/>
      <charset val="134"/>
    </font>
    <font>
      <sz val="11"/>
      <color indexed="8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76" fontId="2" fillId="0" borderId="0" xfId="0" applyNumberFormat="1" applyFont="1" applyFill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80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79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vertical="center"/>
    </xf>
    <xf numFmtId="177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" fillId="0" borderId="0" xfId="0" applyFont="1" applyFill="1" applyAlignment="1">
      <alignment vertical="center"/>
    </xf>
    <xf numFmtId="0" fontId="1" fillId="0" borderId="0" xfId="0" quotePrefix="1" applyFont="1"/>
    <xf numFmtId="0" fontId="5" fillId="0" borderId="0" xfId="0" quotePrefix="1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horizontal="center"/>
    </xf>
    <xf numFmtId="179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vertical="center" wrapText="1"/>
    </xf>
    <xf numFmtId="0" fontId="12" fillId="0" borderId="0" xfId="0" applyFont="1"/>
    <xf numFmtId="0" fontId="1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178" fontId="13" fillId="0" borderId="0" xfId="0" applyNumberFormat="1" applyFont="1" applyFill="1" applyBorder="1" applyAlignment="1" applyProtection="1">
      <alignment horizontal="center" vertical="center"/>
    </xf>
    <xf numFmtId="49" fontId="13" fillId="0" borderId="0" xfId="0" applyNumberFormat="1" applyFont="1" applyFill="1" applyBorder="1" applyAlignment="1" applyProtection="1">
      <alignment horizontal="center" vertical="center"/>
    </xf>
    <xf numFmtId="179" fontId="13" fillId="0" borderId="0" xfId="0" applyNumberFormat="1" applyFont="1" applyFill="1" applyBorder="1" applyAlignment="1" applyProtection="1">
      <alignment horizontal="center" vertical="center"/>
    </xf>
    <xf numFmtId="177" fontId="13" fillId="0" borderId="0" xfId="0" applyNumberFormat="1" applyFont="1" applyFill="1" applyBorder="1" applyAlignment="1" applyProtection="1">
      <alignment horizontal="center" vertical="center"/>
    </xf>
    <xf numFmtId="0" fontId="13" fillId="0" borderId="0" xfId="0" applyFont="1"/>
    <xf numFmtId="49" fontId="13" fillId="0" borderId="0" xfId="0" applyNumberFormat="1" applyFont="1"/>
    <xf numFmtId="179" fontId="13" fillId="0" borderId="0" xfId="0" applyNumberFormat="1" applyFont="1" applyAlignment="1">
      <alignment horizontal="center" vertical="center"/>
    </xf>
    <xf numFmtId="10" fontId="7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142875</xdr:rowOff>
        </xdr:from>
        <xdr:to>
          <xdr:col>12</xdr:col>
          <xdr:colOff>104775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97"/>
  <sheetViews>
    <sheetView tabSelected="1" workbookViewId="0">
      <pane xSplit="1" ySplit="3" topLeftCell="B7" activePane="bottomRight" state="frozen"/>
      <selection pane="topRight"/>
      <selection pane="bottomLeft"/>
      <selection pane="bottomRight" activeCell="K11" sqref="K11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3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34" t="s">
        <v>0</v>
      </c>
      <c r="C1" s="34" t="s">
        <v>0</v>
      </c>
      <c r="D1" s="3" t="s">
        <v>0</v>
      </c>
      <c r="E1" t="s">
        <v>0</v>
      </c>
      <c r="F1" t="s">
        <v>0</v>
      </c>
    </row>
    <row r="2" spans="1:12" ht="15" x14ac:dyDescent="0.15">
      <c r="A2" s="33" t="s">
        <v>1</v>
      </c>
      <c r="B2" s="28" t="s">
        <v>2</v>
      </c>
      <c r="C2" s="28" t="s">
        <v>3</v>
      </c>
      <c r="D2" s="37" t="s">
        <v>4</v>
      </c>
      <c r="E2" t="s">
        <v>5</v>
      </c>
      <c r="F2" s="9" t="s">
        <v>6</v>
      </c>
      <c r="G2" s="6" t="s">
        <v>7</v>
      </c>
      <c r="H2" s="6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28" t="s">
        <v>13</v>
      </c>
      <c r="C3" s="28" t="s">
        <v>14</v>
      </c>
      <c r="D3" s="3" t="s">
        <v>15</v>
      </c>
      <c r="E3" s="9" t="s">
        <v>16</v>
      </c>
      <c r="F3" s="9" t="s">
        <v>17</v>
      </c>
      <c r="G3" s="9" t="s">
        <v>18</v>
      </c>
      <c r="H3" s="9" t="s">
        <v>19</v>
      </c>
      <c r="I3" s="9" t="s">
        <v>20</v>
      </c>
      <c r="J3" s="9" t="s">
        <v>21</v>
      </c>
      <c r="K3" s="9" t="s">
        <v>22</v>
      </c>
      <c r="L3" s="9" t="s">
        <v>23</v>
      </c>
    </row>
    <row r="4" spans="1:12" ht="15" x14ac:dyDescent="0.15">
      <c r="A4" s="12" t="s">
        <v>24</v>
      </c>
      <c r="B4" s="13" t="s">
        <v>25</v>
      </c>
      <c r="C4" s="35" t="s">
        <v>26</v>
      </c>
      <c r="D4" s="9"/>
      <c r="E4" s="9"/>
      <c r="F4" s="9"/>
      <c r="G4" s="9">
        <v>1</v>
      </c>
      <c r="H4" s="9"/>
      <c r="I4" s="9">
        <v>10</v>
      </c>
      <c r="J4" s="9"/>
      <c r="K4" s="9"/>
      <c r="L4" s="9"/>
    </row>
    <row r="5" spans="1:12" ht="15" x14ac:dyDescent="0.15">
      <c r="A5" s="6" t="s">
        <v>27</v>
      </c>
      <c r="B5" s="13" t="s">
        <v>28</v>
      </c>
      <c r="C5" s="35" t="s">
        <v>29</v>
      </c>
      <c r="D5" s="9" t="s">
        <v>30</v>
      </c>
      <c r="F5" s="3"/>
      <c r="G5" s="9">
        <v>1.5</v>
      </c>
      <c r="I5" s="9">
        <v>60</v>
      </c>
    </row>
    <row r="6" spans="1:12" ht="15" x14ac:dyDescent="0.15">
      <c r="A6" s="6" t="s">
        <v>31</v>
      </c>
      <c r="B6" s="13" t="s">
        <v>32</v>
      </c>
      <c r="C6" s="35" t="s">
        <v>26</v>
      </c>
      <c r="D6" s="9"/>
      <c r="F6" s="3"/>
      <c r="G6" s="9">
        <v>1</v>
      </c>
      <c r="I6" s="9">
        <v>10</v>
      </c>
    </row>
    <row r="7" spans="1:12" ht="15" x14ac:dyDescent="0.15">
      <c r="A7" s="6" t="s">
        <v>33</v>
      </c>
      <c r="B7" s="13" t="s">
        <v>34</v>
      </c>
      <c r="C7" s="35" t="s">
        <v>29</v>
      </c>
      <c r="D7" s="9" t="s">
        <v>30</v>
      </c>
      <c r="F7" s="3"/>
      <c r="G7" s="9">
        <v>1.5</v>
      </c>
      <c r="I7" s="9">
        <v>60</v>
      </c>
    </row>
    <row r="8" spans="1:12" ht="15" x14ac:dyDescent="0.15">
      <c r="A8" s="6" t="s">
        <v>35</v>
      </c>
      <c r="B8" s="13" t="s">
        <v>36</v>
      </c>
      <c r="C8" s="35" t="s">
        <v>29</v>
      </c>
      <c r="D8" s="3" t="s">
        <v>37</v>
      </c>
      <c r="E8" s="9"/>
      <c r="F8" s="9"/>
      <c r="G8" s="9">
        <v>1.5</v>
      </c>
      <c r="I8" s="9">
        <v>60</v>
      </c>
      <c r="J8" s="9"/>
      <c r="K8" s="9"/>
      <c r="L8" s="9"/>
    </row>
    <row r="9" spans="1:12" ht="15" x14ac:dyDescent="0.15">
      <c r="A9" s="6" t="s">
        <v>38</v>
      </c>
      <c r="B9" s="13" t="s">
        <v>39</v>
      </c>
      <c r="C9" s="35" t="s">
        <v>29</v>
      </c>
      <c r="D9" s="3" t="s">
        <v>40</v>
      </c>
      <c r="E9" s="9"/>
      <c r="F9" s="9"/>
      <c r="G9" s="9">
        <v>4</v>
      </c>
      <c r="I9" s="9">
        <v>60</v>
      </c>
      <c r="J9" s="9"/>
      <c r="K9" s="9"/>
      <c r="L9" s="9"/>
    </row>
    <row r="10" spans="1:12" ht="15" x14ac:dyDescent="0.15">
      <c r="A10" s="6" t="s">
        <v>41</v>
      </c>
      <c r="B10" s="13" t="s">
        <v>42</v>
      </c>
      <c r="C10" s="35" t="s">
        <v>29</v>
      </c>
      <c r="D10" s="3" t="s">
        <v>43</v>
      </c>
      <c r="E10" s="9"/>
      <c r="F10" s="9"/>
      <c r="G10" s="9">
        <v>1.5</v>
      </c>
      <c r="I10" s="9">
        <v>60</v>
      </c>
      <c r="J10" s="9"/>
      <c r="K10" s="9"/>
      <c r="L10" s="9"/>
    </row>
    <row r="11" spans="1:12" ht="15" x14ac:dyDescent="0.15">
      <c r="A11" s="6" t="s">
        <v>44</v>
      </c>
      <c r="B11" s="13" t="s">
        <v>45</v>
      </c>
      <c r="C11" s="35" t="s">
        <v>46</v>
      </c>
      <c r="E11" s="9"/>
      <c r="F11" s="9"/>
      <c r="G11" s="9">
        <v>1.5</v>
      </c>
      <c r="I11" s="9">
        <v>60</v>
      </c>
      <c r="J11" s="9"/>
      <c r="K11" s="9"/>
      <c r="L11" s="9"/>
    </row>
    <row r="12" spans="1:12" ht="15" x14ac:dyDescent="0.15">
      <c r="A12" s="6" t="s">
        <v>47</v>
      </c>
      <c r="B12" s="13" t="s">
        <v>48</v>
      </c>
      <c r="C12" s="35" t="s">
        <v>29</v>
      </c>
      <c r="D12" s="3" t="s">
        <v>49</v>
      </c>
      <c r="E12" s="9"/>
      <c r="F12" s="9"/>
      <c r="G12" s="9">
        <v>1.5</v>
      </c>
      <c r="I12" s="9">
        <v>60</v>
      </c>
      <c r="J12" s="9"/>
      <c r="K12" s="9"/>
      <c r="L12" s="9"/>
    </row>
    <row r="13" spans="1:12" ht="15" x14ac:dyDescent="0.15">
      <c r="A13" s="6" t="s">
        <v>50</v>
      </c>
      <c r="B13" s="13" t="s">
        <v>51</v>
      </c>
      <c r="C13" s="35" t="s">
        <v>29</v>
      </c>
      <c r="D13" s="3" t="s">
        <v>52</v>
      </c>
      <c r="E13" s="9"/>
      <c r="F13" s="9"/>
      <c r="G13" s="9">
        <v>1.5</v>
      </c>
      <c r="I13" s="9">
        <v>60</v>
      </c>
      <c r="J13" s="9"/>
      <c r="K13" s="9"/>
      <c r="L13" s="9"/>
    </row>
    <row r="14" spans="1:12" ht="15" x14ac:dyDescent="0.15">
      <c r="A14" s="6" t="s">
        <v>53</v>
      </c>
      <c r="B14" s="13" t="s">
        <v>54</v>
      </c>
      <c r="C14" s="35" t="s">
        <v>29</v>
      </c>
      <c r="D14" s="9" t="s">
        <v>30</v>
      </c>
      <c r="E14" s="9"/>
      <c r="F14" s="9"/>
      <c r="G14" s="9">
        <v>1.5</v>
      </c>
      <c r="I14" s="9">
        <v>60</v>
      </c>
      <c r="J14" s="9"/>
      <c r="K14" s="9"/>
      <c r="L14" s="9"/>
    </row>
    <row r="15" spans="1:12" ht="15" x14ac:dyDescent="0.15">
      <c r="A15" s="6" t="s">
        <v>55</v>
      </c>
      <c r="B15" s="13" t="s">
        <v>56</v>
      </c>
      <c r="C15" s="35" t="s">
        <v>29</v>
      </c>
      <c r="D15" s="9" t="s">
        <v>30</v>
      </c>
      <c r="E15" s="9"/>
      <c r="F15" s="9"/>
      <c r="G15" s="9">
        <v>1.55</v>
      </c>
      <c r="I15" s="9">
        <v>60</v>
      </c>
      <c r="J15" s="9"/>
      <c r="K15" s="9"/>
      <c r="L15" s="9"/>
    </row>
    <row r="16" spans="1:12" ht="15" x14ac:dyDescent="0.15">
      <c r="A16" s="6" t="s">
        <v>57</v>
      </c>
      <c r="B16" s="13" t="s">
        <v>58</v>
      </c>
      <c r="C16" s="35" t="s">
        <v>29</v>
      </c>
      <c r="D16" s="9" t="s">
        <v>30</v>
      </c>
      <c r="E16" s="9"/>
      <c r="F16" s="9"/>
      <c r="G16" s="9">
        <v>1.6</v>
      </c>
      <c r="I16" s="9">
        <v>60</v>
      </c>
      <c r="J16" s="9"/>
      <c r="K16" s="9"/>
      <c r="L16" s="9"/>
    </row>
    <row r="17" spans="1:12" ht="15" x14ac:dyDescent="0.15">
      <c r="A17" s="6" t="s">
        <v>59</v>
      </c>
      <c r="B17" s="13" t="s">
        <v>60</v>
      </c>
      <c r="C17" s="35" t="s">
        <v>29</v>
      </c>
      <c r="D17" s="9" t="s">
        <v>30</v>
      </c>
      <c r="E17" s="9"/>
      <c r="F17" s="9"/>
      <c r="G17" s="9">
        <v>1.65</v>
      </c>
      <c r="I17" s="9">
        <v>60</v>
      </c>
      <c r="J17" s="9"/>
      <c r="K17" s="9"/>
      <c r="L17" s="9"/>
    </row>
    <row r="18" spans="1:12" ht="15" x14ac:dyDescent="0.15">
      <c r="A18" s="6" t="s">
        <v>61</v>
      </c>
      <c r="B18" s="13" t="s">
        <v>62</v>
      </c>
      <c r="C18" s="35" t="s">
        <v>29</v>
      </c>
      <c r="D18" s="9" t="s">
        <v>30</v>
      </c>
      <c r="E18" s="9"/>
      <c r="F18" s="9"/>
      <c r="G18" s="9">
        <v>1.7</v>
      </c>
      <c r="I18" s="9">
        <v>60</v>
      </c>
      <c r="J18" s="9"/>
      <c r="K18" s="9"/>
      <c r="L18" s="9"/>
    </row>
    <row r="19" spans="1:12" ht="15" x14ac:dyDescent="0.15">
      <c r="A19" s="6" t="s">
        <v>63</v>
      </c>
      <c r="B19" s="13" t="s">
        <v>64</v>
      </c>
      <c r="C19" s="35" t="s">
        <v>29</v>
      </c>
      <c r="D19" s="9" t="s">
        <v>30</v>
      </c>
      <c r="E19" s="9"/>
      <c r="F19" s="9"/>
      <c r="G19" s="9">
        <v>1.75</v>
      </c>
      <c r="I19" s="9">
        <v>60</v>
      </c>
      <c r="J19" s="9"/>
      <c r="K19" s="9"/>
      <c r="L19" s="9"/>
    </row>
    <row r="20" spans="1:12" ht="15" x14ac:dyDescent="0.15">
      <c r="A20" s="6" t="s">
        <v>65</v>
      </c>
      <c r="B20" s="13" t="s">
        <v>66</v>
      </c>
      <c r="C20" s="35" t="s">
        <v>29</v>
      </c>
      <c r="D20" s="9" t="s">
        <v>30</v>
      </c>
      <c r="E20" s="9"/>
      <c r="F20" s="9"/>
      <c r="G20" s="9">
        <v>1.8</v>
      </c>
      <c r="I20" s="9">
        <v>60</v>
      </c>
      <c r="J20" s="9"/>
      <c r="K20" s="9"/>
      <c r="L20" s="9"/>
    </row>
    <row r="21" spans="1:12" ht="15" x14ac:dyDescent="0.15">
      <c r="A21" s="6" t="s">
        <v>67</v>
      </c>
      <c r="B21" s="13" t="s">
        <v>68</v>
      </c>
      <c r="C21" s="35" t="s">
        <v>29</v>
      </c>
      <c r="D21" s="9" t="s">
        <v>30</v>
      </c>
      <c r="E21" s="9"/>
      <c r="F21" s="9"/>
      <c r="G21" s="9">
        <v>1.85</v>
      </c>
      <c r="I21" s="9">
        <v>60</v>
      </c>
      <c r="J21" s="9"/>
      <c r="K21" s="9"/>
      <c r="L21" s="9"/>
    </row>
    <row r="22" spans="1:12" ht="15" x14ac:dyDescent="0.15">
      <c r="A22" s="6" t="s">
        <v>69</v>
      </c>
      <c r="B22" s="13" t="s">
        <v>70</v>
      </c>
      <c r="C22" s="35" t="s">
        <v>29</v>
      </c>
      <c r="D22" s="9" t="s">
        <v>30</v>
      </c>
      <c r="E22" s="9"/>
      <c r="F22" s="9"/>
      <c r="G22" s="9">
        <v>1.9</v>
      </c>
      <c r="I22" s="9">
        <v>60</v>
      </c>
      <c r="J22" s="9"/>
      <c r="K22" s="9"/>
      <c r="L22" s="9"/>
    </row>
    <row r="23" spans="1:12" ht="15" x14ac:dyDescent="0.15">
      <c r="A23" s="6" t="s">
        <v>71</v>
      </c>
      <c r="B23" s="13" t="s">
        <v>72</v>
      </c>
      <c r="C23" s="35" t="s">
        <v>29</v>
      </c>
      <c r="D23" s="9" t="s">
        <v>30</v>
      </c>
      <c r="E23" s="9"/>
      <c r="F23" s="9"/>
      <c r="G23" s="9">
        <v>1.95</v>
      </c>
      <c r="I23" s="9">
        <v>60</v>
      </c>
      <c r="J23" s="9"/>
      <c r="K23" s="9"/>
      <c r="L23" s="9"/>
    </row>
    <row r="24" spans="1:12" ht="15" x14ac:dyDescent="0.15">
      <c r="A24" s="6" t="s">
        <v>73</v>
      </c>
      <c r="B24" s="13" t="s">
        <v>74</v>
      </c>
      <c r="C24" s="35" t="s">
        <v>29</v>
      </c>
      <c r="D24" s="9" t="s">
        <v>30</v>
      </c>
      <c r="E24" s="9"/>
      <c r="F24" s="9"/>
      <c r="G24" s="9">
        <v>2</v>
      </c>
      <c r="I24" s="9">
        <v>60</v>
      </c>
      <c r="J24" s="9"/>
      <c r="K24" s="9"/>
      <c r="L24" s="9"/>
    </row>
    <row r="25" spans="1:12" ht="15" x14ac:dyDescent="0.15">
      <c r="A25" s="6" t="s">
        <v>75</v>
      </c>
      <c r="B25" s="13" t="s">
        <v>76</v>
      </c>
      <c r="C25" s="35" t="s">
        <v>29</v>
      </c>
      <c r="D25" s="9" t="s">
        <v>30</v>
      </c>
      <c r="E25" s="9"/>
      <c r="F25" s="9"/>
      <c r="G25" s="9">
        <v>2.0499999999999998</v>
      </c>
      <c r="I25" s="9">
        <v>60</v>
      </c>
      <c r="J25" s="9"/>
      <c r="K25" s="9"/>
      <c r="L25" s="9"/>
    </row>
    <row r="26" spans="1:12" ht="15" x14ac:dyDescent="0.15">
      <c r="A26" s="6" t="s">
        <v>77</v>
      </c>
      <c r="B26" s="13" t="s">
        <v>78</v>
      </c>
      <c r="C26" s="35" t="s">
        <v>29</v>
      </c>
      <c r="D26" s="9" t="s">
        <v>30</v>
      </c>
      <c r="E26" s="9"/>
      <c r="F26" s="9"/>
      <c r="G26" s="9">
        <v>2.1</v>
      </c>
      <c r="I26" s="9">
        <v>60</v>
      </c>
      <c r="J26" s="9"/>
      <c r="K26" s="9"/>
      <c r="L26" s="9"/>
    </row>
    <row r="27" spans="1:12" ht="15" x14ac:dyDescent="0.15">
      <c r="A27" s="6" t="s">
        <v>79</v>
      </c>
      <c r="B27" s="13" t="s">
        <v>80</v>
      </c>
      <c r="C27" s="35" t="s">
        <v>29</v>
      </c>
      <c r="D27" s="9" t="s">
        <v>30</v>
      </c>
      <c r="E27" s="9"/>
      <c r="F27" s="9"/>
      <c r="G27" s="9">
        <v>2.15</v>
      </c>
      <c r="I27" s="9">
        <v>60</v>
      </c>
      <c r="J27" s="9"/>
      <c r="K27" s="9"/>
      <c r="L27" s="9"/>
    </row>
    <row r="28" spans="1:12" ht="15" x14ac:dyDescent="0.15">
      <c r="A28" s="6" t="s">
        <v>346</v>
      </c>
      <c r="B28" s="13" t="s">
        <v>82</v>
      </c>
      <c r="C28" s="35" t="s">
        <v>29</v>
      </c>
      <c r="D28" s="9" t="s">
        <v>30</v>
      </c>
      <c r="E28" s="9"/>
      <c r="F28" s="9"/>
      <c r="G28" s="9">
        <v>2.2000000000000002</v>
      </c>
      <c r="I28" s="9">
        <v>60</v>
      </c>
      <c r="J28" s="9"/>
      <c r="K28" s="9"/>
      <c r="L28" s="9"/>
    </row>
    <row r="29" spans="1:12" ht="15" x14ac:dyDescent="0.15">
      <c r="A29" s="6" t="s">
        <v>81</v>
      </c>
      <c r="B29" s="13" t="s">
        <v>84</v>
      </c>
      <c r="C29" s="35" t="s">
        <v>29</v>
      </c>
      <c r="D29" s="3" t="s">
        <v>37</v>
      </c>
      <c r="E29" s="9"/>
      <c r="F29" s="9"/>
      <c r="G29" s="9">
        <v>1.5</v>
      </c>
      <c r="I29" s="9">
        <v>60</v>
      </c>
      <c r="J29" s="9"/>
      <c r="K29" s="9"/>
      <c r="L29" s="9"/>
    </row>
    <row r="30" spans="1:12" ht="15" x14ac:dyDescent="0.15">
      <c r="A30" s="6" t="s">
        <v>83</v>
      </c>
      <c r="B30" s="13" t="s">
        <v>86</v>
      </c>
      <c r="C30" s="35" t="s">
        <v>29</v>
      </c>
      <c r="D30" s="3" t="s">
        <v>37</v>
      </c>
      <c r="E30" s="9"/>
      <c r="F30" s="9"/>
      <c r="G30" s="9">
        <v>1.55</v>
      </c>
      <c r="I30" s="9">
        <v>60</v>
      </c>
      <c r="J30" s="9"/>
      <c r="K30" s="9"/>
      <c r="L30" s="9"/>
    </row>
    <row r="31" spans="1:12" ht="15" x14ac:dyDescent="0.15">
      <c r="A31" s="6" t="s">
        <v>85</v>
      </c>
      <c r="B31" s="13" t="s">
        <v>88</v>
      </c>
      <c r="C31" s="35" t="s">
        <v>29</v>
      </c>
      <c r="D31" s="3" t="s">
        <v>37</v>
      </c>
      <c r="E31" s="9"/>
      <c r="F31" s="9"/>
      <c r="G31" s="9">
        <v>1.6</v>
      </c>
      <c r="I31" s="9">
        <v>60</v>
      </c>
      <c r="J31" s="9"/>
      <c r="K31" s="9"/>
      <c r="L31" s="9"/>
    </row>
    <row r="32" spans="1:12" ht="15" x14ac:dyDescent="0.15">
      <c r="A32" s="6" t="s">
        <v>87</v>
      </c>
      <c r="B32" s="13" t="s">
        <v>90</v>
      </c>
      <c r="C32" s="35" t="s">
        <v>29</v>
      </c>
      <c r="D32" s="3" t="s">
        <v>37</v>
      </c>
      <c r="E32" s="9"/>
      <c r="F32" s="9"/>
      <c r="G32" s="9">
        <v>1.65</v>
      </c>
      <c r="I32" s="9">
        <v>60</v>
      </c>
      <c r="J32" s="9"/>
      <c r="K32" s="9"/>
      <c r="L32" s="9"/>
    </row>
    <row r="33" spans="1:12" ht="15" x14ac:dyDescent="0.15">
      <c r="A33" s="6" t="s">
        <v>89</v>
      </c>
      <c r="B33" s="13" t="s">
        <v>92</v>
      </c>
      <c r="C33" s="35" t="s">
        <v>29</v>
      </c>
      <c r="D33" s="3" t="s">
        <v>37</v>
      </c>
      <c r="E33" s="9"/>
      <c r="F33" s="9"/>
      <c r="G33" s="9">
        <v>1.7</v>
      </c>
      <c r="I33" s="9">
        <v>60</v>
      </c>
      <c r="J33" s="9"/>
      <c r="K33" s="9"/>
      <c r="L33" s="9"/>
    </row>
    <row r="34" spans="1:12" ht="15" x14ac:dyDescent="0.15">
      <c r="A34" s="6" t="s">
        <v>91</v>
      </c>
      <c r="B34" s="13" t="s">
        <v>94</v>
      </c>
      <c r="C34" s="35" t="s">
        <v>29</v>
      </c>
      <c r="D34" s="3" t="s">
        <v>40</v>
      </c>
      <c r="E34" s="9"/>
      <c r="F34" s="9"/>
      <c r="G34" s="9">
        <v>4</v>
      </c>
      <c r="I34" s="9">
        <v>60</v>
      </c>
      <c r="J34" s="9"/>
      <c r="K34" s="9"/>
      <c r="L34" s="9"/>
    </row>
    <row r="35" spans="1:12" ht="15" x14ac:dyDescent="0.15">
      <c r="A35" s="6" t="s">
        <v>93</v>
      </c>
      <c r="B35" s="13" t="s">
        <v>96</v>
      </c>
      <c r="C35" s="35" t="s">
        <v>29</v>
      </c>
      <c r="D35" s="3" t="s">
        <v>40</v>
      </c>
      <c r="E35" s="9"/>
      <c r="F35" s="9"/>
      <c r="G35" s="9">
        <v>4.0999999999999996</v>
      </c>
      <c r="I35" s="9">
        <v>60</v>
      </c>
      <c r="J35" s="9"/>
      <c r="K35" s="9"/>
      <c r="L35" s="9"/>
    </row>
    <row r="36" spans="1:12" ht="15" x14ac:dyDescent="0.15">
      <c r="A36" s="6" t="s">
        <v>95</v>
      </c>
      <c r="B36" s="13" t="s">
        <v>98</v>
      </c>
      <c r="C36" s="35" t="s">
        <v>29</v>
      </c>
      <c r="D36" s="3" t="s">
        <v>40</v>
      </c>
      <c r="E36" s="9"/>
      <c r="F36" s="9"/>
      <c r="G36" s="9">
        <v>4.2</v>
      </c>
      <c r="I36" s="9">
        <v>60</v>
      </c>
      <c r="J36" s="9"/>
      <c r="K36" s="9"/>
      <c r="L36" s="9"/>
    </row>
    <row r="37" spans="1:12" ht="15" x14ac:dyDescent="0.15">
      <c r="A37" s="6" t="s">
        <v>97</v>
      </c>
      <c r="B37" s="13" t="s">
        <v>100</v>
      </c>
      <c r="C37" s="35" t="s">
        <v>29</v>
      </c>
      <c r="D37" s="3" t="s">
        <v>40</v>
      </c>
      <c r="E37" s="9"/>
      <c r="F37" s="9"/>
      <c r="G37" s="9">
        <v>4.3</v>
      </c>
      <c r="I37" s="9">
        <v>60</v>
      </c>
      <c r="J37" s="9"/>
      <c r="K37" s="9"/>
      <c r="L37" s="9"/>
    </row>
    <row r="38" spans="1:12" ht="15" x14ac:dyDescent="0.15">
      <c r="A38" s="6" t="s">
        <v>99</v>
      </c>
      <c r="B38" s="13" t="s">
        <v>102</v>
      </c>
      <c r="C38" s="35" t="s">
        <v>29</v>
      </c>
      <c r="D38" s="3" t="s">
        <v>40</v>
      </c>
      <c r="E38" s="9"/>
      <c r="F38" s="9"/>
      <c r="G38" s="9">
        <v>4.4000000000000004</v>
      </c>
      <c r="I38" s="9">
        <v>60</v>
      </c>
      <c r="J38" s="9"/>
      <c r="K38" s="9"/>
      <c r="L38" s="9"/>
    </row>
    <row r="39" spans="1:12" ht="15" x14ac:dyDescent="0.15">
      <c r="A39" s="12" t="s">
        <v>101</v>
      </c>
      <c r="B39" s="13" t="s">
        <v>104</v>
      </c>
      <c r="C39" s="12" t="s">
        <v>29</v>
      </c>
      <c r="D39" s="6"/>
      <c r="F39" s="3"/>
      <c r="G39" s="6">
        <v>0.8</v>
      </c>
      <c r="I39" s="9">
        <v>10</v>
      </c>
      <c r="J39" s="9"/>
      <c r="K39" s="9"/>
      <c r="L39" s="9"/>
    </row>
    <row r="40" spans="1:12" ht="15" x14ac:dyDescent="0.15">
      <c r="A40" s="12" t="s">
        <v>103</v>
      </c>
      <c r="B40" s="13" t="s">
        <v>107</v>
      </c>
      <c r="C40" s="12" t="s">
        <v>29</v>
      </c>
      <c r="D40" s="6" t="s">
        <v>105</v>
      </c>
      <c r="F40" s="3"/>
      <c r="G40" s="6">
        <v>0.7</v>
      </c>
      <c r="I40" s="9">
        <v>10</v>
      </c>
      <c r="J40" s="9"/>
      <c r="K40" s="9"/>
      <c r="L40" s="9"/>
    </row>
    <row r="41" spans="1:12" ht="15" x14ac:dyDescent="0.15">
      <c r="A41" s="12" t="s">
        <v>106</v>
      </c>
      <c r="B41" s="13" t="s">
        <v>109</v>
      </c>
      <c r="C41" s="12" t="s">
        <v>29</v>
      </c>
      <c r="D41" s="6" t="s">
        <v>105</v>
      </c>
      <c r="F41" s="3"/>
      <c r="G41" s="6">
        <v>0.8</v>
      </c>
      <c r="I41" s="9">
        <v>10</v>
      </c>
      <c r="J41" s="9"/>
      <c r="K41" s="9"/>
      <c r="L41" s="9"/>
    </row>
    <row r="42" spans="1:12" ht="15" x14ac:dyDescent="0.15">
      <c r="A42" s="12" t="s">
        <v>108</v>
      </c>
      <c r="B42" s="13" t="s">
        <v>111</v>
      </c>
      <c r="C42" s="12" t="s">
        <v>29</v>
      </c>
      <c r="D42" s="6" t="s">
        <v>105</v>
      </c>
      <c r="F42" s="3"/>
      <c r="G42" s="6">
        <v>1</v>
      </c>
      <c r="I42" s="9">
        <v>10</v>
      </c>
      <c r="J42" s="9"/>
      <c r="K42" s="9"/>
      <c r="L42" s="9"/>
    </row>
    <row r="43" spans="1:12" ht="15" x14ac:dyDescent="0.15">
      <c r="A43" s="12" t="s">
        <v>110</v>
      </c>
      <c r="B43" s="13" t="s">
        <v>114</v>
      </c>
      <c r="C43" s="12" t="s">
        <v>112</v>
      </c>
      <c r="D43" s="6"/>
      <c r="F43" s="3"/>
      <c r="G43" s="6">
        <v>0.7</v>
      </c>
      <c r="I43" s="9">
        <v>10</v>
      </c>
      <c r="J43" s="9"/>
      <c r="K43" s="9"/>
      <c r="L43" s="9"/>
    </row>
    <row r="44" spans="1:12" ht="15" x14ac:dyDescent="0.15">
      <c r="A44" s="12" t="s">
        <v>113</v>
      </c>
      <c r="B44" s="13" t="s">
        <v>116</v>
      </c>
      <c r="C44" s="12" t="s">
        <v>112</v>
      </c>
      <c r="D44" s="6"/>
      <c r="F44" s="3"/>
      <c r="G44" s="6">
        <v>0.8</v>
      </c>
      <c r="I44" s="9">
        <v>10</v>
      </c>
      <c r="J44" s="9"/>
      <c r="K44" s="9"/>
      <c r="L44" s="9"/>
    </row>
    <row r="45" spans="1:12" ht="15" x14ac:dyDescent="0.15">
      <c r="A45" s="12" t="s">
        <v>115</v>
      </c>
      <c r="B45" s="13" t="s">
        <v>118</v>
      </c>
      <c r="C45" s="12" t="s">
        <v>112</v>
      </c>
      <c r="D45" s="6"/>
      <c r="F45" s="3"/>
      <c r="G45" s="6">
        <v>0.85</v>
      </c>
      <c r="I45" s="9">
        <v>10</v>
      </c>
      <c r="J45" s="9"/>
      <c r="K45" s="9"/>
      <c r="L45" s="9"/>
    </row>
    <row r="46" spans="1:12" ht="15" x14ac:dyDescent="0.15">
      <c r="A46" s="12" t="s">
        <v>117</v>
      </c>
      <c r="B46" s="13" t="s">
        <v>120</v>
      </c>
      <c r="C46" s="12" t="s">
        <v>112</v>
      </c>
      <c r="D46" s="6"/>
      <c r="F46" s="3"/>
      <c r="G46" s="6">
        <v>0.9</v>
      </c>
      <c r="I46" s="9">
        <v>10</v>
      </c>
      <c r="J46" s="9"/>
      <c r="K46" s="9"/>
      <c r="L46" s="9"/>
    </row>
    <row r="47" spans="1:12" ht="15" x14ac:dyDescent="0.15">
      <c r="A47" s="12" t="s">
        <v>119</v>
      </c>
      <c r="B47" s="13" t="s">
        <v>123</v>
      </c>
      <c r="C47" s="12" t="s">
        <v>121</v>
      </c>
      <c r="D47" s="6"/>
      <c r="F47" s="3"/>
      <c r="G47" s="6">
        <v>0.7</v>
      </c>
      <c r="I47" s="9">
        <v>10</v>
      </c>
      <c r="J47" s="9"/>
      <c r="K47" s="9"/>
      <c r="L47" s="9"/>
    </row>
    <row r="48" spans="1:12" ht="15" x14ac:dyDescent="0.15">
      <c r="A48" s="12" t="s">
        <v>122</v>
      </c>
      <c r="B48" s="13" t="s">
        <v>125</v>
      </c>
      <c r="C48" s="12" t="s">
        <v>121</v>
      </c>
      <c r="D48" s="6"/>
      <c r="F48" s="3"/>
      <c r="G48" s="6">
        <v>0.8</v>
      </c>
      <c r="I48" s="9">
        <v>10</v>
      </c>
      <c r="J48" s="9"/>
      <c r="K48" s="9"/>
      <c r="L48" s="9"/>
    </row>
    <row r="49" spans="1:12" ht="15" x14ac:dyDescent="0.15">
      <c r="A49" s="12" t="s">
        <v>124</v>
      </c>
      <c r="B49" s="13" t="s">
        <v>126</v>
      </c>
      <c r="C49" s="12" t="s">
        <v>121</v>
      </c>
      <c r="D49" s="36"/>
      <c r="F49" s="3"/>
      <c r="G49" s="6">
        <v>0.85</v>
      </c>
      <c r="I49" s="9">
        <v>10</v>
      </c>
      <c r="J49" s="9"/>
      <c r="K49" s="9"/>
      <c r="L49" s="9"/>
    </row>
    <row r="50" spans="1:12" ht="15" x14ac:dyDescent="0.15">
      <c r="A50" s="12" t="s">
        <v>226</v>
      </c>
      <c r="B50" s="13" t="s">
        <v>127</v>
      </c>
      <c r="C50" s="12" t="s">
        <v>29</v>
      </c>
      <c r="D50" s="36" t="s">
        <v>357</v>
      </c>
      <c r="F50" s="3"/>
      <c r="G50" s="9">
        <v>1</v>
      </c>
      <c r="H50" s="9"/>
      <c r="I50" s="9">
        <v>10</v>
      </c>
      <c r="J50" s="9"/>
      <c r="K50" s="9"/>
      <c r="L50" s="9"/>
    </row>
    <row r="51" spans="1:12" ht="15" x14ac:dyDescent="0.15">
      <c r="A51" s="12" t="s">
        <v>227</v>
      </c>
      <c r="B51" s="13" t="s">
        <v>128</v>
      </c>
      <c r="C51" s="12" t="s">
        <v>29</v>
      </c>
      <c r="D51" s="36" t="s">
        <v>357</v>
      </c>
      <c r="F51" s="3"/>
      <c r="G51" s="9">
        <v>1.1000000000000001</v>
      </c>
      <c r="H51" s="9"/>
      <c r="I51" s="9">
        <v>10</v>
      </c>
      <c r="J51" s="9"/>
      <c r="K51" s="9"/>
      <c r="L51" s="9"/>
    </row>
    <row r="52" spans="1:12" ht="15" x14ac:dyDescent="0.15">
      <c r="A52" s="12" t="s">
        <v>228</v>
      </c>
      <c r="B52" s="13" t="s">
        <v>129</v>
      </c>
      <c r="C52" s="12" t="s">
        <v>29</v>
      </c>
      <c r="D52" s="36" t="s">
        <v>357</v>
      </c>
      <c r="F52" s="3"/>
      <c r="G52" s="9">
        <v>1.2</v>
      </c>
      <c r="H52" s="9"/>
      <c r="I52" s="9">
        <v>10</v>
      </c>
      <c r="J52" s="9"/>
      <c r="K52" s="9"/>
      <c r="L52" s="9"/>
    </row>
    <row r="53" spans="1:12" ht="15" x14ac:dyDescent="0.15">
      <c r="A53" s="12" t="s">
        <v>229</v>
      </c>
      <c r="B53" s="13" t="s">
        <v>130</v>
      </c>
      <c r="C53" s="12" t="s">
        <v>29</v>
      </c>
      <c r="D53" s="36" t="s">
        <v>357</v>
      </c>
      <c r="F53" s="3"/>
      <c r="G53" s="9">
        <v>1.3</v>
      </c>
      <c r="H53" s="9"/>
      <c r="I53" s="9">
        <v>10</v>
      </c>
      <c r="J53" s="9"/>
      <c r="K53" s="9"/>
      <c r="L53" s="9"/>
    </row>
    <row r="54" spans="1:12" ht="15" x14ac:dyDescent="0.15">
      <c r="A54" s="12" t="s">
        <v>230</v>
      </c>
      <c r="B54" s="13" t="s">
        <v>131</v>
      </c>
      <c r="C54" s="12" t="s">
        <v>29</v>
      </c>
      <c r="D54" s="36" t="s">
        <v>357</v>
      </c>
      <c r="E54" s="9"/>
      <c r="F54" s="9"/>
      <c r="G54" s="9">
        <v>1.4</v>
      </c>
      <c r="H54" s="9"/>
      <c r="I54" s="9">
        <v>10</v>
      </c>
      <c r="J54" s="9"/>
      <c r="K54" s="9"/>
      <c r="L54" s="9"/>
    </row>
    <row r="55" spans="1:12" ht="15" x14ac:dyDescent="0.15">
      <c r="A55" s="12" t="s">
        <v>232</v>
      </c>
      <c r="B55" s="13" t="s">
        <v>132</v>
      </c>
      <c r="C55" s="12" t="s">
        <v>238</v>
      </c>
      <c r="D55" s="36"/>
      <c r="E55" s="9"/>
      <c r="F55" s="9"/>
      <c r="G55" s="9">
        <v>1</v>
      </c>
      <c r="H55" s="9"/>
      <c r="I55" s="9">
        <v>10</v>
      </c>
      <c r="J55" s="9"/>
      <c r="K55" s="9"/>
      <c r="L55" s="9"/>
    </row>
    <row r="56" spans="1:12" ht="15" x14ac:dyDescent="0.15">
      <c r="A56" s="12" t="s">
        <v>233</v>
      </c>
      <c r="B56" s="13" t="s">
        <v>133</v>
      </c>
      <c r="C56" s="12" t="s">
        <v>236</v>
      </c>
      <c r="D56" s="36"/>
      <c r="E56" s="9"/>
      <c r="F56" s="9"/>
      <c r="G56" s="9">
        <v>1</v>
      </c>
      <c r="I56" s="9">
        <v>10</v>
      </c>
      <c r="J56" s="9"/>
      <c r="K56" s="9"/>
      <c r="L56" s="9"/>
    </row>
    <row r="57" spans="1:12" ht="15" x14ac:dyDescent="0.15">
      <c r="A57" s="12" t="s">
        <v>234</v>
      </c>
      <c r="B57" s="13" t="s">
        <v>134</v>
      </c>
      <c r="C57" s="12" t="s">
        <v>237</v>
      </c>
      <c r="D57" s="36"/>
      <c r="E57" s="9"/>
      <c r="F57" s="9"/>
      <c r="G57" s="9">
        <v>1</v>
      </c>
      <c r="I57" s="9">
        <v>10</v>
      </c>
      <c r="J57" s="9"/>
      <c r="K57" s="9"/>
      <c r="L57" s="9"/>
    </row>
    <row r="58" spans="1:12" ht="15" x14ac:dyDescent="0.15">
      <c r="A58" s="12" t="s">
        <v>235</v>
      </c>
      <c r="B58" s="13" t="s">
        <v>135</v>
      </c>
      <c r="C58" s="12" t="s">
        <v>237</v>
      </c>
      <c r="D58" s="36"/>
      <c r="E58" s="9"/>
      <c r="F58" s="9"/>
      <c r="G58" s="9">
        <v>1.2</v>
      </c>
      <c r="I58" s="9">
        <v>10</v>
      </c>
      <c r="J58" s="9"/>
      <c r="K58" s="9"/>
      <c r="L58" s="9"/>
    </row>
    <row r="59" spans="1:12" ht="15" x14ac:dyDescent="0.15">
      <c r="A59" s="12" t="s">
        <v>239</v>
      </c>
      <c r="B59" s="13" t="s">
        <v>136</v>
      </c>
      <c r="C59" s="12" t="s">
        <v>29</v>
      </c>
      <c r="D59" s="36" t="s">
        <v>243</v>
      </c>
      <c r="E59" s="9"/>
      <c r="F59" s="9"/>
      <c r="G59" s="9">
        <v>1</v>
      </c>
      <c r="I59" s="9">
        <v>60</v>
      </c>
      <c r="J59" s="9"/>
      <c r="K59" s="9"/>
      <c r="L59" s="9"/>
    </row>
    <row r="60" spans="1:12" ht="15" x14ac:dyDescent="0.15">
      <c r="A60" s="12" t="s">
        <v>240</v>
      </c>
      <c r="B60" s="13" t="s">
        <v>137</v>
      </c>
      <c r="C60" s="12" t="s">
        <v>29</v>
      </c>
      <c r="D60" s="36" t="s">
        <v>244</v>
      </c>
      <c r="E60" s="9"/>
      <c r="F60" s="9"/>
      <c r="G60" s="9">
        <v>1</v>
      </c>
      <c r="I60" s="9">
        <v>60</v>
      </c>
      <c r="J60" s="9"/>
      <c r="K60" s="9"/>
      <c r="L60" s="9"/>
    </row>
    <row r="61" spans="1:12" ht="15" x14ac:dyDescent="0.15">
      <c r="A61" s="12" t="s">
        <v>241</v>
      </c>
      <c r="B61" s="13" t="s">
        <v>138</v>
      </c>
      <c r="C61" s="12" t="s">
        <v>121</v>
      </c>
      <c r="D61" s="36" t="s">
        <v>245</v>
      </c>
      <c r="E61" s="9"/>
      <c r="F61" s="9"/>
      <c r="G61" s="9">
        <v>1</v>
      </c>
      <c r="I61" s="9">
        <v>60</v>
      </c>
      <c r="J61" s="9"/>
      <c r="K61" s="9"/>
      <c r="L61" s="9"/>
    </row>
    <row r="62" spans="1:12" ht="15" x14ac:dyDescent="0.15">
      <c r="A62" s="12" t="s">
        <v>242</v>
      </c>
      <c r="B62" s="13" t="s">
        <v>259</v>
      </c>
      <c r="C62" s="12" t="s">
        <v>29</v>
      </c>
      <c r="D62" s="36" t="s">
        <v>139</v>
      </c>
      <c r="E62" s="9"/>
      <c r="F62" s="9"/>
      <c r="G62" s="9">
        <v>1</v>
      </c>
      <c r="I62" s="9">
        <v>60</v>
      </c>
      <c r="J62" s="9"/>
      <c r="K62" s="9"/>
      <c r="L62" s="9"/>
    </row>
    <row r="63" spans="1:12" ht="15" x14ac:dyDescent="0.15">
      <c r="A63" s="12" t="s">
        <v>301</v>
      </c>
      <c r="B63" s="13" t="s">
        <v>260</v>
      </c>
      <c r="C63" s="35" t="s">
        <v>302</v>
      </c>
      <c r="D63" s="9"/>
      <c r="E63" s="9"/>
      <c r="F63" s="9"/>
      <c r="G63" s="9">
        <v>1</v>
      </c>
      <c r="H63" s="9"/>
      <c r="I63" s="9">
        <v>10</v>
      </c>
    </row>
    <row r="64" spans="1:12" ht="15" x14ac:dyDescent="0.15">
      <c r="A64" s="12" t="s">
        <v>246</v>
      </c>
      <c r="B64" s="13" t="s">
        <v>261</v>
      </c>
      <c r="C64" s="35" t="s">
        <v>289</v>
      </c>
      <c r="D64" s="9"/>
      <c r="F64" s="3"/>
      <c r="G64" s="9">
        <v>1</v>
      </c>
      <c r="I64" s="9">
        <v>10</v>
      </c>
    </row>
    <row r="65" spans="1:9" ht="15" x14ac:dyDescent="0.15">
      <c r="A65" s="12" t="s">
        <v>307</v>
      </c>
      <c r="B65" s="13" t="s">
        <v>262</v>
      </c>
      <c r="C65" s="35" t="s">
        <v>306</v>
      </c>
      <c r="D65" s="9"/>
      <c r="F65" s="3"/>
      <c r="G65" s="9">
        <v>1</v>
      </c>
      <c r="I65" s="9">
        <v>10</v>
      </c>
    </row>
    <row r="66" spans="1:9" ht="15" x14ac:dyDescent="0.15">
      <c r="A66" s="12" t="s">
        <v>308</v>
      </c>
      <c r="B66" s="13" t="s">
        <v>263</v>
      </c>
      <c r="C66" s="35" t="s">
        <v>309</v>
      </c>
      <c r="D66" s="9"/>
      <c r="F66" s="3"/>
      <c r="G66" s="9">
        <v>1</v>
      </c>
      <c r="I66" s="9">
        <v>10</v>
      </c>
    </row>
    <row r="67" spans="1:9" ht="15" x14ac:dyDescent="0.15">
      <c r="A67" s="12" t="s">
        <v>247</v>
      </c>
      <c r="B67" s="13" t="s">
        <v>264</v>
      </c>
      <c r="C67" s="35" t="s">
        <v>290</v>
      </c>
      <c r="D67" s="9"/>
      <c r="F67" s="3"/>
      <c r="G67" s="9">
        <v>1</v>
      </c>
      <c r="I67" s="9">
        <v>10</v>
      </c>
    </row>
    <row r="68" spans="1:9" ht="15" x14ac:dyDescent="0.15">
      <c r="A68" s="12" t="s">
        <v>303</v>
      </c>
      <c r="B68" s="13" t="s">
        <v>265</v>
      </c>
      <c r="C68" s="35" t="s">
        <v>344</v>
      </c>
      <c r="D68" s="9"/>
      <c r="F68" s="3"/>
      <c r="G68" s="9">
        <v>1.2</v>
      </c>
      <c r="I68" s="9">
        <v>10</v>
      </c>
    </row>
    <row r="69" spans="1:9" ht="15" x14ac:dyDescent="0.15">
      <c r="A69" s="12" t="s">
        <v>248</v>
      </c>
      <c r="B69" s="13" t="s">
        <v>266</v>
      </c>
      <c r="C69" s="35" t="s">
        <v>345</v>
      </c>
      <c r="D69" s="9"/>
      <c r="F69" s="3"/>
      <c r="G69" s="9">
        <v>1.2</v>
      </c>
      <c r="I69" s="9">
        <v>10</v>
      </c>
    </row>
    <row r="70" spans="1:9" ht="15" x14ac:dyDescent="0.15">
      <c r="A70" s="12" t="s">
        <v>249</v>
      </c>
      <c r="B70" s="13" t="s">
        <v>267</v>
      </c>
      <c r="C70" s="35" t="s">
        <v>291</v>
      </c>
      <c r="D70" s="9"/>
      <c r="F70" s="3"/>
      <c r="G70" s="9">
        <v>1.2</v>
      </c>
      <c r="I70" s="9">
        <v>10</v>
      </c>
    </row>
    <row r="71" spans="1:9" ht="15" x14ac:dyDescent="0.15">
      <c r="A71" s="12" t="s">
        <v>250</v>
      </c>
      <c r="B71" s="13" t="s">
        <v>268</v>
      </c>
      <c r="C71" s="35" t="s">
        <v>292</v>
      </c>
      <c r="D71" s="9"/>
      <c r="F71" s="3"/>
      <c r="G71" s="9">
        <v>1.2</v>
      </c>
      <c r="I71" s="9">
        <v>10</v>
      </c>
    </row>
    <row r="72" spans="1:9" ht="15" x14ac:dyDescent="0.15">
      <c r="A72" s="12" t="s">
        <v>311</v>
      </c>
      <c r="B72" s="13" t="s">
        <v>269</v>
      </c>
      <c r="C72" s="35" t="s">
        <v>310</v>
      </c>
      <c r="D72" s="9"/>
      <c r="F72" s="3"/>
      <c r="G72" s="9">
        <v>1.2</v>
      </c>
      <c r="I72" s="9">
        <v>10</v>
      </c>
    </row>
    <row r="73" spans="1:9" ht="15" x14ac:dyDescent="0.15">
      <c r="A73" s="12" t="s">
        <v>305</v>
      </c>
      <c r="B73" s="13" t="s">
        <v>270</v>
      </c>
      <c r="C73" s="35" t="s">
        <v>304</v>
      </c>
      <c r="D73" s="9"/>
      <c r="F73" s="3"/>
      <c r="G73" s="9">
        <v>1.2</v>
      </c>
      <c r="I73" s="9">
        <v>10</v>
      </c>
    </row>
    <row r="74" spans="1:9" ht="15" x14ac:dyDescent="0.15">
      <c r="A74" s="12" t="s">
        <v>251</v>
      </c>
      <c r="B74" s="13" t="s">
        <v>271</v>
      </c>
      <c r="C74" s="35" t="s">
        <v>293</v>
      </c>
      <c r="D74" s="9"/>
      <c r="F74" s="3"/>
      <c r="G74" s="9">
        <v>1</v>
      </c>
      <c r="I74" s="9">
        <v>10</v>
      </c>
    </row>
    <row r="75" spans="1:9" ht="15" x14ac:dyDescent="0.15">
      <c r="A75" s="12" t="s">
        <v>252</v>
      </c>
      <c r="B75" s="13" t="s">
        <v>272</v>
      </c>
      <c r="C75" s="35" t="s">
        <v>294</v>
      </c>
      <c r="D75" s="9"/>
      <c r="F75" s="3"/>
      <c r="G75" s="9">
        <v>1</v>
      </c>
      <c r="I75" s="9">
        <v>10</v>
      </c>
    </row>
    <row r="76" spans="1:9" ht="15" x14ac:dyDescent="0.15">
      <c r="A76" s="12" t="s">
        <v>253</v>
      </c>
      <c r="B76" s="13" t="s">
        <v>273</v>
      </c>
      <c r="C76" s="35" t="s">
        <v>295</v>
      </c>
      <c r="D76" s="9"/>
      <c r="F76" s="3"/>
      <c r="G76" s="9">
        <v>1</v>
      </c>
      <c r="I76" s="9">
        <v>10</v>
      </c>
    </row>
    <row r="77" spans="1:9" ht="15" x14ac:dyDescent="0.15">
      <c r="A77" s="12" t="s">
        <v>312</v>
      </c>
      <c r="B77" s="13" t="s">
        <v>274</v>
      </c>
      <c r="C77" s="35" t="s">
        <v>313</v>
      </c>
      <c r="D77" s="9"/>
      <c r="F77" s="3"/>
      <c r="G77" s="9">
        <v>1</v>
      </c>
      <c r="I77" s="9">
        <v>10</v>
      </c>
    </row>
    <row r="78" spans="1:9" ht="15" x14ac:dyDescent="0.15">
      <c r="A78" s="12" t="s">
        <v>254</v>
      </c>
      <c r="B78" s="13" t="s">
        <v>275</v>
      </c>
      <c r="C78" s="35" t="s">
        <v>296</v>
      </c>
      <c r="D78" s="9"/>
      <c r="F78" s="3"/>
      <c r="G78" s="9">
        <v>1</v>
      </c>
      <c r="I78" s="9">
        <v>10</v>
      </c>
    </row>
    <row r="79" spans="1:9" ht="15" x14ac:dyDescent="0.15">
      <c r="A79" s="12" t="s">
        <v>255</v>
      </c>
      <c r="B79" s="13" t="s">
        <v>276</v>
      </c>
      <c r="C79" s="35" t="s">
        <v>297</v>
      </c>
      <c r="D79" s="9"/>
      <c r="F79" s="3"/>
      <c r="G79" s="9">
        <v>0.8</v>
      </c>
      <c r="I79" s="9">
        <v>10</v>
      </c>
    </row>
    <row r="80" spans="1:9" ht="15" x14ac:dyDescent="0.15">
      <c r="A80" s="12" t="s">
        <v>314</v>
      </c>
      <c r="B80" s="13" t="s">
        <v>277</v>
      </c>
      <c r="C80" s="35" t="s">
        <v>315</v>
      </c>
      <c r="D80" s="9"/>
      <c r="F80" s="3"/>
      <c r="G80" s="9">
        <v>0.7</v>
      </c>
      <c r="I80" s="9">
        <v>10</v>
      </c>
    </row>
    <row r="81" spans="1:9" ht="15" x14ac:dyDescent="0.15">
      <c r="A81" s="12" t="s">
        <v>256</v>
      </c>
      <c r="B81" s="13" t="s">
        <v>278</v>
      </c>
      <c r="C81" s="35" t="s">
        <v>298</v>
      </c>
      <c r="D81" s="9"/>
      <c r="F81" s="3"/>
      <c r="G81" s="9">
        <v>0.8</v>
      </c>
      <c r="I81" s="9">
        <v>10</v>
      </c>
    </row>
    <row r="82" spans="1:9" ht="15" x14ac:dyDescent="0.15">
      <c r="A82" s="12" t="s">
        <v>317</v>
      </c>
      <c r="B82" s="13" t="s">
        <v>279</v>
      </c>
      <c r="C82" s="35" t="s">
        <v>316</v>
      </c>
      <c r="D82" s="9"/>
      <c r="F82" s="3"/>
      <c r="G82" s="9">
        <v>1</v>
      </c>
      <c r="I82" s="9">
        <v>10</v>
      </c>
    </row>
    <row r="83" spans="1:9" ht="15" x14ac:dyDescent="0.15">
      <c r="A83" s="12" t="s">
        <v>257</v>
      </c>
      <c r="B83" s="13" t="s">
        <v>280</v>
      </c>
      <c r="C83" s="35" t="s">
        <v>299</v>
      </c>
      <c r="D83" s="9"/>
      <c r="F83" s="3"/>
      <c r="G83" s="9">
        <v>0.5</v>
      </c>
      <c r="I83" s="9">
        <v>10</v>
      </c>
    </row>
    <row r="84" spans="1:9" ht="15" x14ac:dyDescent="0.15">
      <c r="A84" s="12" t="s">
        <v>318</v>
      </c>
      <c r="B84" s="13" t="s">
        <v>281</v>
      </c>
      <c r="C84" s="35" t="s">
        <v>319</v>
      </c>
      <c r="D84" s="9"/>
      <c r="F84" s="3"/>
      <c r="G84" s="9">
        <v>0.8</v>
      </c>
      <c r="I84" s="9">
        <v>10</v>
      </c>
    </row>
    <row r="85" spans="1:9" ht="15" x14ac:dyDescent="0.15">
      <c r="A85" s="12" t="s">
        <v>258</v>
      </c>
      <c r="B85" s="13" t="s">
        <v>282</v>
      </c>
      <c r="C85" s="35" t="s">
        <v>300</v>
      </c>
      <c r="D85" s="9"/>
      <c r="F85" s="3"/>
      <c r="G85" s="9">
        <v>0.7</v>
      </c>
      <c r="I85" s="9">
        <v>10</v>
      </c>
    </row>
    <row r="86" spans="1:9" ht="15" x14ac:dyDescent="0.15">
      <c r="A86" s="12" t="s">
        <v>321</v>
      </c>
      <c r="B86" s="13" t="s">
        <v>283</v>
      </c>
      <c r="C86" s="35" t="s">
        <v>320</v>
      </c>
      <c r="D86" s="9"/>
      <c r="F86" s="3"/>
      <c r="G86" s="9">
        <v>0.8</v>
      </c>
      <c r="I86" s="9">
        <v>10</v>
      </c>
    </row>
    <row r="87" spans="1:9" ht="15" x14ac:dyDescent="0.15">
      <c r="A87" s="12" t="s">
        <v>322</v>
      </c>
      <c r="B87" s="13" t="s">
        <v>284</v>
      </c>
      <c r="C87" s="35" t="s">
        <v>343</v>
      </c>
      <c r="D87" s="9"/>
      <c r="F87" s="3"/>
      <c r="G87" s="9">
        <v>0.8</v>
      </c>
      <c r="I87" s="9">
        <v>10</v>
      </c>
    </row>
    <row r="88" spans="1:9" ht="15" x14ac:dyDescent="0.15">
      <c r="A88" s="12" t="s">
        <v>324</v>
      </c>
      <c r="B88" s="13" t="s">
        <v>285</v>
      </c>
      <c r="C88" s="35" t="s">
        <v>29</v>
      </c>
      <c r="D88" s="6" t="s">
        <v>323</v>
      </c>
      <c r="F88" s="3"/>
      <c r="G88" s="6">
        <v>1.5</v>
      </c>
      <c r="I88" s="6">
        <v>60</v>
      </c>
    </row>
    <row r="89" spans="1:9" ht="15" x14ac:dyDescent="0.15">
      <c r="A89" s="12" t="s">
        <v>330</v>
      </c>
      <c r="B89" s="13" t="s">
        <v>286</v>
      </c>
      <c r="C89" s="35" t="s">
        <v>29</v>
      </c>
      <c r="D89" s="44" t="s">
        <v>325</v>
      </c>
      <c r="F89" s="3"/>
      <c r="G89" s="44">
        <v>2.2000000000000002</v>
      </c>
      <c r="I89" s="6">
        <v>60</v>
      </c>
    </row>
    <row r="90" spans="1:9" ht="15" x14ac:dyDescent="0.15">
      <c r="A90" s="45" t="s">
        <v>331</v>
      </c>
      <c r="B90" s="13" t="s">
        <v>287</v>
      </c>
      <c r="C90" s="35" t="s">
        <v>29</v>
      </c>
      <c r="D90" s="6" t="s">
        <v>326</v>
      </c>
      <c r="F90" s="3"/>
      <c r="G90" s="44">
        <v>2.2000000000000002</v>
      </c>
      <c r="I90" s="6">
        <v>60</v>
      </c>
    </row>
    <row r="91" spans="1:9" ht="15" x14ac:dyDescent="0.15">
      <c r="A91" s="43" t="s">
        <v>328</v>
      </c>
      <c r="B91" s="13" t="s">
        <v>288</v>
      </c>
      <c r="C91" s="35" t="s">
        <v>29</v>
      </c>
      <c r="D91" s="44" t="s">
        <v>327</v>
      </c>
      <c r="F91" s="3"/>
      <c r="G91" s="44">
        <v>4.8</v>
      </c>
      <c r="I91" s="6">
        <v>60</v>
      </c>
    </row>
    <row r="92" spans="1:9" ht="15" x14ac:dyDescent="0.15">
      <c r="A92" s="43" t="s">
        <v>332</v>
      </c>
      <c r="B92" s="13" t="s">
        <v>337</v>
      </c>
      <c r="C92" s="35" t="s">
        <v>29</v>
      </c>
      <c r="D92" s="6" t="s">
        <v>329</v>
      </c>
      <c r="F92" s="3"/>
      <c r="G92" s="6">
        <v>2</v>
      </c>
      <c r="I92" s="6">
        <v>60</v>
      </c>
    </row>
    <row r="93" spans="1:9" ht="15" x14ac:dyDescent="0.15">
      <c r="A93" s="47" t="s">
        <v>333</v>
      </c>
      <c r="B93" s="13" t="s">
        <v>338</v>
      </c>
      <c r="C93" s="35" t="s">
        <v>29</v>
      </c>
      <c r="D93" s="3" t="s">
        <v>341</v>
      </c>
      <c r="G93" s="44">
        <v>0.7</v>
      </c>
      <c r="I93" s="6">
        <v>60</v>
      </c>
    </row>
    <row r="94" spans="1:9" ht="15" x14ac:dyDescent="0.15">
      <c r="A94" s="47" t="s">
        <v>334</v>
      </c>
      <c r="B94" s="13" t="s">
        <v>339</v>
      </c>
      <c r="C94" s="35" t="s">
        <v>29</v>
      </c>
      <c r="D94" s="3" t="s">
        <v>340</v>
      </c>
      <c r="G94" s="44">
        <v>0.8</v>
      </c>
      <c r="I94" s="6">
        <v>60</v>
      </c>
    </row>
    <row r="95" spans="1:9" ht="15" x14ac:dyDescent="0.15">
      <c r="A95" s="47" t="s">
        <v>335</v>
      </c>
      <c r="B95" s="13" t="s">
        <v>342</v>
      </c>
      <c r="C95" s="35" t="s">
        <v>29</v>
      </c>
      <c r="D95" s="3" t="s">
        <v>340</v>
      </c>
      <c r="G95" s="44">
        <v>0.9</v>
      </c>
      <c r="I95" s="6">
        <v>60</v>
      </c>
    </row>
    <row r="96" spans="1:9" ht="15" x14ac:dyDescent="0.15">
      <c r="A96" s="47" t="s">
        <v>336</v>
      </c>
      <c r="B96" s="13" t="s">
        <v>348</v>
      </c>
      <c r="C96" s="35" t="s">
        <v>29</v>
      </c>
      <c r="D96" s="3" t="s">
        <v>340</v>
      </c>
      <c r="G96">
        <v>1</v>
      </c>
      <c r="I96" s="6">
        <v>60</v>
      </c>
    </row>
    <row r="97" spans="1:9" ht="15" x14ac:dyDescent="0.15">
      <c r="A97" s="47" t="s">
        <v>349</v>
      </c>
      <c r="B97" s="13" t="s">
        <v>350</v>
      </c>
      <c r="C97" s="35" t="s">
        <v>351</v>
      </c>
      <c r="G97">
        <v>1</v>
      </c>
      <c r="I97" s="6">
        <v>60</v>
      </c>
    </row>
  </sheetData>
  <phoneticPr fontId="9" type="noConversion"/>
  <conditionalFormatting sqref="D4:D7">
    <cfRule type="duplicateValues" dxfId="4" priority="5"/>
  </conditionalFormatting>
  <conditionalFormatting sqref="D14:D27">
    <cfRule type="duplicateValues" dxfId="3" priority="4"/>
  </conditionalFormatting>
  <conditionalFormatting sqref="D39:D62">
    <cfRule type="duplicateValues" dxfId="2" priority="3"/>
  </conditionalFormatting>
  <conditionalFormatting sqref="D63:D92">
    <cfRule type="duplicateValues" dxfId="1" priority="2"/>
  </conditionalFormatting>
  <conditionalFormatting sqref="D28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初始化">
                <anchor moveWithCells="1" sizeWithCells="1"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12</xdr:col>
                    <xdr:colOff>104775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38" t="s">
        <v>140</v>
      </c>
    </row>
    <row r="2" spans="1:1" ht="15" x14ac:dyDescent="0.15">
      <c r="A2" s="9" t="s">
        <v>141</v>
      </c>
    </row>
    <row r="3" spans="1:1" ht="15" x14ac:dyDescent="0.15">
      <c r="A3" s="38" t="s">
        <v>142</v>
      </c>
    </row>
    <row r="4" spans="1:1" ht="15" x14ac:dyDescent="0.15">
      <c r="A4" s="9" t="s">
        <v>143</v>
      </c>
    </row>
    <row r="5" spans="1:1" ht="15" x14ac:dyDescent="0.15">
      <c r="A5" s="9" t="s">
        <v>144</v>
      </c>
    </row>
    <row r="6" spans="1:1" ht="15" x14ac:dyDescent="0.15">
      <c r="A6" s="9" t="s">
        <v>145</v>
      </c>
    </row>
    <row r="7" spans="1:1" ht="15" x14ac:dyDescent="0.15">
      <c r="A7" s="9" t="s">
        <v>146</v>
      </c>
    </row>
    <row r="8" spans="1:1" ht="15" x14ac:dyDescent="0.15">
      <c r="A8" s="9" t="s">
        <v>147</v>
      </c>
    </row>
    <row r="9" spans="1:1" ht="15" x14ac:dyDescent="0.15">
      <c r="A9" s="9" t="s">
        <v>148</v>
      </c>
    </row>
    <row r="10" spans="1:1" ht="15" x14ac:dyDescent="0.15">
      <c r="A10" s="9" t="s">
        <v>149</v>
      </c>
    </row>
    <row r="11" spans="1:1" ht="15" x14ac:dyDescent="0.15">
      <c r="A11" s="9" t="s">
        <v>150</v>
      </c>
    </row>
    <row r="12" spans="1:1" ht="15" x14ac:dyDescent="0.15">
      <c r="A12" s="9" t="s">
        <v>151</v>
      </c>
    </row>
    <row r="13" spans="1:1" ht="15" x14ac:dyDescent="0.15">
      <c r="A13" s="9" t="s">
        <v>152</v>
      </c>
    </row>
    <row r="14" spans="1:1" ht="15" x14ac:dyDescent="0.15">
      <c r="A14" s="9" t="s">
        <v>153</v>
      </c>
    </row>
    <row r="15" spans="1:1" ht="15" x14ac:dyDescent="0.15">
      <c r="A15" s="9" t="s">
        <v>154</v>
      </c>
    </row>
    <row r="16" spans="1:1" ht="15" x14ac:dyDescent="0.15">
      <c r="A16" s="9" t="s">
        <v>155</v>
      </c>
    </row>
    <row r="17" spans="1:1" ht="15" x14ac:dyDescent="0.15">
      <c r="A17" s="9" t="s">
        <v>156</v>
      </c>
    </row>
    <row r="18" spans="1:1" ht="15" x14ac:dyDescent="0.15">
      <c r="A18" s="9" t="s">
        <v>157</v>
      </c>
    </row>
    <row r="19" spans="1:1" ht="15" x14ac:dyDescent="0.15">
      <c r="A19" s="9" t="s">
        <v>158</v>
      </c>
    </row>
    <row r="20" spans="1:1" ht="15" x14ac:dyDescent="0.15">
      <c r="A20" s="32" t="s">
        <v>159</v>
      </c>
    </row>
    <row r="21" spans="1:1" ht="15" x14ac:dyDescent="0.15">
      <c r="A21" s="9" t="s">
        <v>160</v>
      </c>
    </row>
    <row r="22" spans="1:1" ht="15" x14ac:dyDescent="0.15">
      <c r="A22" s="9" t="s">
        <v>161</v>
      </c>
    </row>
    <row r="23" spans="1:1" ht="15" x14ac:dyDescent="0.15">
      <c r="A23" s="9" t="s">
        <v>162</v>
      </c>
    </row>
    <row r="24" spans="1:1" ht="15" x14ac:dyDescent="0.15">
      <c r="A24" s="9" t="s">
        <v>163</v>
      </c>
    </row>
    <row r="25" spans="1:1" ht="15" x14ac:dyDescent="0.15">
      <c r="A25" s="9" t="s">
        <v>164</v>
      </c>
    </row>
    <row r="26" spans="1:1" ht="15" x14ac:dyDescent="0.15">
      <c r="A26" s="32" t="s">
        <v>165</v>
      </c>
    </row>
    <row r="27" spans="1:1" ht="15" x14ac:dyDescent="0.15">
      <c r="A27" s="9" t="s">
        <v>166</v>
      </c>
    </row>
    <row r="28" spans="1:1" ht="15" x14ac:dyDescent="0.15">
      <c r="A28" s="32" t="s">
        <v>167</v>
      </c>
    </row>
    <row r="29" spans="1:1" ht="15" x14ac:dyDescent="0.15">
      <c r="A29" s="9" t="s">
        <v>168</v>
      </c>
    </row>
    <row r="30" spans="1:1" ht="15" x14ac:dyDescent="0.15">
      <c r="A30" s="32" t="s">
        <v>169</v>
      </c>
    </row>
    <row r="31" spans="1:1" x14ac:dyDescent="0.15">
      <c r="A31" s="39" t="s">
        <v>170</v>
      </c>
    </row>
    <row r="32" spans="1:1" x14ac:dyDescent="0.15">
      <c r="A32" s="5" t="s">
        <v>171</v>
      </c>
    </row>
    <row r="33" spans="1:1" x14ac:dyDescent="0.15">
      <c r="A33" s="39" t="s">
        <v>172</v>
      </c>
    </row>
    <row r="34" spans="1:1" x14ac:dyDescent="0.15">
      <c r="A34" s="5" t="s">
        <v>173</v>
      </c>
    </row>
    <row r="35" spans="1:1" x14ac:dyDescent="0.15">
      <c r="A35" s="5" t="s">
        <v>174</v>
      </c>
    </row>
    <row r="36" spans="1:1" x14ac:dyDescent="0.15">
      <c r="A36" s="5" t="s">
        <v>175</v>
      </c>
    </row>
    <row r="37" spans="1:1" x14ac:dyDescent="0.15">
      <c r="A37" s="5" t="s">
        <v>176</v>
      </c>
    </row>
    <row r="38" spans="1:1" ht="15" x14ac:dyDescent="0.15">
      <c r="A38" s="9" t="s">
        <v>177</v>
      </c>
    </row>
    <row r="39" spans="1:1" ht="15" x14ac:dyDescent="0.15">
      <c r="A39" s="9" t="s">
        <v>178</v>
      </c>
    </row>
    <row r="40" spans="1:1" ht="15" x14ac:dyDescent="0.15">
      <c r="A40" s="9" t="s">
        <v>179</v>
      </c>
    </row>
    <row r="41" spans="1:1" ht="15" x14ac:dyDescent="0.15">
      <c r="A41" s="9" t="s">
        <v>180</v>
      </c>
    </row>
    <row r="42" spans="1:1" ht="15" x14ac:dyDescent="0.15">
      <c r="A42" s="9" t="s">
        <v>181</v>
      </c>
    </row>
    <row r="43" spans="1:1" ht="15" x14ac:dyDescent="0.15">
      <c r="A43" s="9" t="s">
        <v>182</v>
      </c>
    </row>
    <row r="44" spans="1:1" ht="15" x14ac:dyDescent="0.15">
      <c r="A44" s="9" t="s">
        <v>183</v>
      </c>
    </row>
    <row r="45" spans="1:1" ht="15" x14ac:dyDescent="0.15">
      <c r="A45" s="9" t="s">
        <v>184</v>
      </c>
    </row>
    <row r="46" spans="1:1" ht="15" x14ac:dyDescent="0.15">
      <c r="A46" s="9" t="s">
        <v>185</v>
      </c>
    </row>
    <row r="47" spans="1:1" ht="15" x14ac:dyDescent="0.15">
      <c r="A47" s="9" t="s">
        <v>186</v>
      </c>
    </row>
  </sheetData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D97"/>
  <sheetViews>
    <sheetView zoomScaleNormal="100" workbookViewId="0">
      <pane ySplit="3" topLeftCell="A61" activePane="bottomLeft" state="frozen"/>
      <selection pane="bottomLeft" activeCell="L90" sqref="L90"/>
    </sheetView>
  </sheetViews>
  <sheetFormatPr defaultColWidth="9" defaultRowHeight="13.5" x14ac:dyDescent="0.15"/>
  <cols>
    <col min="1" max="1" width="23.5" customWidth="1"/>
    <col min="3" max="4" width="9.875" customWidth="1"/>
    <col min="5" max="5" width="11.5" customWidth="1"/>
    <col min="8" max="8" width="11.625" customWidth="1"/>
    <col min="9" max="9" width="10.5" customWidth="1"/>
    <col min="11" max="11" width="10.875" style="2" customWidth="1"/>
    <col min="12" max="12" width="16.5" style="2" customWidth="1"/>
    <col min="13" max="13" width="10.875" style="2" customWidth="1"/>
    <col min="14" max="14" width="43.875" customWidth="1"/>
    <col min="15" max="15" width="13.625" customWidth="1"/>
    <col min="16" max="16" width="15.75" customWidth="1"/>
    <col min="17" max="17" width="12.625"/>
    <col min="18" max="18" width="15.625" customWidth="1"/>
  </cols>
  <sheetData>
    <row r="1" spans="1:30" x14ac:dyDescent="0.15">
      <c r="B1" s="3" t="s">
        <v>0</v>
      </c>
      <c r="C1" s="3" t="s">
        <v>0</v>
      </c>
      <c r="D1" s="3" t="s">
        <v>0</v>
      </c>
      <c r="E1" s="3" t="s">
        <v>0</v>
      </c>
      <c r="F1" s="4"/>
      <c r="G1" s="4"/>
      <c r="J1" s="16"/>
      <c r="K1" s="19"/>
      <c r="L1" s="19"/>
      <c r="M1" s="3" t="s">
        <v>0</v>
      </c>
      <c r="N1" s="3"/>
      <c r="O1" s="7" t="s">
        <v>187</v>
      </c>
      <c r="P1" s="7" t="s">
        <v>188</v>
      </c>
      <c r="Q1" s="7" t="s">
        <v>188</v>
      </c>
      <c r="R1" s="7" t="s">
        <v>188</v>
      </c>
      <c r="S1" s="7" t="s">
        <v>188</v>
      </c>
      <c r="T1" s="7" t="s">
        <v>188</v>
      </c>
      <c r="U1" s="7" t="s">
        <v>188</v>
      </c>
      <c r="V1" s="7" t="s">
        <v>188</v>
      </c>
      <c r="W1" s="7" t="s">
        <v>188</v>
      </c>
      <c r="X1" s="7" t="s">
        <v>188</v>
      </c>
      <c r="Y1" s="7" t="s">
        <v>188</v>
      </c>
      <c r="Z1" s="7" t="s">
        <v>188</v>
      </c>
      <c r="AA1" s="7" t="s">
        <v>188</v>
      </c>
      <c r="AB1" s="7" t="s">
        <v>188</v>
      </c>
      <c r="AC1" s="7" t="s">
        <v>188</v>
      </c>
      <c r="AD1" s="5" t="s">
        <v>189</v>
      </c>
    </row>
    <row r="2" spans="1:30" x14ac:dyDescent="0.15">
      <c r="A2" t="s">
        <v>1</v>
      </c>
      <c r="B2" s="5" t="s">
        <v>3</v>
      </c>
      <c r="C2" s="37" t="s">
        <v>190</v>
      </c>
      <c r="D2" s="3" t="s">
        <v>353</v>
      </c>
      <c r="E2" s="6" t="s">
        <v>191</v>
      </c>
      <c r="F2" s="7" t="s">
        <v>192</v>
      </c>
      <c r="G2" s="40" t="s">
        <v>193</v>
      </c>
      <c r="H2" s="40" t="s">
        <v>194</v>
      </c>
      <c r="I2" s="40" t="s">
        <v>195</v>
      </c>
      <c r="J2" s="7" t="s">
        <v>196</v>
      </c>
      <c r="K2" s="20" t="s">
        <v>197</v>
      </c>
      <c r="L2" s="20" t="s">
        <v>358</v>
      </c>
      <c r="M2" s="21" t="s">
        <v>198</v>
      </c>
      <c r="N2" s="6" t="s">
        <v>199</v>
      </c>
      <c r="O2" s="22"/>
      <c r="P2" s="22"/>
      <c r="Q2" s="22"/>
      <c r="R2" s="16"/>
      <c r="S2" s="16"/>
      <c r="T2" s="16"/>
      <c r="U2" s="16"/>
      <c r="V2" s="16"/>
      <c r="W2" s="16"/>
      <c r="X2" s="16"/>
      <c r="Y2" s="16"/>
    </row>
    <row r="3" spans="1:30" ht="15" x14ac:dyDescent="0.15">
      <c r="B3" s="5" t="s">
        <v>13</v>
      </c>
      <c r="C3" s="8" t="s">
        <v>356</v>
      </c>
      <c r="D3" s="5" t="s">
        <v>355</v>
      </c>
      <c r="E3" s="9" t="s">
        <v>200</v>
      </c>
      <c r="F3" s="10" t="s">
        <v>201</v>
      </c>
      <c r="G3" s="1" t="s">
        <v>202</v>
      </c>
      <c r="H3" s="11" t="s">
        <v>203</v>
      </c>
      <c r="I3" s="11" t="s">
        <v>204</v>
      </c>
      <c r="J3" s="1" t="s">
        <v>205</v>
      </c>
      <c r="K3" s="23" t="s">
        <v>206</v>
      </c>
      <c r="L3" s="23" t="s">
        <v>359</v>
      </c>
      <c r="M3" s="20" t="s">
        <v>207</v>
      </c>
      <c r="N3" s="13" t="s">
        <v>208</v>
      </c>
      <c r="O3" s="10"/>
      <c r="P3" s="1" t="s">
        <v>209</v>
      </c>
      <c r="Q3" s="1" t="s">
        <v>210</v>
      </c>
      <c r="R3" s="1" t="s">
        <v>211</v>
      </c>
      <c r="S3" s="1" t="s">
        <v>212</v>
      </c>
      <c r="T3" s="1" t="s">
        <v>213</v>
      </c>
      <c r="U3" s="1" t="s">
        <v>214</v>
      </c>
      <c r="V3" s="1" t="s">
        <v>215</v>
      </c>
      <c r="W3" s="11" t="s">
        <v>216</v>
      </c>
      <c r="X3" s="11" t="s">
        <v>217</v>
      </c>
      <c r="Y3" s="11" t="s">
        <v>218</v>
      </c>
      <c r="Z3" s="30" t="s">
        <v>219</v>
      </c>
      <c r="AA3" s="30" t="s">
        <v>220</v>
      </c>
      <c r="AB3" s="30" t="s">
        <v>221</v>
      </c>
      <c r="AC3" s="30" t="s">
        <v>222</v>
      </c>
    </row>
    <row r="4" spans="1:30" s="1" customFormat="1" ht="105.75" customHeight="1" x14ac:dyDescent="0.15">
      <c r="A4" s="12" t="s">
        <v>24</v>
      </c>
      <c r="B4" s="13" t="s">
        <v>25</v>
      </c>
      <c r="C4" s="11" t="s">
        <v>223</v>
      </c>
      <c r="D4" s="11"/>
      <c r="G4" s="14">
        <v>10</v>
      </c>
      <c r="H4" s="15"/>
      <c r="I4" s="15"/>
      <c r="J4" s="14">
        <v>10</v>
      </c>
      <c r="K4" s="24">
        <v>0.08</v>
      </c>
      <c r="L4" s="24">
        <v>0</v>
      </c>
      <c r="M4" s="21" t="s">
        <v>224</v>
      </c>
      <c r="N4" s="25" t="str">
        <f>"{{'zxzw1', '"&amp;A4&amp;"*12',1,nil,1 },
{'zxzw2', '"&amp;A4&amp;"*14',1,nil,1 },
{'zxzw3', '"&amp;A4&amp;"*16',1,nil,1 },
{'zxzw4', '"&amp;A4&amp;"*5',1,nil,1 },
{'zxzw5', '"&amp;A4&amp;"*5',1,nil,1 },
{'zxzw6', '"&amp;A4&amp;"*5',1,nil,1 }
}"</f>
        <v>{{'zxzw1', '血魔*12',1,nil,1 },
{'zxzw2', '血魔*14',1,nil,1 },
{'zxzw3', '血魔*16',1,nil,1 },
{'zxzw4', '血魔*5',1,nil,1 },
{'zxzw5', '血魔*5',1,nil,1 },
{'zxzw6', '血魔*5',1,nil,1 }
}</v>
      </c>
      <c r="O4" s="26"/>
      <c r="P4" s="27">
        <v>6</v>
      </c>
      <c r="Q4" s="27">
        <v>4.5</v>
      </c>
      <c r="R4" s="27">
        <v>75</v>
      </c>
      <c r="S4" s="27">
        <v>100</v>
      </c>
      <c r="T4" s="27">
        <v>350</v>
      </c>
      <c r="U4" s="31">
        <v>1.2</v>
      </c>
      <c r="V4" s="27">
        <v>11</v>
      </c>
      <c r="W4" s="29">
        <v>0</v>
      </c>
      <c r="X4" s="27">
        <v>200</v>
      </c>
      <c r="Y4" s="27">
        <v>0</v>
      </c>
      <c r="Z4" s="27">
        <v>20</v>
      </c>
      <c r="AA4" s="27">
        <v>45</v>
      </c>
      <c r="AB4" s="27">
        <v>0</v>
      </c>
      <c r="AC4" s="27">
        <v>0</v>
      </c>
    </row>
    <row r="5" spans="1:30" ht="15" x14ac:dyDescent="0.15">
      <c r="A5" s="6" t="s">
        <v>27</v>
      </c>
      <c r="B5" s="13" t="s">
        <v>28</v>
      </c>
      <c r="C5" s="7" t="s">
        <v>225</v>
      </c>
      <c r="D5" s="7"/>
      <c r="F5" s="16"/>
      <c r="G5" s="14">
        <v>10</v>
      </c>
      <c r="H5" s="15"/>
      <c r="I5" s="15"/>
      <c r="J5" s="14">
        <v>10</v>
      </c>
      <c r="K5" s="24">
        <v>25</v>
      </c>
      <c r="L5" s="24">
        <v>0</v>
      </c>
      <c r="M5" s="21"/>
      <c r="N5" s="28"/>
      <c r="O5" s="26"/>
      <c r="P5" s="27">
        <v>350</v>
      </c>
      <c r="Q5" s="27">
        <v>8</v>
      </c>
      <c r="R5" s="27">
        <v>20000</v>
      </c>
      <c r="S5" s="27">
        <v>100</v>
      </c>
      <c r="T5" s="27">
        <v>350</v>
      </c>
      <c r="U5" s="31">
        <v>1.1000000000000001</v>
      </c>
      <c r="V5" s="27">
        <v>11</v>
      </c>
      <c r="W5" s="29">
        <v>0</v>
      </c>
      <c r="X5" s="27">
        <v>400</v>
      </c>
      <c r="Y5" s="27">
        <v>0</v>
      </c>
      <c r="Z5" s="27">
        <v>20</v>
      </c>
      <c r="AA5" s="27">
        <v>100</v>
      </c>
      <c r="AB5" s="27">
        <v>0</v>
      </c>
      <c r="AC5" s="27">
        <v>0</v>
      </c>
    </row>
    <row r="6" spans="1:30" ht="15" x14ac:dyDescent="0.15">
      <c r="A6" s="6" t="s">
        <v>31</v>
      </c>
      <c r="B6" s="13" t="s">
        <v>32</v>
      </c>
      <c r="C6" s="11" t="s">
        <v>223</v>
      </c>
      <c r="D6" s="11" t="s">
        <v>354</v>
      </c>
      <c r="F6" s="16"/>
      <c r="G6" s="14">
        <v>10</v>
      </c>
      <c r="H6" s="15"/>
      <c r="I6" s="15"/>
      <c r="J6" s="14">
        <v>0</v>
      </c>
      <c r="K6" s="24">
        <v>0</v>
      </c>
      <c r="L6" s="24">
        <v>0</v>
      </c>
      <c r="M6" s="21"/>
      <c r="O6" s="26"/>
      <c r="P6" s="27">
        <v>35</v>
      </c>
      <c r="Q6" s="27">
        <f>Q4</f>
        <v>4.5</v>
      </c>
      <c r="R6" s="27">
        <v>1000</v>
      </c>
      <c r="S6" s="27">
        <v>100</v>
      </c>
      <c r="T6" s="27">
        <v>350</v>
      </c>
      <c r="U6" s="31">
        <v>1.2</v>
      </c>
      <c r="V6" s="27">
        <v>0</v>
      </c>
      <c r="W6" s="29">
        <v>0</v>
      </c>
      <c r="X6" s="27">
        <v>200</v>
      </c>
      <c r="Y6" s="27">
        <v>0</v>
      </c>
      <c r="Z6" s="27">
        <v>20</v>
      </c>
      <c r="AA6" s="27">
        <v>45</v>
      </c>
      <c r="AB6" s="27">
        <v>0</v>
      </c>
      <c r="AC6" s="27">
        <v>0</v>
      </c>
    </row>
    <row r="7" spans="1:30" ht="15" x14ac:dyDescent="0.15">
      <c r="A7" s="6" t="s">
        <v>33</v>
      </c>
      <c r="B7" s="13" t="s">
        <v>34</v>
      </c>
      <c r="C7" s="7" t="s">
        <v>225</v>
      </c>
      <c r="D7" s="11" t="s">
        <v>354</v>
      </c>
      <c r="F7" s="16"/>
      <c r="G7" s="14">
        <v>10</v>
      </c>
      <c r="H7" s="15"/>
      <c r="I7" s="15"/>
      <c r="J7" s="14">
        <v>0</v>
      </c>
      <c r="K7" s="24">
        <v>0</v>
      </c>
      <c r="L7" s="24">
        <v>0</v>
      </c>
      <c r="M7" s="21"/>
      <c r="O7" s="26"/>
      <c r="P7" s="27">
        <f>P5</f>
        <v>350</v>
      </c>
      <c r="Q7" s="27">
        <f>Q5</f>
        <v>8</v>
      </c>
      <c r="R7" s="27">
        <f>R5</f>
        <v>20000</v>
      </c>
      <c r="S7" s="27">
        <v>100</v>
      </c>
      <c r="T7" s="27">
        <v>350</v>
      </c>
      <c r="U7" s="31">
        <v>1</v>
      </c>
      <c r="V7" s="27">
        <v>0</v>
      </c>
      <c r="W7" s="29">
        <v>0</v>
      </c>
      <c r="X7" s="27">
        <v>400</v>
      </c>
      <c r="Y7" s="27">
        <v>0</v>
      </c>
      <c r="Z7" s="27">
        <v>20</v>
      </c>
      <c r="AA7" s="27">
        <v>450</v>
      </c>
      <c r="AB7" s="27">
        <v>0</v>
      </c>
      <c r="AC7" s="27">
        <v>0</v>
      </c>
    </row>
    <row r="8" spans="1:30" ht="15" x14ac:dyDescent="0.15">
      <c r="A8" s="6" t="s">
        <v>35</v>
      </c>
      <c r="B8" s="13" t="s">
        <v>36</v>
      </c>
      <c r="C8" s="7" t="s">
        <v>225</v>
      </c>
      <c r="D8" s="7"/>
      <c r="F8" s="16"/>
      <c r="G8" s="14">
        <v>500</v>
      </c>
      <c r="H8" s="14"/>
      <c r="I8" s="14"/>
      <c r="J8" s="14">
        <v>500</v>
      </c>
      <c r="K8" s="24">
        <v>0.08</v>
      </c>
      <c r="L8" s="24">
        <v>0</v>
      </c>
      <c r="M8" s="21"/>
      <c r="N8" s="28" t="str">
        <f>"{'sylh1', '"&amp;A8&amp;"*1',80,270,10,12,'烧火棍*1' }"</f>
        <v>{'sylh1', '三眼灵猴*1',80,270,10,12,'烧火棍*1' }</v>
      </c>
      <c r="O8" s="26"/>
      <c r="P8" s="27">
        <v>5000</v>
      </c>
      <c r="Q8" s="27">
        <v>30</v>
      </c>
      <c r="R8" s="27">
        <v>150000</v>
      </c>
      <c r="S8" s="27">
        <v>100</v>
      </c>
      <c r="T8" s="27">
        <v>350</v>
      </c>
      <c r="U8" s="31">
        <v>1</v>
      </c>
      <c r="V8" s="27">
        <v>11</v>
      </c>
      <c r="W8" s="29">
        <v>0</v>
      </c>
      <c r="X8" s="27">
        <v>200</v>
      </c>
      <c r="Y8" s="27">
        <v>50</v>
      </c>
      <c r="Z8" s="27">
        <v>20</v>
      </c>
      <c r="AA8" s="27">
        <v>250</v>
      </c>
      <c r="AB8" s="27">
        <v>0</v>
      </c>
      <c r="AC8" s="27">
        <v>0</v>
      </c>
    </row>
    <row r="9" spans="1:30" ht="15" x14ac:dyDescent="0.15">
      <c r="A9" s="6" t="s">
        <v>38</v>
      </c>
      <c r="B9" s="13" t="s">
        <v>39</v>
      </c>
      <c r="C9" s="7" t="s">
        <v>225</v>
      </c>
      <c r="D9" s="7"/>
      <c r="F9" s="16"/>
      <c r="G9" s="14">
        <v>500</v>
      </c>
      <c r="H9" s="14"/>
      <c r="I9" s="14"/>
      <c r="J9" s="14">
        <v>500</v>
      </c>
      <c r="K9" s="24">
        <v>8.0000000000000002E-3</v>
      </c>
      <c r="L9" s="24">
        <v>0</v>
      </c>
      <c r="M9" s="21"/>
      <c r="N9" s="28" t="str">
        <f>"{'yanhuang1', '"&amp;A9&amp;"*1',80,270,10,12,'赤炎甲*1' }"</f>
        <v>{'yanhuang1', '焰皇*1',80,270,10,12,'赤炎甲*1' }</v>
      </c>
      <c r="O9" s="26"/>
      <c r="P9" s="27">
        <f>P8*1.5</f>
        <v>7500</v>
      </c>
      <c r="Q9" s="27">
        <f t="shared" ref="Q9:R9" si="0">Q8*1.5</f>
        <v>45</v>
      </c>
      <c r="R9" s="27">
        <f t="shared" si="0"/>
        <v>225000</v>
      </c>
      <c r="S9" s="27">
        <v>100</v>
      </c>
      <c r="T9" s="27">
        <v>350</v>
      </c>
      <c r="U9" s="31">
        <v>1</v>
      </c>
      <c r="V9" s="27">
        <v>11</v>
      </c>
      <c r="W9" s="29">
        <v>0</v>
      </c>
      <c r="X9" s="27">
        <v>200</v>
      </c>
      <c r="Y9" s="27">
        <v>50</v>
      </c>
      <c r="Z9" s="27">
        <v>20</v>
      </c>
      <c r="AA9" s="27">
        <v>450</v>
      </c>
      <c r="AB9" s="27">
        <v>0</v>
      </c>
      <c r="AC9" s="27">
        <v>0</v>
      </c>
    </row>
    <row r="10" spans="1:30" ht="15" x14ac:dyDescent="0.15">
      <c r="A10" s="6" t="s">
        <v>41</v>
      </c>
      <c r="B10" s="13" t="s">
        <v>42</v>
      </c>
      <c r="C10" s="7" t="s">
        <v>225</v>
      </c>
      <c r="D10" s="7"/>
      <c r="F10" s="16"/>
      <c r="G10" s="14">
        <v>500</v>
      </c>
      <c r="H10" s="14"/>
      <c r="I10" s="14"/>
      <c r="J10" s="14">
        <v>500</v>
      </c>
      <c r="K10" s="24">
        <v>8.0000000000000002E-3</v>
      </c>
      <c r="L10" s="24">
        <v>0</v>
      </c>
      <c r="M10" s="21"/>
      <c r="N10" s="28" t="str">
        <f>"{'miyiyang1', '"&amp;A10&amp;"*1',80,270,10,12,'谜一样的箱子*1' }"</f>
        <v>{'miyiyang1', '灵魂*1',80,270,10,12,'谜一样的箱子*1' }</v>
      </c>
      <c r="O10" s="26"/>
      <c r="P10" s="27">
        <f>P9*2</f>
        <v>15000</v>
      </c>
      <c r="Q10" s="27">
        <f>Q9*2</f>
        <v>90</v>
      </c>
      <c r="R10" s="27">
        <f>R9*2</f>
        <v>450000</v>
      </c>
      <c r="S10" s="27">
        <v>100</v>
      </c>
      <c r="T10" s="27">
        <v>350</v>
      </c>
      <c r="U10" s="31">
        <v>1</v>
      </c>
      <c r="V10" s="27">
        <v>11</v>
      </c>
      <c r="W10" s="29">
        <v>0</v>
      </c>
      <c r="X10" s="27">
        <v>200</v>
      </c>
      <c r="Y10" s="27">
        <v>50</v>
      </c>
      <c r="Z10" s="27">
        <v>20</v>
      </c>
      <c r="AA10" s="27">
        <v>450</v>
      </c>
      <c r="AB10" s="27">
        <v>0</v>
      </c>
      <c r="AC10" s="27">
        <v>0</v>
      </c>
    </row>
    <row r="11" spans="1:30" ht="15" x14ac:dyDescent="0.15">
      <c r="A11" s="6" t="s">
        <v>44</v>
      </c>
      <c r="B11" s="13" t="s">
        <v>45</v>
      </c>
      <c r="C11" s="7" t="s">
        <v>225</v>
      </c>
      <c r="D11" s="7"/>
      <c r="F11" s="16"/>
      <c r="G11" s="14">
        <v>500</v>
      </c>
      <c r="H11" s="14"/>
      <c r="I11" s="14"/>
      <c r="J11" s="14">
        <v>500</v>
      </c>
      <c r="K11" s="24">
        <v>8.0000000000000002E-3</v>
      </c>
      <c r="L11" s="24">
        <v>0</v>
      </c>
      <c r="M11" s="21"/>
      <c r="N11" s="28" t="str">
        <f>"{'tianshu1', '"&amp;A11&amp;"*1',80,270,10,12,'谜一样的天书*1' }"</f>
        <v>{'tianshu1', '熊猫人*1',80,270,10,12,'谜一样的天书*1' }</v>
      </c>
      <c r="O11" s="26"/>
      <c r="P11" s="27">
        <f>P10*1.25</f>
        <v>18750</v>
      </c>
      <c r="Q11" s="27">
        <f t="shared" ref="Q10:R11" si="1">Q10*1.25</f>
        <v>112.5</v>
      </c>
      <c r="R11" s="27">
        <f t="shared" si="1"/>
        <v>562500</v>
      </c>
      <c r="S11" s="27">
        <v>100</v>
      </c>
      <c r="T11" s="27">
        <v>350</v>
      </c>
      <c r="U11" s="31">
        <v>1</v>
      </c>
      <c r="V11" s="27">
        <v>11</v>
      </c>
      <c r="W11" s="29">
        <v>0</v>
      </c>
      <c r="X11" s="27">
        <v>200</v>
      </c>
      <c r="Y11" s="27">
        <v>50</v>
      </c>
      <c r="Z11" s="27">
        <v>20</v>
      </c>
      <c r="AA11" s="27">
        <v>450</v>
      </c>
      <c r="AB11" s="27">
        <v>0</v>
      </c>
      <c r="AC11" s="27">
        <v>0</v>
      </c>
    </row>
    <row r="12" spans="1:30" ht="15" x14ac:dyDescent="0.15">
      <c r="A12" s="6" t="s">
        <v>47</v>
      </c>
      <c r="B12" s="13" t="s">
        <v>48</v>
      </c>
      <c r="C12" s="7" t="s">
        <v>225</v>
      </c>
      <c r="D12" s="7"/>
      <c r="F12" s="16"/>
      <c r="G12" s="14">
        <v>500</v>
      </c>
      <c r="H12" s="14"/>
      <c r="I12" s="14"/>
      <c r="J12" s="14">
        <v>500</v>
      </c>
      <c r="K12" s="24">
        <v>8.0000000000000002E-3</v>
      </c>
      <c r="L12" s="24">
        <v>0</v>
      </c>
      <c r="M12" s="21"/>
      <c r="N12" s="28" t="str">
        <f>"{'jingpo1', '"&amp;A12&amp;"*1',80,270,10,12,'圣龙精魄碎片一*1' }"</f>
        <v>{'jingpo1', '九幽地冥蟒*1',80,270,10,12,'圣龙精魄碎片一*1' }</v>
      </c>
      <c r="O12" s="26"/>
      <c r="P12" s="27">
        <f>P11*2</f>
        <v>37500</v>
      </c>
      <c r="Q12" s="27">
        <f t="shared" ref="Q12:R12" si="2">Q11*2</f>
        <v>225</v>
      </c>
      <c r="R12" s="27">
        <f t="shared" si="2"/>
        <v>1125000</v>
      </c>
      <c r="S12" s="27">
        <v>100</v>
      </c>
      <c r="T12" s="27">
        <v>350</v>
      </c>
      <c r="U12" s="31">
        <v>1</v>
      </c>
      <c r="V12" s="27">
        <v>11</v>
      </c>
      <c r="W12" s="29">
        <v>0</v>
      </c>
      <c r="X12" s="27">
        <v>200</v>
      </c>
      <c r="Y12" s="27">
        <v>50</v>
      </c>
      <c r="Z12" s="27">
        <v>20</v>
      </c>
      <c r="AA12" s="27">
        <v>450</v>
      </c>
      <c r="AB12" s="27">
        <v>0</v>
      </c>
      <c r="AC12" s="27">
        <v>0</v>
      </c>
    </row>
    <row r="13" spans="1:30" ht="15" x14ac:dyDescent="0.15">
      <c r="A13" s="6" t="s">
        <v>50</v>
      </c>
      <c r="B13" s="13" t="s">
        <v>51</v>
      </c>
      <c r="C13" s="7" t="s">
        <v>225</v>
      </c>
      <c r="D13" s="7"/>
      <c r="F13" s="16"/>
      <c r="G13" s="14">
        <v>500</v>
      </c>
      <c r="H13" s="14"/>
      <c r="I13" s="14"/>
      <c r="J13" s="14">
        <v>500</v>
      </c>
      <c r="K13" s="24">
        <v>8.0000000000000002E-3</v>
      </c>
      <c r="L13" s="24">
        <v>0</v>
      </c>
      <c r="M13" s="21"/>
      <c r="N13" s="28" t="str">
        <f>"{'jingpo2', '"&amp;A13&amp;"*1',80,270,10,12,'圣龙精魄碎片二*1' }"</f>
        <v>{'jingpo2', '九幽雀*1',80,270,10,12,'圣龙精魄碎片二*1' }</v>
      </c>
      <c r="O13" s="26"/>
      <c r="P13" s="27">
        <f>P12</f>
        <v>37500</v>
      </c>
      <c r="Q13" s="27">
        <f t="shared" ref="Q13:R13" si="3">Q12</f>
        <v>225</v>
      </c>
      <c r="R13" s="27">
        <f t="shared" si="3"/>
        <v>1125000</v>
      </c>
      <c r="S13" s="27">
        <v>100</v>
      </c>
      <c r="T13" s="27">
        <v>350</v>
      </c>
      <c r="U13" s="31">
        <v>1</v>
      </c>
      <c r="V13" s="27">
        <v>11</v>
      </c>
      <c r="W13" s="29">
        <v>0</v>
      </c>
      <c r="X13" s="27">
        <v>200</v>
      </c>
      <c r="Y13" s="27">
        <v>50</v>
      </c>
      <c r="Z13" s="27">
        <v>20</v>
      </c>
      <c r="AA13" s="27">
        <v>450</v>
      </c>
      <c r="AB13" s="27">
        <v>0</v>
      </c>
      <c r="AC13" s="27">
        <v>0</v>
      </c>
    </row>
    <row r="14" spans="1:30" ht="15" x14ac:dyDescent="0.15">
      <c r="A14" s="6" t="s">
        <v>53</v>
      </c>
      <c r="B14" s="13" t="s">
        <v>54</v>
      </c>
      <c r="C14" s="7" t="s">
        <v>225</v>
      </c>
      <c r="D14" s="7"/>
      <c r="F14" s="16"/>
      <c r="G14" s="14">
        <v>500</v>
      </c>
      <c r="H14" s="14"/>
      <c r="I14" s="14"/>
      <c r="J14" s="14">
        <v>500</v>
      </c>
      <c r="K14" s="24">
        <v>8.0000000000000002E-3</v>
      </c>
      <c r="L14" s="24">
        <v>0</v>
      </c>
      <c r="M14" s="21"/>
      <c r="N14" s="28"/>
      <c r="O14" s="26"/>
      <c r="P14" s="29">
        <v>2000</v>
      </c>
      <c r="Q14" s="29">
        <v>3.5</v>
      </c>
      <c r="R14" s="29">
        <v>100000</v>
      </c>
      <c r="S14" s="27">
        <v>100</v>
      </c>
      <c r="T14" s="27">
        <v>350</v>
      </c>
      <c r="U14" s="31">
        <v>1</v>
      </c>
      <c r="V14" s="27">
        <v>11</v>
      </c>
      <c r="W14" s="29">
        <v>0</v>
      </c>
      <c r="X14" s="27">
        <v>200</v>
      </c>
      <c r="Y14" s="27">
        <v>50</v>
      </c>
      <c r="Z14" s="27">
        <v>20</v>
      </c>
      <c r="AA14" s="27">
        <v>250</v>
      </c>
      <c r="AB14" s="27">
        <v>0</v>
      </c>
      <c r="AC14" s="27">
        <v>0</v>
      </c>
    </row>
    <row r="15" spans="1:30" ht="15" x14ac:dyDescent="0.15">
      <c r="A15" s="6" t="s">
        <v>55</v>
      </c>
      <c r="B15" s="13" t="s">
        <v>56</v>
      </c>
      <c r="C15" s="7" t="s">
        <v>225</v>
      </c>
      <c r="D15" s="7"/>
      <c r="F15" s="16"/>
      <c r="G15" s="14">
        <v>500</v>
      </c>
      <c r="H15" s="14"/>
      <c r="I15" s="14"/>
      <c r="J15" s="14">
        <v>500</v>
      </c>
      <c r="K15" s="24">
        <v>8.0000000000000002E-3</v>
      </c>
      <c r="L15" s="24">
        <v>0</v>
      </c>
      <c r="M15" s="21"/>
      <c r="N15" s="28"/>
      <c r="O15" s="26"/>
      <c r="P15" s="27">
        <v>280000</v>
      </c>
      <c r="Q15" s="27">
        <f t="shared" ref="Q15:R15" si="4">Q14*7</f>
        <v>24.5</v>
      </c>
      <c r="R15" s="27">
        <v>1050000</v>
      </c>
      <c r="S15" s="27">
        <v>100</v>
      </c>
      <c r="T15" s="27">
        <v>350</v>
      </c>
      <c r="U15" s="31">
        <v>0.95</v>
      </c>
      <c r="V15" s="27">
        <v>11</v>
      </c>
      <c r="W15" s="29">
        <v>0</v>
      </c>
      <c r="X15" s="27">
        <v>200</v>
      </c>
      <c r="Y15" s="27">
        <v>50</v>
      </c>
      <c r="Z15" s="27">
        <v>20</v>
      </c>
      <c r="AA15" s="27">
        <v>450</v>
      </c>
      <c r="AB15" s="27">
        <v>0</v>
      </c>
      <c r="AC15" s="27">
        <v>0</v>
      </c>
    </row>
    <row r="16" spans="1:30" ht="15" x14ac:dyDescent="0.15">
      <c r="A16" s="6" t="s">
        <v>57</v>
      </c>
      <c r="B16" s="13" t="s">
        <v>58</v>
      </c>
      <c r="C16" s="7" t="s">
        <v>225</v>
      </c>
      <c r="D16" s="7"/>
      <c r="F16" s="16"/>
      <c r="G16" s="14">
        <v>500</v>
      </c>
      <c r="H16" s="14"/>
      <c r="I16" s="14"/>
      <c r="J16" s="14">
        <v>500</v>
      </c>
      <c r="K16" s="24">
        <v>8.0000000000000002E-3</v>
      </c>
      <c r="L16" s="24">
        <v>0</v>
      </c>
      <c r="M16" s="21"/>
      <c r="N16" s="28"/>
      <c r="O16" s="26"/>
      <c r="P16" s="27">
        <f>P15*6</f>
        <v>1680000</v>
      </c>
      <c r="Q16" s="27">
        <f t="shared" ref="Q16:R16" si="5">Q15*6</f>
        <v>147</v>
      </c>
      <c r="R16" s="27">
        <f t="shared" si="5"/>
        <v>6300000</v>
      </c>
      <c r="S16" s="27">
        <v>100</v>
      </c>
      <c r="T16" s="27">
        <v>350</v>
      </c>
      <c r="U16" s="31">
        <v>0.9</v>
      </c>
      <c r="V16" s="27">
        <v>11</v>
      </c>
      <c r="W16" s="29">
        <v>0</v>
      </c>
      <c r="X16" s="27">
        <v>200</v>
      </c>
      <c r="Y16" s="27">
        <v>50</v>
      </c>
      <c r="Z16" s="27">
        <v>20</v>
      </c>
      <c r="AA16" s="27">
        <v>450</v>
      </c>
      <c r="AB16" s="27">
        <v>0</v>
      </c>
      <c r="AC16" s="27">
        <v>0</v>
      </c>
    </row>
    <row r="17" spans="1:29" ht="15" x14ac:dyDescent="0.15">
      <c r="A17" s="6" t="s">
        <v>59</v>
      </c>
      <c r="B17" s="13" t="s">
        <v>60</v>
      </c>
      <c r="C17" s="7" t="s">
        <v>225</v>
      </c>
      <c r="D17" s="7"/>
      <c r="F17" s="16"/>
      <c r="G17" s="14">
        <v>500</v>
      </c>
      <c r="H17" s="14"/>
      <c r="I17" s="14"/>
      <c r="J17" s="14">
        <v>500</v>
      </c>
      <c r="K17" s="24">
        <v>8.0000000000000002E-3</v>
      </c>
      <c r="L17" s="24">
        <v>0</v>
      </c>
      <c r="M17" s="21"/>
      <c r="N17" s="28"/>
      <c r="O17" s="26"/>
      <c r="P17" s="27">
        <f>P16*5</f>
        <v>8400000</v>
      </c>
      <c r="Q17" s="27">
        <f t="shared" ref="Q17:R17" si="6">Q16*5</f>
        <v>735</v>
      </c>
      <c r="R17" s="27">
        <f t="shared" si="6"/>
        <v>31500000</v>
      </c>
      <c r="S17" s="27">
        <v>100</v>
      </c>
      <c r="T17" s="27">
        <v>350</v>
      </c>
      <c r="U17" s="31">
        <v>0.85</v>
      </c>
      <c r="V17" s="27">
        <v>11</v>
      </c>
      <c r="W17" s="29">
        <v>0</v>
      </c>
      <c r="X17" s="27">
        <v>200</v>
      </c>
      <c r="Y17" s="27">
        <v>50</v>
      </c>
      <c r="Z17" s="27">
        <v>20</v>
      </c>
      <c r="AA17" s="27">
        <v>450</v>
      </c>
      <c r="AB17" s="27">
        <v>0</v>
      </c>
      <c r="AC17" s="27">
        <v>0</v>
      </c>
    </row>
    <row r="18" spans="1:29" ht="15" x14ac:dyDescent="0.15">
      <c r="A18" s="6" t="s">
        <v>61</v>
      </c>
      <c r="B18" s="13" t="s">
        <v>62</v>
      </c>
      <c r="C18" s="7" t="s">
        <v>225</v>
      </c>
      <c r="D18" s="7"/>
      <c r="F18" s="16"/>
      <c r="G18" s="14">
        <v>500</v>
      </c>
      <c r="H18" s="14"/>
      <c r="I18" s="14"/>
      <c r="J18" s="14">
        <v>500</v>
      </c>
      <c r="K18" s="24">
        <v>8.0000000000000002E-3</v>
      </c>
      <c r="L18" s="24">
        <v>0</v>
      </c>
      <c r="M18" s="21"/>
      <c r="N18" s="28"/>
      <c r="O18" s="26"/>
      <c r="P18" s="27">
        <f>P17*4</f>
        <v>33600000</v>
      </c>
      <c r="Q18" s="27">
        <f t="shared" ref="Q18:R18" si="7">Q17*4</f>
        <v>2940</v>
      </c>
      <c r="R18" s="27">
        <f t="shared" si="7"/>
        <v>126000000</v>
      </c>
      <c r="S18" s="27">
        <v>100</v>
      </c>
      <c r="T18" s="27">
        <v>350</v>
      </c>
      <c r="U18" s="31">
        <v>0.8</v>
      </c>
      <c r="V18" s="27">
        <v>11</v>
      </c>
      <c r="W18" s="29">
        <v>0</v>
      </c>
      <c r="X18" s="27">
        <v>200</v>
      </c>
      <c r="Y18" s="27">
        <v>50</v>
      </c>
      <c r="Z18" s="27">
        <v>20</v>
      </c>
      <c r="AA18" s="27">
        <v>450</v>
      </c>
      <c r="AB18" s="27">
        <v>0</v>
      </c>
      <c r="AC18" s="27">
        <v>0</v>
      </c>
    </row>
    <row r="19" spans="1:29" ht="15" x14ac:dyDescent="0.15">
      <c r="A19" s="6" t="s">
        <v>63</v>
      </c>
      <c r="B19" s="13" t="s">
        <v>64</v>
      </c>
      <c r="C19" s="7" t="s">
        <v>225</v>
      </c>
      <c r="D19" s="7"/>
      <c r="F19" s="16"/>
      <c r="G19" s="14">
        <v>500</v>
      </c>
      <c r="H19" s="14"/>
      <c r="I19" s="14"/>
      <c r="J19" s="14">
        <v>500</v>
      </c>
      <c r="K19" s="24">
        <v>8.0000000000000002E-3</v>
      </c>
      <c r="L19" s="24">
        <v>0</v>
      </c>
      <c r="M19" s="21"/>
      <c r="N19" s="28"/>
      <c r="O19" s="26"/>
      <c r="P19" s="27">
        <f>P18*3</f>
        <v>100800000</v>
      </c>
      <c r="Q19" s="27">
        <f t="shared" ref="Q19:R19" si="8">Q18*3</f>
        <v>8820</v>
      </c>
      <c r="R19" s="27">
        <f t="shared" si="8"/>
        <v>378000000</v>
      </c>
      <c r="S19" s="27">
        <v>100</v>
      </c>
      <c r="T19" s="27">
        <v>350</v>
      </c>
      <c r="U19" s="31">
        <v>0.75</v>
      </c>
      <c r="V19" s="27">
        <v>11</v>
      </c>
      <c r="W19" s="29">
        <v>0</v>
      </c>
      <c r="X19" s="27">
        <v>200</v>
      </c>
      <c r="Y19" s="27">
        <v>50</v>
      </c>
      <c r="Z19" s="27">
        <v>20</v>
      </c>
      <c r="AA19" s="27">
        <v>450</v>
      </c>
      <c r="AB19" s="27">
        <v>0</v>
      </c>
      <c r="AC19" s="27">
        <v>0</v>
      </c>
    </row>
    <row r="20" spans="1:29" ht="15" x14ac:dyDescent="0.15">
      <c r="A20" s="6" t="s">
        <v>65</v>
      </c>
      <c r="B20" s="13" t="s">
        <v>66</v>
      </c>
      <c r="C20" s="7" t="s">
        <v>225</v>
      </c>
      <c r="D20" s="7"/>
      <c r="F20" s="16"/>
      <c r="G20" s="14">
        <v>500</v>
      </c>
      <c r="H20" s="14"/>
      <c r="I20" s="14"/>
      <c r="J20" s="14">
        <v>500</v>
      </c>
      <c r="K20" s="24">
        <v>8.0000000000000002E-3</v>
      </c>
      <c r="L20" s="24">
        <v>0</v>
      </c>
      <c r="M20" s="21"/>
      <c r="N20" s="28"/>
      <c r="O20" s="26"/>
      <c r="P20" s="27">
        <f>P19*2</f>
        <v>201600000</v>
      </c>
      <c r="Q20" s="27">
        <f t="shared" ref="Q20:R20" si="9">Q19*2</f>
        <v>17640</v>
      </c>
      <c r="R20" s="27">
        <f t="shared" si="9"/>
        <v>756000000</v>
      </c>
      <c r="S20" s="27">
        <v>100</v>
      </c>
      <c r="T20" s="27">
        <v>350</v>
      </c>
      <c r="U20" s="31">
        <v>0.7</v>
      </c>
      <c r="V20" s="27">
        <v>11</v>
      </c>
      <c r="W20" s="29">
        <v>0</v>
      </c>
      <c r="X20" s="27">
        <v>200</v>
      </c>
      <c r="Y20" s="27">
        <v>50</v>
      </c>
      <c r="Z20" s="27">
        <v>20</v>
      </c>
      <c r="AA20" s="27">
        <v>450</v>
      </c>
      <c r="AB20" s="27">
        <v>0</v>
      </c>
      <c r="AC20" s="27">
        <v>0</v>
      </c>
    </row>
    <row r="21" spans="1:29" ht="15" x14ac:dyDescent="0.15">
      <c r="A21" s="6" t="s">
        <v>67</v>
      </c>
      <c r="B21" s="13" t="s">
        <v>68</v>
      </c>
      <c r="C21" s="7" t="s">
        <v>225</v>
      </c>
      <c r="D21" s="7"/>
      <c r="F21" s="16"/>
      <c r="G21" s="14">
        <v>500</v>
      </c>
      <c r="H21" s="14"/>
      <c r="I21" s="14"/>
      <c r="J21" s="14">
        <v>500</v>
      </c>
      <c r="K21" s="24">
        <v>8.0000000000000002E-3</v>
      </c>
      <c r="L21" s="24">
        <v>0</v>
      </c>
      <c r="M21" s="21"/>
      <c r="N21" s="28"/>
      <c r="O21" s="26"/>
      <c r="P21" s="27">
        <f>P20*1.8</f>
        <v>362880000</v>
      </c>
      <c r="Q21" s="27">
        <f t="shared" ref="Q21:R21" si="10">Q20*1.8</f>
        <v>31752</v>
      </c>
      <c r="R21" s="27">
        <f t="shared" si="10"/>
        <v>1360800000</v>
      </c>
      <c r="S21" s="27">
        <v>100</v>
      </c>
      <c r="T21" s="27">
        <v>350</v>
      </c>
      <c r="U21" s="31">
        <v>0.65</v>
      </c>
      <c r="V21" s="27">
        <v>11</v>
      </c>
      <c r="W21" s="29">
        <v>0</v>
      </c>
      <c r="X21" s="27">
        <v>200</v>
      </c>
      <c r="Y21" s="27">
        <v>50</v>
      </c>
      <c r="Z21" s="27">
        <v>20</v>
      </c>
      <c r="AA21" s="27">
        <v>450</v>
      </c>
      <c r="AB21" s="27">
        <v>0</v>
      </c>
      <c r="AC21" s="27">
        <v>0</v>
      </c>
    </row>
    <row r="22" spans="1:29" ht="15" x14ac:dyDescent="0.15">
      <c r="A22" s="6" t="s">
        <v>69</v>
      </c>
      <c r="B22" s="13" t="s">
        <v>70</v>
      </c>
      <c r="C22" s="7" t="s">
        <v>225</v>
      </c>
      <c r="D22" s="7"/>
      <c r="F22" s="16"/>
      <c r="G22" s="14">
        <v>500</v>
      </c>
      <c r="H22" s="14"/>
      <c r="I22" s="14"/>
      <c r="J22" s="14">
        <v>500</v>
      </c>
      <c r="K22" s="24">
        <v>8.0000000000000002E-3</v>
      </c>
      <c r="L22" s="24">
        <v>0</v>
      </c>
      <c r="M22" s="21"/>
      <c r="N22" s="28"/>
      <c r="O22" s="26"/>
      <c r="P22" s="27">
        <f>P21*1.6</f>
        <v>580608000</v>
      </c>
      <c r="Q22" s="27">
        <f t="shared" ref="Q22:R22" si="11">Q21*1.6</f>
        <v>50803.200000000004</v>
      </c>
      <c r="R22" s="27">
        <f t="shared" si="11"/>
        <v>2177280000</v>
      </c>
      <c r="S22" s="27">
        <v>100</v>
      </c>
      <c r="T22" s="27">
        <v>350</v>
      </c>
      <c r="U22" s="31">
        <v>0.6</v>
      </c>
      <c r="V22" s="27">
        <v>11</v>
      </c>
      <c r="W22" s="29">
        <v>0</v>
      </c>
      <c r="X22" s="27">
        <v>200</v>
      </c>
      <c r="Y22" s="27">
        <v>50</v>
      </c>
      <c r="Z22" s="27">
        <v>20</v>
      </c>
      <c r="AA22" s="27">
        <v>450</v>
      </c>
      <c r="AB22" s="27">
        <v>0</v>
      </c>
      <c r="AC22" s="27">
        <v>0</v>
      </c>
    </row>
    <row r="23" spans="1:29" ht="15" x14ac:dyDescent="0.15">
      <c r="A23" s="6" t="s">
        <v>71</v>
      </c>
      <c r="B23" s="13" t="s">
        <v>72</v>
      </c>
      <c r="C23" s="7" t="s">
        <v>225</v>
      </c>
      <c r="D23" s="7"/>
      <c r="F23" s="16"/>
      <c r="G23" s="14">
        <v>500</v>
      </c>
      <c r="H23" s="14"/>
      <c r="I23" s="14"/>
      <c r="J23" s="14">
        <v>500</v>
      </c>
      <c r="K23" s="24">
        <v>8.0000000000000002E-3</v>
      </c>
      <c r="L23" s="24">
        <v>0</v>
      </c>
      <c r="M23" s="21"/>
      <c r="N23" s="28"/>
      <c r="O23" s="26"/>
      <c r="P23" s="27">
        <f>P22*1.5</f>
        <v>870912000</v>
      </c>
      <c r="Q23" s="27">
        <f t="shared" ref="Q23:R23" si="12">Q22*1.5</f>
        <v>76204.800000000003</v>
      </c>
      <c r="R23" s="27">
        <f t="shared" si="12"/>
        <v>3265920000</v>
      </c>
      <c r="S23" s="27">
        <v>100</v>
      </c>
      <c r="T23" s="27">
        <v>350</v>
      </c>
      <c r="U23" s="31">
        <v>0.55000000000000004</v>
      </c>
      <c r="V23" s="27">
        <v>11</v>
      </c>
      <c r="W23" s="29">
        <v>0</v>
      </c>
      <c r="X23" s="27">
        <v>200</v>
      </c>
      <c r="Y23" s="27">
        <v>50</v>
      </c>
      <c r="Z23" s="27">
        <v>20</v>
      </c>
      <c r="AA23" s="27">
        <v>450</v>
      </c>
      <c r="AB23" s="27">
        <v>0</v>
      </c>
      <c r="AC23" s="27">
        <v>0</v>
      </c>
    </row>
    <row r="24" spans="1:29" ht="15" x14ac:dyDescent="0.15">
      <c r="A24" s="6" t="s">
        <v>73</v>
      </c>
      <c r="B24" s="13" t="s">
        <v>74</v>
      </c>
      <c r="C24" s="7" t="s">
        <v>225</v>
      </c>
      <c r="D24" s="7"/>
      <c r="F24" s="16"/>
      <c r="G24" s="14">
        <v>500</v>
      </c>
      <c r="H24" s="14"/>
      <c r="I24" s="14"/>
      <c r="J24" s="14">
        <v>500</v>
      </c>
      <c r="K24" s="24">
        <v>8.0000000000000002E-3</v>
      </c>
      <c r="L24" s="24">
        <v>0</v>
      </c>
      <c r="M24" s="21"/>
      <c r="N24" s="28"/>
      <c r="O24" s="26"/>
      <c r="P24" s="27">
        <f>P23*1.4</f>
        <v>1219276800</v>
      </c>
      <c r="Q24" s="27">
        <f t="shared" ref="Q24:R24" si="13">Q23*1.4</f>
        <v>106686.72</v>
      </c>
      <c r="R24" s="27">
        <f t="shared" si="13"/>
        <v>4572288000</v>
      </c>
      <c r="S24" s="27">
        <v>100</v>
      </c>
      <c r="T24" s="27">
        <v>350</v>
      </c>
      <c r="U24" s="31">
        <v>0.5</v>
      </c>
      <c r="V24" s="27">
        <v>11</v>
      </c>
      <c r="W24" s="29">
        <v>0</v>
      </c>
      <c r="X24" s="27">
        <v>200</v>
      </c>
      <c r="Y24" s="27">
        <v>50</v>
      </c>
      <c r="Z24" s="27">
        <v>20</v>
      </c>
      <c r="AA24" s="27">
        <v>450</v>
      </c>
      <c r="AB24" s="27">
        <v>0</v>
      </c>
      <c r="AC24" s="27">
        <v>0</v>
      </c>
    </row>
    <row r="25" spans="1:29" ht="15" x14ac:dyDescent="0.15">
      <c r="A25" s="6" t="s">
        <v>75</v>
      </c>
      <c r="B25" s="13" t="s">
        <v>76</v>
      </c>
      <c r="C25" s="7" t="s">
        <v>225</v>
      </c>
      <c r="D25" s="7"/>
      <c r="F25" s="16"/>
      <c r="G25" s="14">
        <v>500</v>
      </c>
      <c r="H25" s="14"/>
      <c r="I25" s="14"/>
      <c r="J25" s="14">
        <v>500</v>
      </c>
      <c r="K25" s="24">
        <v>8.0000000000000002E-3</v>
      </c>
      <c r="L25" s="24">
        <v>0</v>
      </c>
      <c r="M25" s="21"/>
      <c r="N25" s="28"/>
      <c r="O25" s="26"/>
      <c r="P25" s="27">
        <f>P24*1.3</f>
        <v>1585059840</v>
      </c>
      <c r="Q25" s="27">
        <f t="shared" ref="Q25:R25" si="14">Q24*1.3</f>
        <v>138692.736</v>
      </c>
      <c r="R25" s="27">
        <f t="shared" si="14"/>
        <v>5943974400</v>
      </c>
      <c r="S25" s="27">
        <v>100</v>
      </c>
      <c r="T25" s="27">
        <v>350</v>
      </c>
      <c r="U25" s="31">
        <v>0.45</v>
      </c>
      <c r="V25" s="27">
        <v>11</v>
      </c>
      <c r="W25" s="29">
        <v>0</v>
      </c>
      <c r="X25" s="27">
        <v>200</v>
      </c>
      <c r="Y25" s="27">
        <v>50</v>
      </c>
      <c r="Z25" s="27">
        <v>20</v>
      </c>
      <c r="AA25" s="27">
        <v>450</v>
      </c>
      <c r="AB25" s="27">
        <v>0</v>
      </c>
      <c r="AC25" s="27">
        <v>0</v>
      </c>
    </row>
    <row r="26" spans="1:29" ht="15" x14ac:dyDescent="0.15">
      <c r="A26" s="6" t="s">
        <v>77</v>
      </c>
      <c r="B26" s="13" t="s">
        <v>78</v>
      </c>
      <c r="C26" s="7" t="s">
        <v>225</v>
      </c>
      <c r="D26" s="7"/>
      <c r="F26" s="16"/>
      <c r="G26" s="14">
        <v>500</v>
      </c>
      <c r="H26" s="14"/>
      <c r="I26" s="14"/>
      <c r="J26" s="14">
        <v>500</v>
      </c>
      <c r="K26" s="24">
        <v>8.0000000000000002E-3</v>
      </c>
      <c r="L26" s="24">
        <v>0</v>
      </c>
      <c r="M26" s="21"/>
      <c r="N26" s="28"/>
      <c r="O26" s="26"/>
      <c r="P26" s="27">
        <f>P25*1.2</f>
        <v>1902071808</v>
      </c>
      <c r="Q26" s="27">
        <f t="shared" ref="Q26:R26" si="15">Q25*1.2</f>
        <v>166431.28320000001</v>
      </c>
      <c r="R26" s="27">
        <f t="shared" si="15"/>
        <v>7132769280</v>
      </c>
      <c r="S26" s="27">
        <v>100</v>
      </c>
      <c r="T26" s="27">
        <v>350</v>
      </c>
      <c r="U26" s="31">
        <v>0.39999999999999902</v>
      </c>
      <c r="V26" s="27">
        <v>11</v>
      </c>
      <c r="W26" s="29">
        <v>0</v>
      </c>
      <c r="X26" s="27">
        <v>200</v>
      </c>
      <c r="Y26" s="27">
        <v>50</v>
      </c>
      <c r="Z26" s="27">
        <v>20</v>
      </c>
      <c r="AA26" s="27">
        <v>450</v>
      </c>
      <c r="AB26" s="27">
        <v>0</v>
      </c>
      <c r="AC26" s="27">
        <v>0</v>
      </c>
    </row>
    <row r="27" spans="1:29" ht="15" x14ac:dyDescent="0.15">
      <c r="A27" s="6" t="s">
        <v>79</v>
      </c>
      <c r="B27" s="13" t="s">
        <v>80</v>
      </c>
      <c r="C27" s="7" t="s">
        <v>225</v>
      </c>
      <c r="D27" s="7"/>
      <c r="F27" s="16"/>
      <c r="G27" s="14">
        <v>500</v>
      </c>
      <c r="H27" s="14"/>
      <c r="I27" s="14"/>
      <c r="J27" s="14">
        <v>500</v>
      </c>
      <c r="K27" s="24">
        <v>8.0000000000000002E-3</v>
      </c>
      <c r="L27" s="24">
        <v>0</v>
      </c>
      <c r="M27" s="21"/>
      <c r="N27" s="28"/>
      <c r="O27" s="26"/>
      <c r="P27" s="27">
        <f>P26*1.1</f>
        <v>2092278988.8000002</v>
      </c>
      <c r="Q27" s="27">
        <f t="shared" ref="Q27:R28" si="16">Q26*1.1</f>
        <v>183074.41152000002</v>
      </c>
      <c r="R27" s="27">
        <f t="shared" si="16"/>
        <v>7846046208.000001</v>
      </c>
      <c r="S27" s="27">
        <v>100</v>
      </c>
      <c r="T27" s="27">
        <v>350</v>
      </c>
      <c r="U27" s="31">
        <v>0.34999999999999898</v>
      </c>
      <c r="V27" s="27">
        <v>11</v>
      </c>
      <c r="W27" s="29">
        <v>0</v>
      </c>
      <c r="X27" s="27">
        <v>200</v>
      </c>
      <c r="Y27" s="27">
        <v>50</v>
      </c>
      <c r="Z27" s="27">
        <v>20</v>
      </c>
      <c r="AA27" s="27">
        <v>450</v>
      </c>
      <c r="AB27" s="27">
        <v>0</v>
      </c>
      <c r="AC27" s="27">
        <v>0</v>
      </c>
    </row>
    <row r="28" spans="1:29" ht="15" x14ac:dyDescent="0.15">
      <c r="A28" s="6" t="s">
        <v>347</v>
      </c>
      <c r="B28" s="13" t="s">
        <v>82</v>
      </c>
      <c r="C28" s="7" t="s">
        <v>225</v>
      </c>
      <c r="D28" s="7"/>
      <c r="F28" s="16"/>
      <c r="G28" s="14">
        <v>500</v>
      </c>
      <c r="H28" s="14"/>
      <c r="I28" s="14"/>
      <c r="J28" s="14">
        <v>500</v>
      </c>
      <c r="K28" s="24">
        <v>8.0000000000000002E-3</v>
      </c>
      <c r="L28" s="24">
        <v>0</v>
      </c>
      <c r="M28" s="21"/>
      <c r="N28" s="28"/>
      <c r="O28" s="26"/>
      <c r="P28" s="27">
        <f>P27*1.1</f>
        <v>2301506887.6800003</v>
      </c>
      <c r="Q28" s="27">
        <f t="shared" si="16"/>
        <v>201381.85267200004</v>
      </c>
      <c r="R28" s="27">
        <f t="shared" si="16"/>
        <v>8630650828.8000011</v>
      </c>
      <c r="S28" s="27">
        <v>100</v>
      </c>
      <c r="T28" s="27">
        <v>350</v>
      </c>
      <c r="U28" s="31">
        <v>0.34999999999999898</v>
      </c>
      <c r="V28" s="27">
        <v>11</v>
      </c>
      <c r="W28" s="29">
        <v>0</v>
      </c>
      <c r="X28" s="27">
        <v>200</v>
      </c>
      <c r="Y28" s="27">
        <v>50</v>
      </c>
      <c r="Z28" s="27">
        <v>20</v>
      </c>
      <c r="AA28" s="27">
        <v>450</v>
      </c>
      <c r="AB28" s="27">
        <v>0</v>
      </c>
      <c r="AC28" s="27">
        <v>0</v>
      </c>
    </row>
    <row r="29" spans="1:29" ht="15" x14ac:dyDescent="0.15">
      <c r="A29" s="6" t="s">
        <v>81</v>
      </c>
      <c r="B29" s="13" t="s">
        <v>84</v>
      </c>
      <c r="C29" s="7" t="s">
        <v>225</v>
      </c>
      <c r="D29" s="7"/>
      <c r="F29" s="16"/>
      <c r="G29" s="14">
        <v>500</v>
      </c>
      <c r="H29" s="14"/>
      <c r="I29" s="14"/>
      <c r="J29" s="14">
        <v>500</v>
      </c>
      <c r="K29" s="24">
        <v>8.0000000000000002E-3</v>
      </c>
      <c r="L29" s="24">
        <v>0</v>
      </c>
      <c r="M29" s="21"/>
      <c r="N29" s="28"/>
      <c r="O29" s="26"/>
      <c r="P29" s="27">
        <v>50000</v>
      </c>
      <c r="Q29" s="27">
        <f t="shared" ref="Q29:R29" si="17">Q14*1.25</f>
        <v>4.375</v>
      </c>
      <c r="R29" s="27">
        <v>187500</v>
      </c>
      <c r="S29" s="27">
        <v>100</v>
      </c>
      <c r="T29" s="27">
        <v>350</v>
      </c>
      <c r="U29" s="31">
        <v>1</v>
      </c>
      <c r="V29" s="27">
        <v>11</v>
      </c>
      <c r="W29" s="29">
        <v>0</v>
      </c>
      <c r="X29" s="27">
        <v>200</v>
      </c>
      <c r="Y29" s="27">
        <v>50</v>
      </c>
      <c r="Z29" s="27">
        <v>20</v>
      </c>
      <c r="AA29" s="27">
        <v>450</v>
      </c>
      <c r="AB29" s="27">
        <v>0</v>
      </c>
      <c r="AC29" s="27">
        <v>0</v>
      </c>
    </row>
    <row r="30" spans="1:29" ht="15" x14ac:dyDescent="0.15">
      <c r="A30" s="6" t="s">
        <v>83</v>
      </c>
      <c r="B30" s="13" t="s">
        <v>86</v>
      </c>
      <c r="C30" s="7" t="s">
        <v>225</v>
      </c>
      <c r="D30" s="7"/>
      <c r="F30" s="16"/>
      <c r="G30" s="14">
        <v>500</v>
      </c>
      <c r="H30" s="14"/>
      <c r="I30" s="14"/>
      <c r="J30" s="14">
        <v>500</v>
      </c>
      <c r="K30" s="24">
        <v>8.0000000000000002E-3</v>
      </c>
      <c r="L30" s="24">
        <v>0</v>
      </c>
      <c r="M30" s="21"/>
      <c r="N30" s="28"/>
      <c r="O30" s="26"/>
      <c r="P30" s="27">
        <f>P29*2</f>
        <v>100000</v>
      </c>
      <c r="Q30" s="27">
        <f t="shared" ref="Q30:R33" si="18">Q29*2</f>
        <v>8.75</v>
      </c>
      <c r="R30" s="27">
        <f t="shared" si="18"/>
        <v>375000</v>
      </c>
      <c r="S30" s="27">
        <v>100</v>
      </c>
      <c r="T30" s="27">
        <v>350</v>
      </c>
      <c r="U30" s="31">
        <v>1</v>
      </c>
      <c r="V30" s="27">
        <v>11</v>
      </c>
      <c r="W30" s="29">
        <v>0</v>
      </c>
      <c r="X30" s="27">
        <v>200</v>
      </c>
      <c r="Y30" s="27">
        <v>50</v>
      </c>
      <c r="Z30" s="27">
        <v>20</v>
      </c>
      <c r="AA30" s="27">
        <v>450</v>
      </c>
      <c r="AB30" s="27">
        <v>0</v>
      </c>
      <c r="AC30" s="27">
        <v>0</v>
      </c>
    </row>
    <row r="31" spans="1:29" ht="15" x14ac:dyDescent="0.15">
      <c r="A31" s="6" t="s">
        <v>85</v>
      </c>
      <c r="B31" s="13" t="s">
        <v>88</v>
      </c>
      <c r="C31" s="7" t="s">
        <v>225</v>
      </c>
      <c r="D31" s="7"/>
      <c r="F31" s="16"/>
      <c r="G31" s="14">
        <v>500</v>
      </c>
      <c r="H31" s="14"/>
      <c r="I31" s="14"/>
      <c r="J31" s="14">
        <v>500</v>
      </c>
      <c r="K31" s="24">
        <v>8.0000000000000002E-3</v>
      </c>
      <c r="L31" s="24">
        <v>0</v>
      </c>
      <c r="M31" s="21"/>
      <c r="N31" s="28"/>
      <c r="O31" s="26"/>
      <c r="P31" s="27">
        <f>P30*2</f>
        <v>200000</v>
      </c>
      <c r="Q31" s="27">
        <f t="shared" si="18"/>
        <v>17.5</v>
      </c>
      <c r="R31" s="27">
        <f t="shared" si="18"/>
        <v>750000</v>
      </c>
      <c r="S31" s="27">
        <v>100</v>
      </c>
      <c r="T31" s="27">
        <v>350</v>
      </c>
      <c r="U31" s="31">
        <v>1</v>
      </c>
      <c r="V31" s="27">
        <v>11</v>
      </c>
      <c r="W31" s="29">
        <v>0</v>
      </c>
      <c r="X31" s="27">
        <v>200</v>
      </c>
      <c r="Y31" s="27">
        <v>50</v>
      </c>
      <c r="Z31" s="27">
        <v>20</v>
      </c>
      <c r="AA31" s="27">
        <v>450</v>
      </c>
      <c r="AB31" s="27">
        <v>0</v>
      </c>
      <c r="AC31" s="27">
        <v>0</v>
      </c>
    </row>
    <row r="32" spans="1:29" ht="15" x14ac:dyDescent="0.15">
      <c r="A32" s="6" t="s">
        <v>87</v>
      </c>
      <c r="B32" s="13" t="s">
        <v>90</v>
      </c>
      <c r="C32" s="7" t="s">
        <v>225</v>
      </c>
      <c r="D32" s="7"/>
      <c r="F32" s="16"/>
      <c r="G32" s="14">
        <v>500</v>
      </c>
      <c r="H32" s="14"/>
      <c r="I32" s="14"/>
      <c r="J32" s="14">
        <v>500</v>
      </c>
      <c r="K32" s="24">
        <v>8.0000000000000002E-3</v>
      </c>
      <c r="L32" s="24">
        <v>0</v>
      </c>
      <c r="M32" s="21"/>
      <c r="N32" s="28"/>
      <c r="O32" s="26"/>
      <c r="P32" s="27">
        <f t="shared" ref="P32:P33" si="19">P31*2</f>
        <v>400000</v>
      </c>
      <c r="Q32" s="27">
        <f t="shared" si="18"/>
        <v>35</v>
      </c>
      <c r="R32" s="27">
        <f t="shared" si="18"/>
        <v>1500000</v>
      </c>
      <c r="S32" s="27">
        <v>100</v>
      </c>
      <c r="T32" s="27">
        <v>350</v>
      </c>
      <c r="U32" s="31">
        <v>1</v>
      </c>
      <c r="V32" s="27">
        <v>11</v>
      </c>
      <c r="W32" s="29">
        <v>0</v>
      </c>
      <c r="X32" s="27">
        <v>200</v>
      </c>
      <c r="Y32" s="27">
        <v>50</v>
      </c>
      <c r="Z32" s="27">
        <v>20</v>
      </c>
      <c r="AA32" s="27">
        <v>450</v>
      </c>
      <c r="AB32" s="27">
        <v>0</v>
      </c>
      <c r="AC32" s="27">
        <v>0</v>
      </c>
    </row>
    <row r="33" spans="1:29" ht="15" x14ac:dyDescent="0.15">
      <c r="A33" s="6" t="s">
        <v>89</v>
      </c>
      <c r="B33" s="13" t="s">
        <v>92</v>
      </c>
      <c r="C33" s="7" t="s">
        <v>225</v>
      </c>
      <c r="D33" s="7"/>
      <c r="F33" s="16"/>
      <c r="G33" s="14">
        <v>500</v>
      </c>
      <c r="H33" s="14"/>
      <c r="I33" s="14"/>
      <c r="J33" s="14">
        <v>500</v>
      </c>
      <c r="K33" s="24">
        <v>8.0000000000000002E-3</v>
      </c>
      <c r="L33" s="24">
        <v>0</v>
      </c>
      <c r="M33" s="21"/>
      <c r="N33" s="28"/>
      <c r="O33" s="26"/>
      <c r="P33" s="27">
        <f t="shared" si="19"/>
        <v>800000</v>
      </c>
      <c r="Q33" s="27">
        <f t="shared" si="18"/>
        <v>70</v>
      </c>
      <c r="R33" s="27">
        <f t="shared" si="18"/>
        <v>3000000</v>
      </c>
      <c r="S33" s="27">
        <v>100</v>
      </c>
      <c r="T33" s="27">
        <v>350</v>
      </c>
      <c r="U33" s="31">
        <v>1</v>
      </c>
      <c r="V33" s="27">
        <v>11</v>
      </c>
      <c r="W33" s="29">
        <v>0</v>
      </c>
      <c r="X33" s="27">
        <v>200</v>
      </c>
      <c r="Y33" s="27">
        <v>50</v>
      </c>
      <c r="Z33" s="27">
        <v>20</v>
      </c>
      <c r="AA33" s="27">
        <v>450</v>
      </c>
      <c r="AB33" s="27">
        <v>0</v>
      </c>
      <c r="AC33" s="27">
        <v>0</v>
      </c>
    </row>
    <row r="34" spans="1:29" ht="15" x14ac:dyDescent="0.15">
      <c r="A34" s="6" t="s">
        <v>91</v>
      </c>
      <c r="B34" s="13" t="s">
        <v>94</v>
      </c>
      <c r="C34" s="7" t="s">
        <v>225</v>
      </c>
      <c r="D34" s="7"/>
      <c r="F34" s="16"/>
      <c r="G34" s="14">
        <v>500</v>
      </c>
      <c r="H34" s="14"/>
      <c r="I34" s="14"/>
      <c r="J34" s="14">
        <v>500</v>
      </c>
      <c r="K34" s="24">
        <v>8.0000000000000002E-3</v>
      </c>
      <c r="L34" s="24">
        <v>0</v>
      </c>
      <c r="M34" s="21"/>
      <c r="N34" s="28"/>
      <c r="O34" s="26"/>
      <c r="P34" s="27">
        <f>P29</f>
        <v>50000</v>
      </c>
      <c r="Q34" s="27">
        <f t="shared" ref="Q34:R34" si="20">Q29</f>
        <v>4.375</v>
      </c>
      <c r="R34" s="27">
        <f t="shared" si="20"/>
        <v>187500</v>
      </c>
      <c r="S34" s="27">
        <v>100</v>
      </c>
      <c r="T34" s="27">
        <v>350</v>
      </c>
      <c r="U34" s="31">
        <v>1</v>
      </c>
      <c r="V34" s="27">
        <v>11</v>
      </c>
      <c r="W34" s="29">
        <v>0</v>
      </c>
      <c r="X34" s="27">
        <v>200</v>
      </c>
      <c r="Y34" s="27">
        <v>50</v>
      </c>
      <c r="Z34" s="27">
        <v>20</v>
      </c>
      <c r="AA34" s="27">
        <v>450</v>
      </c>
      <c r="AB34" s="27">
        <v>0</v>
      </c>
      <c r="AC34" s="27">
        <v>0</v>
      </c>
    </row>
    <row r="35" spans="1:29" ht="15" x14ac:dyDescent="0.15">
      <c r="A35" s="6" t="s">
        <v>93</v>
      </c>
      <c r="B35" s="13" t="s">
        <v>96</v>
      </c>
      <c r="C35" s="7" t="s">
        <v>225</v>
      </c>
      <c r="D35" s="7"/>
      <c r="F35" s="16"/>
      <c r="G35" s="14">
        <v>500</v>
      </c>
      <c r="H35" s="14"/>
      <c r="I35" s="14"/>
      <c r="J35" s="14">
        <v>500</v>
      </c>
      <c r="K35" s="24">
        <v>8.0000000000000002E-3</v>
      </c>
      <c r="L35" s="24">
        <v>0</v>
      </c>
      <c r="M35" s="21"/>
      <c r="N35" s="28"/>
      <c r="O35" s="26"/>
      <c r="P35" s="27">
        <f>P30</f>
        <v>100000</v>
      </c>
      <c r="Q35" s="27">
        <f t="shared" ref="P35:R38" si="21">Q30</f>
        <v>8.75</v>
      </c>
      <c r="R35" s="27">
        <f t="shared" si="21"/>
        <v>375000</v>
      </c>
      <c r="S35" s="27">
        <v>100</v>
      </c>
      <c r="T35" s="27">
        <v>350</v>
      </c>
      <c r="U35" s="31">
        <v>1</v>
      </c>
      <c r="V35" s="27">
        <v>11</v>
      </c>
      <c r="W35" s="29">
        <v>0</v>
      </c>
      <c r="X35" s="27">
        <v>200</v>
      </c>
      <c r="Y35" s="27">
        <v>50</v>
      </c>
      <c r="Z35" s="27">
        <v>20</v>
      </c>
      <c r="AA35" s="27">
        <v>450</v>
      </c>
      <c r="AB35" s="27">
        <v>0</v>
      </c>
      <c r="AC35" s="27">
        <v>0</v>
      </c>
    </row>
    <row r="36" spans="1:29" ht="15" x14ac:dyDescent="0.15">
      <c r="A36" s="6" t="s">
        <v>95</v>
      </c>
      <c r="B36" s="13" t="s">
        <v>98</v>
      </c>
      <c r="C36" s="7" t="s">
        <v>225</v>
      </c>
      <c r="D36" s="7"/>
      <c r="F36" s="16"/>
      <c r="G36" s="14">
        <v>500</v>
      </c>
      <c r="H36" s="14"/>
      <c r="I36" s="14"/>
      <c r="J36" s="14">
        <v>500</v>
      </c>
      <c r="K36" s="24">
        <v>8.0000000000000002E-3</v>
      </c>
      <c r="L36" s="24">
        <v>0</v>
      </c>
      <c r="M36" s="21"/>
      <c r="N36" s="28"/>
      <c r="O36" s="26"/>
      <c r="P36" s="27">
        <f t="shared" si="21"/>
        <v>200000</v>
      </c>
      <c r="Q36" s="27">
        <f t="shared" si="21"/>
        <v>17.5</v>
      </c>
      <c r="R36" s="27">
        <f t="shared" si="21"/>
        <v>750000</v>
      </c>
      <c r="S36" s="27">
        <v>100</v>
      </c>
      <c r="T36" s="27">
        <v>350</v>
      </c>
      <c r="U36" s="31">
        <v>1</v>
      </c>
      <c r="V36" s="27">
        <v>11</v>
      </c>
      <c r="W36" s="29">
        <v>0</v>
      </c>
      <c r="X36" s="27">
        <v>200</v>
      </c>
      <c r="Y36" s="27">
        <v>50</v>
      </c>
      <c r="Z36" s="27">
        <v>20</v>
      </c>
      <c r="AA36" s="27">
        <v>450</v>
      </c>
      <c r="AB36" s="27">
        <v>0</v>
      </c>
      <c r="AC36" s="27">
        <v>0</v>
      </c>
    </row>
    <row r="37" spans="1:29" ht="15" x14ac:dyDescent="0.15">
      <c r="A37" s="6" t="s">
        <v>97</v>
      </c>
      <c r="B37" s="13" t="s">
        <v>100</v>
      </c>
      <c r="C37" s="7" t="s">
        <v>225</v>
      </c>
      <c r="D37" s="7"/>
      <c r="F37" s="16"/>
      <c r="G37" s="14">
        <v>500</v>
      </c>
      <c r="H37" s="14"/>
      <c r="I37" s="14"/>
      <c r="J37" s="14">
        <v>500</v>
      </c>
      <c r="K37" s="24">
        <v>8.0000000000000002E-3</v>
      </c>
      <c r="L37" s="24">
        <v>0</v>
      </c>
      <c r="M37" s="21"/>
      <c r="N37" s="28"/>
      <c r="O37" s="26"/>
      <c r="P37" s="27">
        <f t="shared" si="21"/>
        <v>400000</v>
      </c>
      <c r="Q37" s="27">
        <f t="shared" si="21"/>
        <v>35</v>
      </c>
      <c r="R37" s="27">
        <f t="shared" si="21"/>
        <v>1500000</v>
      </c>
      <c r="S37" s="27">
        <v>100</v>
      </c>
      <c r="T37" s="27">
        <v>350</v>
      </c>
      <c r="U37" s="31">
        <v>1</v>
      </c>
      <c r="V37" s="27">
        <v>11</v>
      </c>
      <c r="W37" s="29">
        <v>0</v>
      </c>
      <c r="X37" s="27">
        <v>200</v>
      </c>
      <c r="Y37" s="27">
        <v>50</v>
      </c>
      <c r="Z37" s="27">
        <v>20</v>
      </c>
      <c r="AA37" s="27">
        <v>450</v>
      </c>
      <c r="AB37" s="27">
        <v>0</v>
      </c>
      <c r="AC37" s="27">
        <v>0</v>
      </c>
    </row>
    <row r="38" spans="1:29" ht="15" x14ac:dyDescent="0.15">
      <c r="A38" s="6" t="s">
        <v>99</v>
      </c>
      <c r="B38" s="13" t="s">
        <v>102</v>
      </c>
      <c r="C38" s="7" t="s">
        <v>225</v>
      </c>
      <c r="D38" s="7"/>
      <c r="F38" s="16"/>
      <c r="G38" s="14">
        <v>500</v>
      </c>
      <c r="H38" s="14"/>
      <c r="I38" s="14"/>
      <c r="J38" s="14">
        <v>500</v>
      </c>
      <c r="K38" s="24">
        <v>8.0000000000000002E-3</v>
      </c>
      <c r="L38" s="24">
        <v>0</v>
      </c>
      <c r="M38" s="21"/>
      <c r="N38" s="28"/>
      <c r="O38" s="26"/>
      <c r="P38" s="27">
        <f t="shared" si="21"/>
        <v>800000</v>
      </c>
      <c r="Q38" s="27">
        <f t="shared" si="21"/>
        <v>70</v>
      </c>
      <c r="R38" s="27">
        <f t="shared" si="21"/>
        <v>3000000</v>
      </c>
      <c r="S38" s="27">
        <v>100</v>
      </c>
      <c r="T38" s="27">
        <v>350</v>
      </c>
      <c r="U38" s="31">
        <v>1</v>
      </c>
      <c r="V38" s="27">
        <v>11</v>
      </c>
      <c r="W38" s="29">
        <v>0</v>
      </c>
      <c r="X38" s="27">
        <v>200</v>
      </c>
      <c r="Y38" s="27">
        <v>50</v>
      </c>
      <c r="Z38" s="27">
        <v>20</v>
      </c>
      <c r="AA38" s="27">
        <v>450</v>
      </c>
      <c r="AB38" s="27">
        <v>0</v>
      </c>
      <c r="AC38" s="27">
        <v>0</v>
      </c>
    </row>
    <row r="39" spans="1:29" ht="15" x14ac:dyDescent="0.15">
      <c r="A39" s="12" t="s">
        <v>101</v>
      </c>
      <c r="B39" s="13" t="s">
        <v>104</v>
      </c>
      <c r="C39" s="7" t="s">
        <v>223</v>
      </c>
      <c r="D39" s="7"/>
      <c r="E39" s="1"/>
      <c r="F39" s="1"/>
      <c r="G39" s="14">
        <v>10</v>
      </c>
      <c r="H39" s="14"/>
      <c r="I39" s="14"/>
      <c r="J39" s="14">
        <v>500</v>
      </c>
      <c r="K39" s="24">
        <v>8.0000000000000002E-3</v>
      </c>
      <c r="L39" s="24">
        <v>0</v>
      </c>
      <c r="M39" s="21" t="s">
        <v>224</v>
      </c>
      <c r="N39" s="1"/>
      <c r="O39" s="26"/>
      <c r="P39" s="27">
        <v>60</v>
      </c>
      <c r="Q39" s="27">
        <v>3.375</v>
      </c>
      <c r="R39" s="27">
        <v>3000</v>
      </c>
      <c r="S39" s="27">
        <v>100</v>
      </c>
      <c r="T39" s="27">
        <v>350</v>
      </c>
      <c r="U39" s="31">
        <v>1.2</v>
      </c>
      <c r="V39" s="27">
        <v>11</v>
      </c>
      <c r="W39" s="29">
        <v>0</v>
      </c>
      <c r="X39" s="27">
        <v>200</v>
      </c>
      <c r="Y39" s="27">
        <v>10</v>
      </c>
      <c r="Z39" s="15">
        <v>10</v>
      </c>
      <c r="AA39" s="15">
        <v>100</v>
      </c>
      <c r="AB39" s="15">
        <v>0</v>
      </c>
      <c r="AC39" s="15">
        <v>0</v>
      </c>
    </row>
    <row r="40" spans="1:29" ht="15" x14ac:dyDescent="0.15">
      <c r="A40" s="12" t="s">
        <v>103</v>
      </c>
      <c r="B40" s="13" t="s">
        <v>107</v>
      </c>
      <c r="C40" s="7" t="s">
        <v>223</v>
      </c>
      <c r="D40" s="7"/>
      <c r="E40" s="1"/>
      <c r="F40" s="1"/>
      <c r="G40" s="14">
        <v>500</v>
      </c>
      <c r="H40" s="14"/>
      <c r="I40" s="14"/>
      <c r="J40" s="14">
        <v>500</v>
      </c>
      <c r="K40" s="24">
        <v>8.0000000000000002E-3</v>
      </c>
      <c r="L40" s="24">
        <v>0</v>
      </c>
      <c r="M40" s="21" t="s">
        <v>224</v>
      </c>
      <c r="N40" s="1"/>
      <c r="O40" s="26"/>
      <c r="P40" s="27">
        <v>2000</v>
      </c>
      <c r="Q40" s="27">
        <v>8</v>
      </c>
      <c r="R40" s="27">
        <v>20000</v>
      </c>
      <c r="S40" s="27">
        <v>100</v>
      </c>
      <c r="T40" s="27">
        <v>360</v>
      </c>
      <c r="U40" s="31">
        <v>1.1000000000000001</v>
      </c>
      <c r="V40" s="27">
        <v>200</v>
      </c>
      <c r="W40" s="29">
        <v>0</v>
      </c>
      <c r="X40" s="27">
        <v>200</v>
      </c>
      <c r="Y40" s="27">
        <v>30</v>
      </c>
      <c r="Z40" s="15">
        <v>15</v>
      </c>
      <c r="AA40" s="15">
        <v>100</v>
      </c>
      <c r="AB40" s="15">
        <v>0</v>
      </c>
      <c r="AC40" s="15">
        <v>0</v>
      </c>
    </row>
    <row r="41" spans="1:29" ht="15" x14ac:dyDescent="0.15">
      <c r="A41" s="12" t="s">
        <v>106</v>
      </c>
      <c r="B41" s="13" t="s">
        <v>109</v>
      </c>
      <c r="C41" s="7" t="s">
        <v>223</v>
      </c>
      <c r="D41" s="7"/>
      <c r="E41" s="1"/>
      <c r="F41" s="1"/>
      <c r="G41" s="14">
        <v>1750</v>
      </c>
      <c r="H41" s="14"/>
      <c r="I41" s="14"/>
      <c r="J41" s="14">
        <v>500</v>
      </c>
      <c r="K41" s="24">
        <v>8.0000000000000002E-3</v>
      </c>
      <c r="L41" s="24">
        <v>0</v>
      </c>
      <c r="M41" s="21" t="s">
        <v>224</v>
      </c>
      <c r="N41" s="1"/>
      <c r="O41" s="26"/>
      <c r="P41" s="27">
        <v>240000</v>
      </c>
      <c r="Q41" s="27">
        <v>42.1875</v>
      </c>
      <c r="R41" s="27">
        <v>1200000</v>
      </c>
      <c r="S41" s="27">
        <v>1000</v>
      </c>
      <c r="T41" s="27">
        <v>370</v>
      </c>
      <c r="U41" s="31">
        <v>1</v>
      </c>
      <c r="V41" s="27">
        <v>800</v>
      </c>
      <c r="W41" s="29">
        <v>0</v>
      </c>
      <c r="X41" s="27">
        <v>200</v>
      </c>
      <c r="Y41" s="27">
        <v>50</v>
      </c>
      <c r="Z41" s="15">
        <v>20</v>
      </c>
      <c r="AA41" s="15">
        <v>100</v>
      </c>
      <c r="AB41" s="15">
        <v>0</v>
      </c>
      <c r="AC41" s="15">
        <v>0</v>
      </c>
    </row>
    <row r="42" spans="1:29" ht="15" x14ac:dyDescent="0.15">
      <c r="A42" s="12" t="s">
        <v>108</v>
      </c>
      <c r="B42" s="13" t="s">
        <v>111</v>
      </c>
      <c r="C42" s="7" t="s">
        <v>223</v>
      </c>
      <c r="D42" s="7"/>
      <c r="E42" s="1"/>
      <c r="F42" s="1"/>
      <c r="G42" s="14">
        <v>5000</v>
      </c>
      <c r="H42" s="14"/>
      <c r="I42" s="14"/>
      <c r="J42" s="14">
        <v>500</v>
      </c>
      <c r="K42" s="24">
        <v>8.0000000000000002E-3</v>
      </c>
      <c r="L42" s="24">
        <v>0</v>
      </c>
      <c r="M42" s="21" t="s">
        <v>224</v>
      </c>
      <c r="N42" s="1"/>
      <c r="O42" s="26"/>
      <c r="P42" s="27">
        <v>1200000</v>
      </c>
      <c r="Q42" s="27">
        <v>63.28125</v>
      </c>
      <c r="R42" s="27">
        <v>4800000</v>
      </c>
      <c r="S42" s="27">
        <v>10000</v>
      </c>
      <c r="T42" s="27">
        <v>380</v>
      </c>
      <c r="U42" s="31">
        <v>1</v>
      </c>
      <c r="V42" s="27">
        <v>2640</v>
      </c>
      <c r="W42" s="29">
        <v>0</v>
      </c>
      <c r="X42" s="27">
        <v>200</v>
      </c>
      <c r="Y42" s="27">
        <v>70</v>
      </c>
      <c r="Z42" s="15">
        <v>20</v>
      </c>
      <c r="AA42" s="15">
        <v>100</v>
      </c>
      <c r="AB42" s="15">
        <v>0</v>
      </c>
      <c r="AC42" s="15">
        <v>0</v>
      </c>
    </row>
    <row r="43" spans="1:29" ht="15" x14ac:dyDescent="0.15">
      <c r="A43" s="12" t="s">
        <v>110</v>
      </c>
      <c r="B43" s="13" t="s">
        <v>114</v>
      </c>
      <c r="C43" s="7" t="s">
        <v>223</v>
      </c>
      <c r="D43" s="7"/>
      <c r="E43" s="1"/>
      <c r="F43" s="1"/>
      <c r="G43" s="15"/>
      <c r="H43" s="17">
        <v>1.25</v>
      </c>
      <c r="I43" s="15"/>
      <c r="J43" s="14">
        <v>500</v>
      </c>
      <c r="K43" s="24">
        <v>8.0000000000000002E-3</v>
      </c>
      <c r="L43" s="24">
        <v>0</v>
      </c>
      <c r="M43" s="21" t="s">
        <v>224</v>
      </c>
      <c r="N43" s="1"/>
      <c r="O43" s="26"/>
      <c r="P43" s="27">
        <v>6000000</v>
      </c>
      <c r="Q43" s="27">
        <v>189.84375</v>
      </c>
      <c r="R43" s="27">
        <v>9600000</v>
      </c>
      <c r="S43" s="27">
        <v>10000</v>
      </c>
      <c r="T43" s="27">
        <v>390</v>
      </c>
      <c r="U43" s="31">
        <v>1</v>
      </c>
      <c r="V43" s="27">
        <v>5940</v>
      </c>
      <c r="W43" s="29">
        <v>0</v>
      </c>
      <c r="X43" s="27">
        <v>200</v>
      </c>
      <c r="Y43" s="27">
        <v>90</v>
      </c>
      <c r="Z43" s="27">
        <v>20</v>
      </c>
      <c r="AA43" s="27">
        <v>500</v>
      </c>
      <c r="AB43" s="15">
        <v>0</v>
      </c>
      <c r="AC43" s="15">
        <v>0</v>
      </c>
    </row>
    <row r="44" spans="1:29" ht="14.25" customHeight="1" x14ac:dyDescent="0.15">
      <c r="A44" s="12" t="s">
        <v>113</v>
      </c>
      <c r="B44" s="13" t="s">
        <v>116</v>
      </c>
      <c r="C44" s="7" t="s">
        <v>223</v>
      </c>
      <c r="D44" s="7"/>
      <c r="E44" s="1"/>
      <c r="F44" s="1"/>
      <c r="G44" s="15"/>
      <c r="H44" s="18">
        <v>3</v>
      </c>
      <c r="I44" s="14"/>
      <c r="J44" s="14">
        <v>500</v>
      </c>
      <c r="K44" s="24">
        <v>8.0000000000000002E-3</v>
      </c>
      <c r="L44" s="24">
        <v>0</v>
      </c>
      <c r="M44" s="21" t="s">
        <v>224</v>
      </c>
      <c r="N44" s="1"/>
      <c r="O44" s="26"/>
      <c r="P44" s="27">
        <v>24000000</v>
      </c>
      <c r="Q44" s="27">
        <v>759.375</v>
      </c>
      <c r="R44" s="27">
        <v>38400000</v>
      </c>
      <c r="S44" s="27">
        <v>10000</v>
      </c>
      <c r="T44" s="27">
        <v>400</v>
      </c>
      <c r="U44" s="31">
        <v>0.9</v>
      </c>
      <c r="V44" s="27">
        <v>10810.8</v>
      </c>
      <c r="W44" s="29">
        <v>0</v>
      </c>
      <c r="X44" s="27">
        <v>200</v>
      </c>
      <c r="Y44" s="27">
        <v>150</v>
      </c>
      <c r="Z44" s="27">
        <v>20</v>
      </c>
      <c r="AA44" s="27">
        <v>1000</v>
      </c>
      <c r="AB44" s="15">
        <v>0</v>
      </c>
      <c r="AC44" s="15">
        <v>0</v>
      </c>
    </row>
    <row r="45" spans="1:29" ht="14.25" customHeight="1" x14ac:dyDescent="0.15">
      <c r="A45" s="12" t="s">
        <v>115</v>
      </c>
      <c r="B45" s="13" t="s">
        <v>118</v>
      </c>
      <c r="C45" s="7" t="s">
        <v>223</v>
      </c>
      <c r="D45" s="7"/>
      <c r="E45" s="1"/>
      <c r="F45" s="1"/>
      <c r="G45" s="15"/>
      <c r="H45" s="18">
        <v>7.5</v>
      </c>
      <c r="I45" s="14"/>
      <c r="J45" s="14">
        <v>500</v>
      </c>
      <c r="K45" s="24">
        <v>8.0000000000000002E-3</v>
      </c>
      <c r="L45" s="24">
        <v>0</v>
      </c>
      <c r="M45" s="21" t="s">
        <v>224</v>
      </c>
      <c r="N45" s="1"/>
      <c r="O45" s="26"/>
      <c r="P45" s="27">
        <v>100860000</v>
      </c>
      <c r="Q45" s="27">
        <v>3191.2734375</v>
      </c>
      <c r="R45" s="27">
        <v>161376000</v>
      </c>
      <c r="S45" s="27">
        <v>10000</v>
      </c>
      <c r="T45" s="27">
        <v>410</v>
      </c>
      <c r="U45" s="31">
        <v>0.9</v>
      </c>
      <c r="V45" s="27">
        <v>16864.848000000002</v>
      </c>
      <c r="W45" s="29">
        <v>0</v>
      </c>
      <c r="X45" s="27">
        <v>200</v>
      </c>
      <c r="Y45" s="27">
        <v>150</v>
      </c>
      <c r="Z45" s="27">
        <v>20</v>
      </c>
      <c r="AA45" s="27">
        <v>1500</v>
      </c>
      <c r="AB45" s="15">
        <v>0</v>
      </c>
      <c r="AC45" s="15">
        <v>0</v>
      </c>
    </row>
    <row r="46" spans="1:29" ht="15" x14ac:dyDescent="0.15">
      <c r="A46" s="12" t="s">
        <v>117</v>
      </c>
      <c r="B46" s="13" t="s">
        <v>120</v>
      </c>
      <c r="C46" s="7" t="s">
        <v>223</v>
      </c>
      <c r="D46" s="7"/>
      <c r="E46" s="1"/>
      <c r="F46" s="1"/>
      <c r="G46" s="15"/>
      <c r="H46" s="18">
        <v>15</v>
      </c>
      <c r="I46" s="14"/>
      <c r="J46" s="14">
        <v>500</v>
      </c>
      <c r="K46" s="24">
        <v>8.0000000000000002E-3</v>
      </c>
      <c r="L46" s="24">
        <v>0</v>
      </c>
      <c r="M46" s="21" t="s">
        <v>224</v>
      </c>
      <c r="N46" s="1"/>
      <c r="O46" s="26"/>
      <c r="P46" s="27">
        <v>423864150</v>
      </c>
      <c r="Q46" s="27">
        <v>13411.3266210937</v>
      </c>
      <c r="R46" s="27">
        <v>678182640</v>
      </c>
      <c r="S46" s="27">
        <v>10000</v>
      </c>
      <c r="T46" s="27">
        <v>420</v>
      </c>
      <c r="U46" s="31">
        <v>0.9</v>
      </c>
      <c r="V46" s="27">
        <v>24285.381119999998</v>
      </c>
      <c r="W46" s="29">
        <v>0</v>
      </c>
      <c r="X46" s="27">
        <v>200</v>
      </c>
      <c r="Y46" s="27">
        <v>150</v>
      </c>
      <c r="Z46" s="27">
        <v>20</v>
      </c>
      <c r="AA46" s="27">
        <v>2500</v>
      </c>
      <c r="AB46" s="15">
        <v>0</v>
      </c>
      <c r="AC46" s="15">
        <v>0</v>
      </c>
    </row>
    <row r="47" spans="1:29" ht="15" x14ac:dyDescent="0.15">
      <c r="A47" s="12" t="s">
        <v>119</v>
      </c>
      <c r="B47" s="13" t="s">
        <v>123</v>
      </c>
      <c r="C47" s="7" t="s">
        <v>223</v>
      </c>
      <c r="D47" s="7"/>
      <c r="E47" s="1"/>
      <c r="F47" s="1"/>
      <c r="G47" s="15"/>
      <c r="H47" s="14"/>
      <c r="I47" s="14">
        <v>5</v>
      </c>
      <c r="J47" s="14">
        <v>500</v>
      </c>
      <c r="K47" s="24">
        <v>8.0000000000000002E-3</v>
      </c>
      <c r="L47" s="24">
        <v>0</v>
      </c>
      <c r="M47" s="21" t="s">
        <v>224</v>
      </c>
      <c r="N47" s="1"/>
      <c r="O47" s="26"/>
      <c r="P47" s="27">
        <v>12000000</v>
      </c>
      <c r="Q47" s="27">
        <v>379.6875</v>
      </c>
      <c r="R47" s="27">
        <v>19200000</v>
      </c>
      <c r="S47" s="27">
        <v>1000</v>
      </c>
      <c r="T47" s="27">
        <v>370</v>
      </c>
      <c r="U47" s="31">
        <v>1</v>
      </c>
      <c r="V47" s="27">
        <v>800</v>
      </c>
      <c r="W47" s="29">
        <v>0</v>
      </c>
      <c r="X47" s="27">
        <v>200</v>
      </c>
      <c r="Y47" s="27">
        <v>100</v>
      </c>
      <c r="Z47" s="27">
        <v>20</v>
      </c>
      <c r="AA47" s="27">
        <v>750</v>
      </c>
      <c r="AB47" s="27">
        <v>0</v>
      </c>
      <c r="AC47" s="27">
        <v>0</v>
      </c>
    </row>
    <row r="48" spans="1:29" ht="15" x14ac:dyDescent="0.15">
      <c r="A48" s="12" t="s">
        <v>122</v>
      </c>
      <c r="B48" s="13" t="s">
        <v>125</v>
      </c>
      <c r="C48" s="7" t="s">
        <v>223</v>
      </c>
      <c r="D48" s="7"/>
      <c r="E48" s="1"/>
      <c r="F48" s="1"/>
      <c r="G48" s="15"/>
      <c r="H48" s="14"/>
      <c r="I48" s="14">
        <v>20</v>
      </c>
      <c r="J48" s="14">
        <v>500</v>
      </c>
      <c r="K48" s="24">
        <v>8.0000000000000002E-3</v>
      </c>
      <c r="L48" s="24">
        <v>0</v>
      </c>
      <c r="M48" s="21" t="s">
        <v>224</v>
      </c>
      <c r="N48" s="1"/>
      <c r="O48" s="26"/>
      <c r="P48" s="27">
        <v>49200000</v>
      </c>
      <c r="Q48" s="27">
        <v>1556.71875</v>
      </c>
      <c r="R48" s="27">
        <v>78720000</v>
      </c>
      <c r="S48" s="27">
        <v>10000</v>
      </c>
      <c r="T48" s="27">
        <v>400</v>
      </c>
      <c r="U48" s="31">
        <v>0.9</v>
      </c>
      <c r="V48" s="27">
        <v>10810.8</v>
      </c>
      <c r="W48" s="29">
        <v>0</v>
      </c>
      <c r="X48" s="27">
        <v>200</v>
      </c>
      <c r="Y48" s="27">
        <v>150</v>
      </c>
      <c r="Z48" s="27">
        <v>20</v>
      </c>
      <c r="AA48" s="27">
        <v>1250</v>
      </c>
      <c r="AB48" s="27">
        <v>0</v>
      </c>
      <c r="AC48" s="27">
        <v>0</v>
      </c>
    </row>
    <row r="49" spans="1:29" ht="14.25" customHeight="1" x14ac:dyDescent="0.15">
      <c r="A49" s="12" t="s">
        <v>124</v>
      </c>
      <c r="B49" s="13" t="s">
        <v>126</v>
      </c>
      <c r="C49" s="7" t="s">
        <v>223</v>
      </c>
      <c r="D49" s="7"/>
      <c r="E49" s="1"/>
      <c r="F49" s="1"/>
      <c r="G49" s="15"/>
      <c r="H49" s="14"/>
      <c r="I49" s="14">
        <v>50</v>
      </c>
      <c r="J49" s="14">
        <v>500</v>
      </c>
      <c r="K49" s="24">
        <v>8.0000000000000002E-3</v>
      </c>
      <c r="L49" s="24">
        <v>0</v>
      </c>
      <c r="M49" s="21" t="s">
        <v>224</v>
      </c>
      <c r="N49" s="1"/>
      <c r="O49" s="26"/>
      <c r="P49" s="27">
        <v>206763000</v>
      </c>
      <c r="Q49" s="27">
        <v>6542.1105468750002</v>
      </c>
      <c r="R49" s="27">
        <v>330820800</v>
      </c>
      <c r="S49" s="27">
        <v>10000</v>
      </c>
      <c r="T49" s="27">
        <v>445</v>
      </c>
      <c r="U49" s="31">
        <v>0.9</v>
      </c>
      <c r="V49" s="27">
        <v>76376.552207155197</v>
      </c>
      <c r="W49" s="29">
        <v>0</v>
      </c>
      <c r="X49" s="27">
        <v>200</v>
      </c>
      <c r="Y49" s="27">
        <v>200</v>
      </c>
      <c r="Z49" s="27">
        <v>20</v>
      </c>
      <c r="AA49" s="27">
        <v>2000</v>
      </c>
      <c r="AB49" s="27">
        <v>0</v>
      </c>
      <c r="AC49" s="27">
        <v>0</v>
      </c>
    </row>
    <row r="50" spans="1:29" ht="37.5" customHeight="1" x14ac:dyDescent="0.15">
      <c r="A50" s="12" t="s">
        <v>226</v>
      </c>
      <c r="B50" s="13" t="s">
        <v>127</v>
      </c>
      <c r="C50" s="7" t="s">
        <v>225</v>
      </c>
      <c r="D50" s="7"/>
      <c r="E50" s="1"/>
      <c r="F50" s="1"/>
      <c r="G50" s="15"/>
      <c r="H50" s="14"/>
      <c r="I50" s="14"/>
      <c r="J50" s="14">
        <v>500</v>
      </c>
      <c r="K50" s="24">
        <v>8.0000000000000002E-3</v>
      </c>
      <c r="L50" s="24">
        <v>0</v>
      </c>
      <c r="M50" s="21"/>
      <c r="N50" s="25"/>
      <c r="O50" s="26"/>
      <c r="P50" s="27">
        <v>0</v>
      </c>
      <c r="Q50" s="27">
        <v>1000</v>
      </c>
      <c r="R50" s="27">
        <v>100000000</v>
      </c>
      <c r="S50" s="27">
        <v>10000</v>
      </c>
      <c r="T50" s="27">
        <v>0</v>
      </c>
      <c r="U50" s="31">
        <v>0.9</v>
      </c>
      <c r="V50" s="27">
        <v>76376.552207155197</v>
      </c>
      <c r="W50" s="29">
        <v>0</v>
      </c>
      <c r="X50" s="27">
        <v>200</v>
      </c>
      <c r="Y50" s="27">
        <v>200</v>
      </c>
      <c r="Z50" s="27">
        <v>20</v>
      </c>
      <c r="AA50" s="27">
        <v>2000</v>
      </c>
      <c r="AB50" s="27">
        <v>0</v>
      </c>
      <c r="AC50" s="27">
        <v>0</v>
      </c>
    </row>
    <row r="51" spans="1:29" ht="14.25" customHeight="1" x14ac:dyDescent="0.15">
      <c r="A51" s="12" t="s">
        <v>231</v>
      </c>
      <c r="B51" s="13" t="s">
        <v>128</v>
      </c>
      <c r="C51" s="7" t="s">
        <v>225</v>
      </c>
      <c r="D51" s="7"/>
      <c r="E51" s="1"/>
      <c r="F51" s="1"/>
      <c r="G51" s="15"/>
      <c r="H51" s="14"/>
      <c r="I51" s="14"/>
      <c r="J51" s="14">
        <v>500</v>
      </c>
      <c r="K51" s="24">
        <v>8.0000000000000002E-3</v>
      </c>
      <c r="L51" s="24">
        <v>0</v>
      </c>
      <c r="M51" s="21"/>
      <c r="N51" s="1"/>
      <c r="O51" s="26"/>
      <c r="P51" s="27">
        <f>P50*5</f>
        <v>0</v>
      </c>
      <c r="Q51" s="27">
        <f>Q50*5</f>
        <v>5000</v>
      </c>
      <c r="R51" s="27">
        <f>R50*5</f>
        <v>500000000</v>
      </c>
      <c r="S51" s="27">
        <v>10000</v>
      </c>
      <c r="T51" s="27">
        <v>0</v>
      </c>
      <c r="U51" s="31">
        <v>0.9</v>
      </c>
      <c r="V51" s="27">
        <v>76376.552207155197</v>
      </c>
      <c r="W51" s="29">
        <v>0</v>
      </c>
      <c r="X51" s="27">
        <v>200</v>
      </c>
      <c r="Y51" s="27">
        <v>200</v>
      </c>
      <c r="Z51" s="27">
        <v>20</v>
      </c>
      <c r="AA51" s="27">
        <v>2000</v>
      </c>
      <c r="AB51" s="27">
        <v>0</v>
      </c>
      <c r="AC51" s="27">
        <v>0</v>
      </c>
    </row>
    <row r="52" spans="1:29" ht="14.25" customHeight="1" x14ac:dyDescent="0.15">
      <c r="A52" s="12" t="s">
        <v>228</v>
      </c>
      <c r="B52" s="13" t="s">
        <v>129</v>
      </c>
      <c r="C52" s="7" t="s">
        <v>225</v>
      </c>
      <c r="D52" s="7"/>
      <c r="E52" s="1"/>
      <c r="F52" s="1"/>
      <c r="G52" s="15"/>
      <c r="H52" s="14"/>
      <c r="I52" s="14"/>
      <c r="J52" s="14">
        <v>500</v>
      </c>
      <c r="K52" s="24">
        <v>8.0000000000000002E-3</v>
      </c>
      <c r="L52" s="24">
        <v>0</v>
      </c>
      <c r="M52" s="21"/>
      <c r="N52" s="1"/>
      <c r="O52" s="26"/>
      <c r="P52" s="27">
        <f t="shared" ref="P52:R54" si="22">P51*3</f>
        <v>0</v>
      </c>
      <c r="Q52" s="27">
        <f t="shared" si="22"/>
        <v>15000</v>
      </c>
      <c r="R52" s="27">
        <f t="shared" si="22"/>
        <v>1500000000</v>
      </c>
      <c r="S52" s="27">
        <v>10000</v>
      </c>
      <c r="T52" s="27">
        <v>0</v>
      </c>
      <c r="U52" s="31">
        <v>0.9</v>
      </c>
      <c r="V52" s="27">
        <v>76376.552207155197</v>
      </c>
      <c r="W52" s="29">
        <v>0</v>
      </c>
      <c r="X52" s="27">
        <v>200</v>
      </c>
      <c r="Y52" s="27">
        <v>200</v>
      </c>
      <c r="Z52" s="27">
        <v>20</v>
      </c>
      <c r="AA52" s="27">
        <v>2000</v>
      </c>
      <c r="AB52" s="27">
        <v>0</v>
      </c>
      <c r="AC52" s="27">
        <v>0</v>
      </c>
    </row>
    <row r="53" spans="1:29" ht="14.25" customHeight="1" x14ac:dyDescent="0.15">
      <c r="A53" s="12" t="s">
        <v>229</v>
      </c>
      <c r="B53" s="13" t="s">
        <v>130</v>
      </c>
      <c r="C53" s="7" t="s">
        <v>225</v>
      </c>
      <c r="D53" s="7"/>
      <c r="E53" s="1"/>
      <c r="F53" s="1"/>
      <c r="G53" s="15"/>
      <c r="H53" s="14"/>
      <c r="I53" s="14"/>
      <c r="J53" s="14">
        <v>500</v>
      </c>
      <c r="K53" s="24">
        <v>8.0000000000000002E-3</v>
      </c>
      <c r="L53" s="24">
        <v>0</v>
      </c>
      <c r="M53" s="21"/>
      <c r="N53" s="1"/>
      <c r="O53" s="26"/>
      <c r="P53" s="27">
        <f t="shared" si="22"/>
        <v>0</v>
      </c>
      <c r="Q53" s="27">
        <f t="shared" si="22"/>
        <v>45000</v>
      </c>
      <c r="R53" s="27">
        <f t="shared" si="22"/>
        <v>4500000000</v>
      </c>
      <c r="S53" s="27">
        <v>10000</v>
      </c>
      <c r="T53" s="27">
        <v>0</v>
      </c>
      <c r="U53" s="31">
        <v>0.9</v>
      </c>
      <c r="V53" s="27">
        <v>76376.552207155197</v>
      </c>
      <c r="W53" s="29">
        <v>0</v>
      </c>
      <c r="X53" s="27">
        <v>200</v>
      </c>
      <c r="Y53" s="27">
        <v>200</v>
      </c>
      <c r="Z53" s="27">
        <v>20</v>
      </c>
      <c r="AA53" s="27">
        <v>2000</v>
      </c>
      <c r="AB53" s="27">
        <v>0</v>
      </c>
      <c r="AC53" s="27">
        <v>0</v>
      </c>
    </row>
    <row r="54" spans="1:29" ht="14.25" customHeight="1" x14ac:dyDescent="0.15">
      <c r="A54" s="12" t="s">
        <v>230</v>
      </c>
      <c r="B54" s="13" t="s">
        <v>131</v>
      </c>
      <c r="C54" s="7" t="s">
        <v>225</v>
      </c>
      <c r="D54" s="7"/>
      <c r="E54" s="1"/>
      <c r="F54" s="1"/>
      <c r="G54" s="15"/>
      <c r="H54" s="14"/>
      <c r="I54" s="14"/>
      <c r="J54" s="14">
        <v>500</v>
      </c>
      <c r="K54" s="24">
        <v>8.0000000000000002E-3</v>
      </c>
      <c r="L54" s="24">
        <v>0</v>
      </c>
      <c r="M54" s="21"/>
      <c r="N54" s="1"/>
      <c r="O54" s="26"/>
      <c r="P54" s="27">
        <f t="shared" si="22"/>
        <v>0</v>
      </c>
      <c r="Q54" s="27">
        <f t="shared" si="22"/>
        <v>135000</v>
      </c>
      <c r="R54" s="27">
        <f t="shared" si="22"/>
        <v>13500000000</v>
      </c>
      <c r="S54" s="27">
        <v>10000</v>
      </c>
      <c r="T54" s="27">
        <v>0</v>
      </c>
      <c r="U54" s="31">
        <v>0.9</v>
      </c>
      <c r="V54" s="27">
        <v>76376.552207155197</v>
      </c>
      <c r="W54" s="29">
        <v>0</v>
      </c>
      <c r="X54" s="27">
        <v>200</v>
      </c>
      <c r="Y54" s="27">
        <v>200</v>
      </c>
      <c r="Z54" s="27">
        <v>20</v>
      </c>
      <c r="AA54" s="27">
        <v>2000</v>
      </c>
      <c r="AB54" s="27">
        <v>0</v>
      </c>
      <c r="AC54" s="27">
        <v>0</v>
      </c>
    </row>
    <row r="55" spans="1:29" ht="14.25" customHeight="1" x14ac:dyDescent="0.15">
      <c r="A55" s="12" t="s">
        <v>232</v>
      </c>
      <c r="B55" s="13" t="s">
        <v>132</v>
      </c>
      <c r="C55" s="7" t="s">
        <v>223</v>
      </c>
      <c r="D55" s="7"/>
      <c r="E55" s="1"/>
      <c r="F55" s="1"/>
      <c r="G55" s="15"/>
      <c r="H55" s="14"/>
      <c r="I55" s="14"/>
      <c r="J55" s="14">
        <v>500</v>
      </c>
      <c r="K55" s="24">
        <v>8.0000000000000002E-3</v>
      </c>
      <c r="L55" s="24">
        <v>0</v>
      </c>
      <c r="M55" s="21" t="s">
        <v>224</v>
      </c>
      <c r="N55" s="1"/>
      <c r="O55" s="26"/>
      <c r="P55" s="27">
        <f>P40*1.2</f>
        <v>2400</v>
      </c>
      <c r="Q55" s="27">
        <f t="shared" ref="Q55:R55" si="23">Q40*1.2</f>
        <v>9.6</v>
      </c>
      <c r="R55" s="27">
        <f t="shared" si="23"/>
        <v>24000</v>
      </c>
      <c r="S55" s="27">
        <f>S40</f>
        <v>100</v>
      </c>
      <c r="T55" s="27">
        <f t="shared" ref="T55:AC55" si="24">T40</f>
        <v>360</v>
      </c>
      <c r="U55" s="27">
        <f t="shared" si="24"/>
        <v>1.1000000000000001</v>
      </c>
      <c r="V55" s="27">
        <f t="shared" si="24"/>
        <v>200</v>
      </c>
      <c r="W55" s="27">
        <f t="shared" si="24"/>
        <v>0</v>
      </c>
      <c r="X55" s="27">
        <f t="shared" si="24"/>
        <v>200</v>
      </c>
      <c r="Y55" s="27">
        <f t="shared" si="24"/>
        <v>30</v>
      </c>
      <c r="Z55" s="27">
        <f t="shared" si="24"/>
        <v>15</v>
      </c>
      <c r="AA55" s="27">
        <f t="shared" si="24"/>
        <v>100</v>
      </c>
      <c r="AB55" s="27">
        <f t="shared" si="24"/>
        <v>0</v>
      </c>
      <c r="AC55" s="27">
        <f t="shared" si="24"/>
        <v>0</v>
      </c>
    </row>
    <row r="56" spans="1:29" ht="14.25" customHeight="1" x14ac:dyDescent="0.15">
      <c r="A56" s="12" t="s">
        <v>233</v>
      </c>
      <c r="B56" s="13" t="s">
        <v>133</v>
      </c>
      <c r="C56" s="7" t="s">
        <v>223</v>
      </c>
      <c r="D56" s="7"/>
      <c r="E56" s="1"/>
      <c r="F56" s="1"/>
      <c r="G56" s="15"/>
      <c r="H56" s="14"/>
      <c r="I56" s="14"/>
      <c r="J56" s="14">
        <v>500</v>
      </c>
      <c r="K56" s="24">
        <v>8.0000000000000002E-3</v>
      </c>
      <c r="L56" s="24">
        <v>0</v>
      </c>
      <c r="M56" s="21" t="s">
        <v>224</v>
      </c>
      <c r="N56" s="1"/>
      <c r="O56" s="26"/>
      <c r="P56" s="27">
        <f>P43*1.2</f>
        <v>7200000</v>
      </c>
      <c r="Q56" s="27">
        <f t="shared" ref="Q56:R56" si="25">Q43*1.2</f>
        <v>227.8125</v>
      </c>
      <c r="R56" s="27">
        <f t="shared" si="25"/>
        <v>11520000</v>
      </c>
      <c r="S56" s="27">
        <f>S43</f>
        <v>10000</v>
      </c>
      <c r="T56" s="27">
        <f t="shared" ref="T56:AC56" si="26">T43</f>
        <v>390</v>
      </c>
      <c r="U56" s="27">
        <f t="shared" si="26"/>
        <v>1</v>
      </c>
      <c r="V56" s="27">
        <f t="shared" si="26"/>
        <v>5940</v>
      </c>
      <c r="W56" s="27">
        <f t="shared" si="26"/>
        <v>0</v>
      </c>
      <c r="X56" s="27">
        <f t="shared" si="26"/>
        <v>200</v>
      </c>
      <c r="Y56" s="27">
        <f t="shared" si="26"/>
        <v>90</v>
      </c>
      <c r="Z56" s="27">
        <f t="shared" si="26"/>
        <v>20</v>
      </c>
      <c r="AA56" s="27">
        <f t="shared" si="26"/>
        <v>500</v>
      </c>
      <c r="AB56" s="27">
        <f t="shared" si="26"/>
        <v>0</v>
      </c>
      <c r="AC56" s="27">
        <f t="shared" si="26"/>
        <v>0</v>
      </c>
    </row>
    <row r="57" spans="1:29" ht="14.25" customHeight="1" x14ac:dyDescent="0.15">
      <c r="A57" s="12" t="s">
        <v>234</v>
      </c>
      <c r="B57" s="13" t="s">
        <v>134</v>
      </c>
      <c r="C57" s="7" t="s">
        <v>223</v>
      </c>
      <c r="D57" s="7"/>
      <c r="E57" s="1"/>
      <c r="F57" s="1"/>
      <c r="G57" s="15"/>
      <c r="H57" s="14"/>
      <c r="I57" s="14"/>
      <c r="J57" s="14">
        <v>500</v>
      </c>
      <c r="K57" s="24">
        <v>8.0000000000000002E-3</v>
      </c>
      <c r="L57" s="24">
        <v>0</v>
      </c>
      <c r="M57" s="21" t="s">
        <v>224</v>
      </c>
      <c r="N57" s="1"/>
      <c r="O57" s="26"/>
      <c r="P57" s="27">
        <f>P49*1.2</f>
        <v>248115600</v>
      </c>
      <c r="Q57" s="27">
        <f t="shared" ref="Q57:R57" si="27">Q49*1.2</f>
        <v>7850.5326562499995</v>
      </c>
      <c r="R57" s="27">
        <f t="shared" si="27"/>
        <v>396984960</v>
      </c>
      <c r="S57" s="27">
        <f>S49</f>
        <v>10000</v>
      </c>
      <c r="T57" s="27">
        <f t="shared" ref="T57:AC57" si="28">T49</f>
        <v>445</v>
      </c>
      <c r="U57" s="27">
        <f t="shared" si="28"/>
        <v>0.9</v>
      </c>
      <c r="V57" s="27">
        <f t="shared" si="28"/>
        <v>76376.552207155197</v>
      </c>
      <c r="W57" s="27">
        <f t="shared" si="28"/>
        <v>0</v>
      </c>
      <c r="X57" s="27">
        <f t="shared" si="28"/>
        <v>200</v>
      </c>
      <c r="Y57" s="27">
        <f t="shared" si="28"/>
        <v>200</v>
      </c>
      <c r="Z57" s="27">
        <f t="shared" si="28"/>
        <v>20</v>
      </c>
      <c r="AA57" s="27">
        <f t="shared" si="28"/>
        <v>2000</v>
      </c>
      <c r="AB57" s="27">
        <f t="shared" si="28"/>
        <v>0</v>
      </c>
      <c r="AC57" s="27">
        <f t="shared" si="28"/>
        <v>0</v>
      </c>
    </row>
    <row r="58" spans="1:29" ht="14.25" customHeight="1" x14ac:dyDescent="0.15">
      <c r="A58" s="12" t="s">
        <v>235</v>
      </c>
      <c r="B58" s="13" t="s">
        <v>135</v>
      </c>
      <c r="C58" s="7" t="s">
        <v>223</v>
      </c>
      <c r="D58" s="7"/>
      <c r="E58" s="1"/>
      <c r="F58" s="1"/>
      <c r="G58" s="15"/>
      <c r="H58" s="14"/>
      <c r="I58" s="14"/>
      <c r="J58" s="14">
        <v>500</v>
      </c>
      <c r="K58" s="24">
        <v>8.0000000000000002E-3</v>
      </c>
      <c r="L58" s="24">
        <v>0</v>
      </c>
      <c r="M58" s="21" t="s">
        <v>224</v>
      </c>
      <c r="N58" s="1"/>
      <c r="O58" s="26"/>
      <c r="P58" s="27">
        <f>P46*1.5</f>
        <v>635796225</v>
      </c>
      <c r="Q58" s="27">
        <f t="shared" ref="Q58:R58" si="29">Q46*1.5</f>
        <v>20116.98993164055</v>
      </c>
      <c r="R58" s="27">
        <f t="shared" si="29"/>
        <v>1017273960</v>
      </c>
      <c r="S58" s="27">
        <f>S46</f>
        <v>10000</v>
      </c>
      <c r="T58" s="27">
        <f t="shared" ref="T58:AC58" si="30">T46</f>
        <v>420</v>
      </c>
      <c r="U58" s="27">
        <f t="shared" si="30"/>
        <v>0.9</v>
      </c>
      <c r="V58" s="27">
        <f t="shared" si="30"/>
        <v>24285.381119999998</v>
      </c>
      <c r="W58" s="27">
        <f t="shared" si="30"/>
        <v>0</v>
      </c>
      <c r="X58" s="27">
        <f t="shared" si="30"/>
        <v>200</v>
      </c>
      <c r="Y58" s="27">
        <f t="shared" si="30"/>
        <v>150</v>
      </c>
      <c r="Z58" s="27">
        <f t="shared" si="30"/>
        <v>20</v>
      </c>
      <c r="AA58" s="27">
        <f t="shared" si="30"/>
        <v>2500</v>
      </c>
      <c r="AB58" s="27">
        <f t="shared" si="30"/>
        <v>0</v>
      </c>
      <c r="AC58" s="27">
        <f t="shared" si="30"/>
        <v>0</v>
      </c>
    </row>
    <row r="59" spans="1:29" ht="14.25" customHeight="1" x14ac:dyDescent="0.15">
      <c r="A59" s="12" t="s">
        <v>239</v>
      </c>
      <c r="B59" s="13" t="s">
        <v>136</v>
      </c>
      <c r="C59" s="7" t="s">
        <v>225</v>
      </c>
      <c r="D59" s="7"/>
      <c r="E59" s="1"/>
      <c r="F59" s="1"/>
      <c r="G59" s="15"/>
      <c r="H59" s="14"/>
      <c r="I59" s="14"/>
      <c r="J59" s="14">
        <v>500</v>
      </c>
      <c r="K59" s="24">
        <v>8.0000000000000002E-3</v>
      </c>
      <c r="L59" s="24">
        <v>0</v>
      </c>
      <c r="M59" s="21"/>
      <c r="N59" s="28" t="str">
        <f>"{'sylz1', '"&amp;A59&amp;"*1',80,270,10,12,'三眼赤痕*1' }"</f>
        <v>{'sylz1', '三眼老祖*1',80,270,10,12,'三眼赤痕*1' }</v>
      </c>
      <c r="O59" s="26"/>
      <c r="P59" s="27">
        <f>P58*3</f>
        <v>1907388675</v>
      </c>
      <c r="Q59" s="27">
        <f t="shared" ref="Q59" si="31">Q58*5</f>
        <v>100584.94965820275</v>
      </c>
      <c r="R59" s="27">
        <f>R58*4</f>
        <v>4069095840</v>
      </c>
      <c r="S59" s="27">
        <v>10000</v>
      </c>
      <c r="T59" s="27">
        <v>420</v>
      </c>
      <c r="U59" s="27">
        <v>0.9</v>
      </c>
      <c r="V59" s="27">
        <v>24285.381119999998</v>
      </c>
      <c r="W59" s="27">
        <v>0</v>
      </c>
      <c r="X59" s="27">
        <v>200</v>
      </c>
      <c r="Y59" s="27">
        <v>150</v>
      </c>
      <c r="Z59" s="27">
        <v>20</v>
      </c>
      <c r="AA59" s="27">
        <v>2500</v>
      </c>
      <c r="AB59" s="27">
        <v>5</v>
      </c>
      <c r="AC59" s="27">
        <v>2500</v>
      </c>
    </row>
    <row r="60" spans="1:29" ht="14.25" customHeight="1" x14ac:dyDescent="0.15">
      <c r="A60" s="12" t="s">
        <v>240</v>
      </c>
      <c r="B60" s="13" t="s">
        <v>137</v>
      </c>
      <c r="C60" s="7" t="s">
        <v>225</v>
      </c>
      <c r="D60" s="7"/>
      <c r="E60" s="1"/>
      <c r="F60" s="1"/>
      <c r="G60" s="15"/>
      <c r="H60" s="14"/>
      <c r="I60" s="14"/>
      <c r="J60" s="14">
        <v>500</v>
      </c>
      <c r="K60" s="24">
        <v>8.0000000000000002E-3</v>
      </c>
      <c r="L60" s="24">
        <v>0</v>
      </c>
      <c r="M60" s="21"/>
      <c r="N60" s="28" t="str">
        <f>"{'bhhl1', '"&amp;A60&amp;"*1',80,270,10,12,'火龙气息*1' }"</f>
        <v>{'bhhl1', '八荒火龙*1',80,270,10,12,'火龙气息*1' }</v>
      </c>
      <c r="O60" s="26"/>
      <c r="P60" s="27">
        <f>P59*1.1</f>
        <v>2098127542.5000002</v>
      </c>
      <c r="Q60" s="27">
        <f t="shared" ref="Q60:R60" si="32">Q59*1.1</f>
        <v>110643.44462402303</v>
      </c>
      <c r="R60" s="27">
        <f t="shared" si="32"/>
        <v>4476005424</v>
      </c>
      <c r="S60" s="27">
        <v>10000</v>
      </c>
      <c r="T60" s="27">
        <v>420</v>
      </c>
      <c r="U60" s="27">
        <v>0.9</v>
      </c>
      <c r="V60" s="27">
        <v>24285.381119999998</v>
      </c>
      <c r="W60" s="27">
        <v>0</v>
      </c>
      <c r="X60" s="27">
        <v>200</v>
      </c>
      <c r="Y60" s="27">
        <v>150</v>
      </c>
      <c r="Z60" s="27">
        <v>20</v>
      </c>
      <c r="AA60" s="27">
        <v>2500</v>
      </c>
      <c r="AB60" s="27">
        <v>5</v>
      </c>
      <c r="AC60" s="27">
        <v>2500</v>
      </c>
    </row>
    <row r="61" spans="1:29" ht="14.25" customHeight="1" x14ac:dyDescent="0.15">
      <c r="A61" s="12" t="s">
        <v>241</v>
      </c>
      <c r="B61" s="13" t="s">
        <v>138</v>
      </c>
      <c r="C61" s="7" t="s">
        <v>225</v>
      </c>
      <c r="D61" s="7"/>
      <c r="E61" s="1"/>
      <c r="F61" s="1"/>
      <c r="G61" s="15"/>
      <c r="H61" s="14"/>
      <c r="I61" s="14"/>
      <c r="J61" s="14">
        <v>500</v>
      </c>
      <c r="K61" s="24">
        <v>8.0000000000000002E-3</v>
      </c>
      <c r="L61" s="24">
        <v>0</v>
      </c>
      <c r="M61" s="21"/>
      <c r="N61" s="28" t="str">
        <f>"{'yijie1', '"&amp;A61&amp;"*1',80,270,10,12,'地魂融血丹*1' }"</f>
        <v>{'yijie1', '一姐*1',80,270,10,12,'地魂融血丹*1' }</v>
      </c>
      <c r="O61" s="26"/>
      <c r="P61" s="27">
        <f>P59*1.5</f>
        <v>2861083012.5</v>
      </c>
      <c r="Q61" s="27">
        <f t="shared" ref="Q61:R61" si="33">Q59*1.5</f>
        <v>150877.42448730412</v>
      </c>
      <c r="R61" s="27">
        <f t="shared" si="33"/>
        <v>6103643760</v>
      </c>
      <c r="S61" s="27">
        <v>10000</v>
      </c>
      <c r="T61" s="27">
        <v>420</v>
      </c>
      <c r="U61" s="27">
        <v>0.9</v>
      </c>
      <c r="V61" s="27">
        <v>24285.381119999998</v>
      </c>
      <c r="W61" s="27">
        <v>0</v>
      </c>
      <c r="X61" s="27">
        <v>200</v>
      </c>
      <c r="Y61" s="27">
        <v>150</v>
      </c>
      <c r="Z61" s="27">
        <v>20</v>
      </c>
      <c r="AA61" s="27">
        <v>2500</v>
      </c>
      <c r="AB61" s="27">
        <v>5</v>
      </c>
      <c r="AC61" s="27">
        <v>2500</v>
      </c>
    </row>
    <row r="62" spans="1:29" ht="14.25" customHeight="1" x14ac:dyDescent="0.15">
      <c r="A62" s="12" t="s">
        <v>242</v>
      </c>
      <c r="B62" s="13" t="s">
        <v>259</v>
      </c>
      <c r="C62" s="7" t="s">
        <v>225</v>
      </c>
      <c r="D62" s="7"/>
      <c r="E62" s="1"/>
      <c r="F62" s="1"/>
      <c r="G62" s="15"/>
      <c r="H62" s="14"/>
      <c r="I62" s="14"/>
      <c r="J62" s="14">
        <v>500</v>
      </c>
      <c r="K62" s="24">
        <v>8.0000000000000002E-3</v>
      </c>
      <c r="L62" s="24">
        <v>0</v>
      </c>
      <c r="M62" s="21"/>
      <c r="N62" s="28" t="str">
        <f>"{'yandi1', '"&amp;A62&amp;"*1',80,270,10,12,'天魂融血丹*1' }"</f>
        <v>{'yandi1', '炎帝*1',80,270,10,12,'天魂融血丹*1' }</v>
      </c>
      <c r="O62" s="26"/>
      <c r="P62" s="27">
        <f>P61*1.1</f>
        <v>3147191313.7500005</v>
      </c>
      <c r="Q62" s="27">
        <f t="shared" ref="Q62:R62" si="34">Q61*1.1</f>
        <v>165965.16693603454</v>
      </c>
      <c r="R62" s="27">
        <f t="shared" si="34"/>
        <v>6714008136.000001</v>
      </c>
      <c r="S62" s="27">
        <v>10000</v>
      </c>
      <c r="T62" s="27">
        <v>420</v>
      </c>
      <c r="U62" s="27">
        <v>0.9</v>
      </c>
      <c r="V62" s="27">
        <v>24285.381119999998</v>
      </c>
      <c r="W62" s="27">
        <v>0</v>
      </c>
      <c r="X62" s="27">
        <v>200</v>
      </c>
      <c r="Y62" s="27">
        <v>150</v>
      </c>
      <c r="Z62" s="27">
        <v>20</v>
      </c>
      <c r="AA62" s="27">
        <v>2500</v>
      </c>
      <c r="AB62" s="27">
        <v>5</v>
      </c>
      <c r="AC62" s="27">
        <v>2500</v>
      </c>
    </row>
    <row r="63" spans="1:29" ht="15" x14ac:dyDescent="0.15">
      <c r="A63" s="12" t="s">
        <v>301</v>
      </c>
      <c r="B63" s="13" t="s">
        <v>260</v>
      </c>
      <c r="C63" s="16" t="s">
        <v>223</v>
      </c>
      <c r="D63" s="16"/>
      <c r="E63" s="4"/>
      <c r="F63" s="4">
        <v>1</v>
      </c>
      <c r="G63" s="14">
        <v>500</v>
      </c>
      <c r="H63" s="14"/>
      <c r="I63" s="14"/>
      <c r="J63" s="14">
        <v>500</v>
      </c>
      <c r="K63" s="21">
        <v>8.6599999999999993E-3</v>
      </c>
      <c r="L63" s="24">
        <v>0</v>
      </c>
      <c r="M63" s="21"/>
      <c r="N63" s="26"/>
      <c r="O63" s="5"/>
      <c r="P63" s="41">
        <v>25000</v>
      </c>
      <c r="Q63" s="41">
        <v>16.875</v>
      </c>
      <c r="R63" s="41">
        <v>171875</v>
      </c>
      <c r="S63" s="41">
        <v>100</v>
      </c>
      <c r="T63" s="41">
        <v>350</v>
      </c>
      <c r="U63" s="42">
        <v>1</v>
      </c>
      <c r="V63" s="41">
        <f t="shared" ref="V63:V92" si="35">R63*0.0001</f>
        <v>17.1875</v>
      </c>
      <c r="W63" s="41">
        <v>0</v>
      </c>
      <c r="X63" s="1">
        <v>200</v>
      </c>
      <c r="Y63" s="1">
        <v>10</v>
      </c>
      <c r="Z63" s="1">
        <v>20</v>
      </c>
      <c r="AA63" s="1">
        <v>200</v>
      </c>
      <c r="AB63" s="1">
        <v>0</v>
      </c>
      <c r="AC63" s="1">
        <v>0</v>
      </c>
    </row>
    <row r="64" spans="1:29" ht="15" x14ac:dyDescent="0.15">
      <c r="A64" s="12" t="s">
        <v>246</v>
      </c>
      <c r="B64" s="13" t="s">
        <v>261</v>
      </c>
      <c r="C64" s="16" t="s">
        <v>223</v>
      </c>
      <c r="D64" s="16"/>
      <c r="E64" s="1"/>
      <c r="F64" s="1">
        <v>2</v>
      </c>
      <c r="G64" s="14">
        <v>500</v>
      </c>
      <c r="H64" s="14"/>
      <c r="I64" s="14"/>
      <c r="J64" s="14">
        <v>500</v>
      </c>
      <c r="K64" s="21">
        <v>0.33300000000000002</v>
      </c>
      <c r="L64" s="24">
        <v>0</v>
      </c>
      <c r="M64" s="21"/>
      <c r="N64" s="26"/>
      <c r="O64" s="5"/>
      <c r="P64" s="41">
        <v>250000</v>
      </c>
      <c r="Q64" s="41">
        <v>33.75</v>
      </c>
      <c r="R64" s="41">
        <v>1562500</v>
      </c>
      <c r="S64" s="41">
        <v>100</v>
      </c>
      <c r="T64" s="41">
        <v>360</v>
      </c>
      <c r="U64" s="42">
        <v>1</v>
      </c>
      <c r="V64" s="41">
        <f t="shared" si="35"/>
        <v>156.25</v>
      </c>
      <c r="W64" s="41">
        <v>0</v>
      </c>
      <c r="X64" s="1">
        <v>200</v>
      </c>
      <c r="Y64" s="1">
        <v>20</v>
      </c>
      <c r="Z64" s="1">
        <v>20</v>
      </c>
      <c r="AA64" s="1">
        <v>200</v>
      </c>
      <c r="AB64" s="1">
        <v>0</v>
      </c>
      <c r="AC64" s="1">
        <v>0</v>
      </c>
    </row>
    <row r="65" spans="1:29" ht="15" x14ac:dyDescent="0.15">
      <c r="A65" s="12" t="s">
        <v>307</v>
      </c>
      <c r="B65" s="13" t="s">
        <v>262</v>
      </c>
      <c r="C65" s="16" t="s">
        <v>223</v>
      </c>
      <c r="D65" s="16"/>
      <c r="E65" s="1"/>
      <c r="F65" s="4">
        <v>3</v>
      </c>
      <c r="G65" s="14">
        <v>500</v>
      </c>
      <c r="H65" s="14"/>
      <c r="I65" s="14"/>
      <c r="J65" s="14">
        <v>500</v>
      </c>
      <c r="K65" s="21">
        <v>0.5</v>
      </c>
      <c r="L65" s="24">
        <v>0</v>
      </c>
      <c r="M65" s="21"/>
      <c r="N65" s="26"/>
      <c r="O65" s="5"/>
      <c r="P65" s="41">
        <v>500000</v>
      </c>
      <c r="Q65" s="41">
        <v>67.5</v>
      </c>
      <c r="R65" s="41">
        <v>3125000</v>
      </c>
      <c r="S65" s="41">
        <v>100</v>
      </c>
      <c r="T65" s="41">
        <v>370</v>
      </c>
      <c r="U65" s="42">
        <v>1</v>
      </c>
      <c r="V65" s="41">
        <f t="shared" si="35"/>
        <v>312.5</v>
      </c>
      <c r="W65" s="41">
        <v>0</v>
      </c>
      <c r="X65" s="1">
        <v>200</v>
      </c>
      <c r="Y65" s="1">
        <v>30</v>
      </c>
      <c r="Z65" s="1">
        <v>20</v>
      </c>
      <c r="AA65" s="1">
        <v>200</v>
      </c>
      <c r="AB65" s="1">
        <v>0</v>
      </c>
      <c r="AC65" s="1">
        <v>0</v>
      </c>
    </row>
    <row r="66" spans="1:29" ht="15" x14ac:dyDescent="0.15">
      <c r="A66" s="12" t="s">
        <v>308</v>
      </c>
      <c r="B66" s="13" t="s">
        <v>263</v>
      </c>
      <c r="C66" s="16" t="s">
        <v>223</v>
      </c>
      <c r="D66" s="16"/>
      <c r="E66" s="1"/>
      <c r="F66" s="1">
        <v>4</v>
      </c>
      <c r="G66" s="14">
        <v>500</v>
      </c>
      <c r="H66" s="14"/>
      <c r="I66" s="14"/>
      <c r="J66" s="14">
        <v>500</v>
      </c>
      <c r="K66" s="21">
        <v>0.66</v>
      </c>
      <c r="L66" s="24">
        <v>0</v>
      </c>
      <c r="M66" s="21"/>
      <c r="N66" s="26"/>
      <c r="O66" s="5"/>
      <c r="P66" s="41">
        <v>1000000</v>
      </c>
      <c r="Q66" s="41">
        <v>135</v>
      </c>
      <c r="R66" s="41">
        <v>6250000</v>
      </c>
      <c r="S66" s="41">
        <v>1000</v>
      </c>
      <c r="T66" s="41">
        <v>380</v>
      </c>
      <c r="U66" s="42">
        <v>1</v>
      </c>
      <c r="V66" s="41">
        <f t="shared" si="35"/>
        <v>625</v>
      </c>
      <c r="W66" s="41">
        <v>0</v>
      </c>
      <c r="X66" s="1">
        <v>200</v>
      </c>
      <c r="Y66" s="1">
        <v>40</v>
      </c>
      <c r="Z66" s="1">
        <v>20</v>
      </c>
      <c r="AA66" s="1">
        <v>200</v>
      </c>
      <c r="AB66" s="1">
        <v>0</v>
      </c>
      <c r="AC66" s="1">
        <v>0</v>
      </c>
    </row>
    <row r="67" spans="1:29" ht="15" x14ac:dyDescent="0.15">
      <c r="A67" s="12" t="s">
        <v>247</v>
      </c>
      <c r="B67" s="13" t="s">
        <v>264</v>
      </c>
      <c r="C67" s="16" t="s">
        <v>223</v>
      </c>
      <c r="D67" s="16"/>
      <c r="E67" s="1"/>
      <c r="F67" s="4">
        <v>5</v>
      </c>
      <c r="G67" s="14">
        <v>500</v>
      </c>
      <c r="H67" s="14"/>
      <c r="I67" s="14"/>
      <c r="J67" s="14">
        <v>500</v>
      </c>
      <c r="K67" s="21">
        <v>0.83</v>
      </c>
      <c r="L67" s="24">
        <v>0</v>
      </c>
      <c r="M67" s="21"/>
      <c r="N67" s="26"/>
      <c r="O67" s="5"/>
      <c r="P67" s="27">
        <v>5000000</v>
      </c>
      <c r="Q67" s="27">
        <v>270</v>
      </c>
      <c r="R67" s="27">
        <v>10000000</v>
      </c>
      <c r="S67" s="41">
        <v>1000</v>
      </c>
      <c r="T67" s="41">
        <v>390</v>
      </c>
      <c r="U67" s="42">
        <v>1</v>
      </c>
      <c r="V67" s="41">
        <f t="shared" si="35"/>
        <v>1000</v>
      </c>
      <c r="W67" s="41">
        <v>0</v>
      </c>
      <c r="X67" s="1">
        <v>200</v>
      </c>
      <c r="Y67" s="1">
        <v>50</v>
      </c>
      <c r="Z67" s="1">
        <v>20</v>
      </c>
      <c r="AA67" s="1">
        <v>200</v>
      </c>
      <c r="AB67" s="1">
        <v>0</v>
      </c>
      <c r="AC67" s="1">
        <v>0</v>
      </c>
    </row>
    <row r="68" spans="1:29" ht="15" x14ac:dyDescent="0.15">
      <c r="A68" s="12" t="s">
        <v>303</v>
      </c>
      <c r="B68" s="13" t="s">
        <v>265</v>
      </c>
      <c r="C68" s="16" t="s">
        <v>223</v>
      </c>
      <c r="D68" s="16"/>
      <c r="E68" s="1"/>
      <c r="F68" s="1">
        <v>6</v>
      </c>
      <c r="G68" s="14">
        <v>500</v>
      </c>
      <c r="H68" s="14"/>
      <c r="I68" s="14"/>
      <c r="J68" s="14">
        <v>500</v>
      </c>
      <c r="K68" s="21">
        <v>1</v>
      </c>
      <c r="L68" s="24">
        <v>0</v>
      </c>
      <c r="M68" s="21"/>
      <c r="N68" s="26"/>
      <c r="O68" s="5"/>
      <c r="P68" s="41">
        <v>10000000</v>
      </c>
      <c r="Q68" s="41">
        <v>540</v>
      </c>
      <c r="R68" s="41">
        <v>22000000</v>
      </c>
      <c r="S68" s="41">
        <v>10000</v>
      </c>
      <c r="T68" s="41">
        <v>400</v>
      </c>
      <c r="U68" s="42">
        <v>1</v>
      </c>
      <c r="V68" s="41">
        <f t="shared" si="35"/>
        <v>2200</v>
      </c>
      <c r="W68" s="41">
        <v>0</v>
      </c>
      <c r="X68" s="1">
        <v>200</v>
      </c>
      <c r="Y68" s="1">
        <v>60</v>
      </c>
      <c r="Z68" s="1">
        <v>20</v>
      </c>
      <c r="AA68" s="1">
        <v>500</v>
      </c>
      <c r="AB68" s="1">
        <v>0</v>
      </c>
      <c r="AC68" s="1">
        <v>0</v>
      </c>
    </row>
    <row r="69" spans="1:29" ht="15" x14ac:dyDescent="0.15">
      <c r="A69" s="12" t="s">
        <v>248</v>
      </c>
      <c r="B69" s="13" t="s">
        <v>266</v>
      </c>
      <c r="C69" s="16" t="s">
        <v>223</v>
      </c>
      <c r="D69" s="16"/>
      <c r="E69" s="1"/>
      <c r="F69" s="4">
        <v>7</v>
      </c>
      <c r="G69" s="14">
        <v>500</v>
      </c>
      <c r="H69" s="14"/>
      <c r="I69" s="14"/>
      <c r="J69" s="14">
        <v>500</v>
      </c>
      <c r="K69" s="21">
        <v>1.1599999999999999</v>
      </c>
      <c r="L69" s="24">
        <v>0</v>
      </c>
      <c r="M69" s="21"/>
      <c r="N69" s="26"/>
      <c r="O69" s="5"/>
      <c r="P69" s="41">
        <v>15000000</v>
      </c>
      <c r="Q69" s="41">
        <v>810</v>
      </c>
      <c r="R69" s="41">
        <v>33000000</v>
      </c>
      <c r="S69" s="41">
        <v>10000</v>
      </c>
      <c r="T69" s="41">
        <v>410</v>
      </c>
      <c r="U69" s="42">
        <v>1</v>
      </c>
      <c r="V69" s="41">
        <f t="shared" si="35"/>
        <v>3300</v>
      </c>
      <c r="W69" s="41">
        <v>0</v>
      </c>
      <c r="X69" s="1">
        <v>200</v>
      </c>
      <c r="Y69" s="1">
        <v>70</v>
      </c>
      <c r="Z69" s="1">
        <v>20</v>
      </c>
      <c r="AA69" s="1">
        <v>500</v>
      </c>
      <c r="AB69" s="1">
        <v>0</v>
      </c>
      <c r="AC69" s="1">
        <v>0</v>
      </c>
    </row>
    <row r="70" spans="1:29" ht="15" x14ac:dyDescent="0.15">
      <c r="A70" s="12" t="s">
        <v>249</v>
      </c>
      <c r="B70" s="13" t="s">
        <v>267</v>
      </c>
      <c r="C70" s="16" t="s">
        <v>223</v>
      </c>
      <c r="D70" s="16"/>
      <c r="E70" s="1"/>
      <c r="F70" s="1">
        <v>8</v>
      </c>
      <c r="G70" s="14">
        <v>500</v>
      </c>
      <c r="H70" s="14"/>
      <c r="I70" s="14"/>
      <c r="J70" s="14">
        <v>500</v>
      </c>
      <c r="K70" s="21">
        <v>1.33</v>
      </c>
      <c r="L70" s="24">
        <v>0</v>
      </c>
      <c r="M70" s="21"/>
      <c r="N70" s="26"/>
      <c r="O70" s="5"/>
      <c r="P70" s="41">
        <v>22500000</v>
      </c>
      <c r="Q70" s="41">
        <v>1215</v>
      </c>
      <c r="R70" s="41">
        <v>49500000</v>
      </c>
      <c r="S70" s="41">
        <v>10000</v>
      </c>
      <c r="T70" s="41">
        <v>420</v>
      </c>
      <c r="U70" s="42">
        <v>1</v>
      </c>
      <c r="V70" s="41">
        <f t="shared" si="35"/>
        <v>4950</v>
      </c>
      <c r="W70" s="41">
        <v>0</v>
      </c>
      <c r="X70" s="1">
        <v>200</v>
      </c>
      <c r="Y70" s="1">
        <v>80</v>
      </c>
      <c r="Z70" s="1">
        <v>20</v>
      </c>
      <c r="AA70" s="1">
        <v>500</v>
      </c>
      <c r="AB70" s="1">
        <v>0</v>
      </c>
      <c r="AC70" s="1">
        <v>0</v>
      </c>
    </row>
    <row r="71" spans="1:29" ht="15" x14ac:dyDescent="0.15">
      <c r="A71" s="12" t="s">
        <v>250</v>
      </c>
      <c r="B71" s="13" t="s">
        <v>268</v>
      </c>
      <c r="C71" s="16" t="s">
        <v>223</v>
      </c>
      <c r="D71" s="16"/>
      <c r="E71" s="1"/>
      <c r="F71" s="4">
        <v>9</v>
      </c>
      <c r="G71" s="14">
        <v>500</v>
      </c>
      <c r="H71" s="14"/>
      <c r="I71" s="14"/>
      <c r="J71" s="14">
        <v>500</v>
      </c>
      <c r="K71" s="21">
        <v>1.5</v>
      </c>
      <c r="L71" s="24">
        <v>0</v>
      </c>
      <c r="M71" s="21"/>
      <c r="N71" s="26"/>
      <c r="O71" s="5"/>
      <c r="P71" s="41">
        <v>33750000</v>
      </c>
      <c r="Q71" s="41">
        <v>1822.5</v>
      </c>
      <c r="R71" s="41">
        <v>74250000</v>
      </c>
      <c r="S71" s="41">
        <v>10000</v>
      </c>
      <c r="T71" s="41">
        <v>430</v>
      </c>
      <c r="U71" s="42">
        <v>1</v>
      </c>
      <c r="V71" s="41">
        <f t="shared" si="35"/>
        <v>7425</v>
      </c>
      <c r="W71" s="41">
        <v>0</v>
      </c>
      <c r="X71" s="1">
        <v>200</v>
      </c>
      <c r="Y71" s="1">
        <v>90</v>
      </c>
      <c r="Z71" s="1">
        <v>20</v>
      </c>
      <c r="AA71" s="1">
        <v>500</v>
      </c>
      <c r="AB71" s="1">
        <v>0</v>
      </c>
      <c r="AC71" s="1">
        <v>0</v>
      </c>
    </row>
    <row r="72" spans="1:29" ht="15" x14ac:dyDescent="0.15">
      <c r="A72" s="12" t="s">
        <v>311</v>
      </c>
      <c r="B72" s="13" t="s">
        <v>269</v>
      </c>
      <c r="C72" s="16" t="s">
        <v>223</v>
      </c>
      <c r="D72" s="16"/>
      <c r="E72" s="1"/>
      <c r="F72" s="1">
        <v>10</v>
      </c>
      <c r="G72" s="14">
        <v>500</v>
      </c>
      <c r="H72" s="14"/>
      <c r="I72" s="14"/>
      <c r="J72" s="14">
        <v>500</v>
      </c>
      <c r="K72" s="21">
        <v>1.66</v>
      </c>
      <c r="L72" s="24">
        <v>0</v>
      </c>
      <c r="M72" s="21"/>
      <c r="N72" s="26"/>
      <c r="O72" s="5"/>
      <c r="P72" s="41">
        <v>47250000</v>
      </c>
      <c r="Q72" s="41">
        <v>2551.5</v>
      </c>
      <c r="R72" s="41">
        <v>103950000</v>
      </c>
      <c r="S72" s="41">
        <v>10000</v>
      </c>
      <c r="T72" s="41">
        <v>440</v>
      </c>
      <c r="U72" s="42">
        <v>0.9</v>
      </c>
      <c r="V72" s="41">
        <f t="shared" si="35"/>
        <v>10395</v>
      </c>
      <c r="W72" s="41">
        <v>0</v>
      </c>
      <c r="X72" s="1">
        <v>200</v>
      </c>
      <c r="Y72" s="1">
        <v>100</v>
      </c>
      <c r="Z72" s="1">
        <v>20</v>
      </c>
      <c r="AA72" s="1">
        <v>500</v>
      </c>
      <c r="AB72" s="1">
        <v>0</v>
      </c>
      <c r="AC72" s="1">
        <v>0</v>
      </c>
    </row>
    <row r="73" spans="1:29" ht="15" x14ac:dyDescent="0.15">
      <c r="A73" s="12" t="s">
        <v>305</v>
      </c>
      <c r="B73" s="13" t="s">
        <v>270</v>
      </c>
      <c r="C73" s="16" t="s">
        <v>223</v>
      </c>
      <c r="D73" s="16"/>
      <c r="E73" s="1"/>
      <c r="F73" s="4">
        <v>11</v>
      </c>
      <c r="G73" s="14">
        <v>500</v>
      </c>
      <c r="H73" s="14"/>
      <c r="I73" s="14"/>
      <c r="J73" s="14">
        <v>500</v>
      </c>
      <c r="K73" s="21">
        <v>1.66</v>
      </c>
      <c r="L73" s="24">
        <v>0</v>
      </c>
      <c r="M73" s="21"/>
      <c r="N73" s="26"/>
      <c r="O73" s="5"/>
      <c r="P73" s="41">
        <v>61425000</v>
      </c>
      <c r="Q73" s="41">
        <v>3316.9500000000003</v>
      </c>
      <c r="R73" s="41">
        <v>135135000</v>
      </c>
      <c r="S73" s="41">
        <v>10000</v>
      </c>
      <c r="T73" s="41">
        <v>450</v>
      </c>
      <c r="U73" s="42">
        <v>0.9</v>
      </c>
      <c r="V73" s="41">
        <f t="shared" si="35"/>
        <v>13513.5</v>
      </c>
      <c r="W73" s="41">
        <v>0</v>
      </c>
      <c r="X73" s="1">
        <v>200</v>
      </c>
      <c r="Y73" s="1">
        <v>150</v>
      </c>
      <c r="Z73" s="1">
        <v>20</v>
      </c>
      <c r="AA73" s="1">
        <v>1500</v>
      </c>
      <c r="AB73" s="1">
        <v>5</v>
      </c>
      <c r="AC73" s="1">
        <v>50</v>
      </c>
    </row>
    <row r="74" spans="1:29" ht="15" x14ac:dyDescent="0.15">
      <c r="A74" s="12" t="s">
        <v>251</v>
      </c>
      <c r="B74" s="13" t="s">
        <v>271</v>
      </c>
      <c r="C74" s="16" t="s">
        <v>223</v>
      </c>
      <c r="D74" s="16"/>
      <c r="E74" s="1"/>
      <c r="F74" s="1">
        <v>12</v>
      </c>
      <c r="G74" s="14">
        <v>500</v>
      </c>
      <c r="H74" s="14"/>
      <c r="I74" s="14"/>
      <c r="J74" s="14">
        <v>500</v>
      </c>
      <c r="K74" s="21">
        <v>1.66</v>
      </c>
      <c r="L74" s="24">
        <v>0</v>
      </c>
      <c r="M74" s="21"/>
      <c r="N74" s="26"/>
      <c r="O74" s="5"/>
      <c r="P74" s="41">
        <v>79852500</v>
      </c>
      <c r="Q74" s="41">
        <v>4312.0349999999999</v>
      </c>
      <c r="R74" s="41">
        <v>175675500</v>
      </c>
      <c r="S74" s="41">
        <v>10000</v>
      </c>
      <c r="T74" s="41">
        <v>460</v>
      </c>
      <c r="U74" s="42">
        <v>0.9</v>
      </c>
      <c r="V74" s="41">
        <f t="shared" si="35"/>
        <v>17567.55</v>
      </c>
      <c r="W74" s="41">
        <v>0</v>
      </c>
      <c r="X74" s="1">
        <v>200</v>
      </c>
      <c r="Y74" s="1">
        <v>150</v>
      </c>
      <c r="Z74" s="1">
        <v>20</v>
      </c>
      <c r="AA74" s="1">
        <v>1500</v>
      </c>
      <c r="AB74" s="1">
        <v>5</v>
      </c>
      <c r="AC74" s="1">
        <v>50</v>
      </c>
    </row>
    <row r="75" spans="1:29" ht="15" x14ac:dyDescent="0.15">
      <c r="A75" s="12" t="s">
        <v>252</v>
      </c>
      <c r="B75" s="13" t="s">
        <v>272</v>
      </c>
      <c r="C75" s="16" t="s">
        <v>223</v>
      </c>
      <c r="D75" s="16"/>
      <c r="E75" s="1"/>
      <c r="F75" s="4">
        <v>13</v>
      </c>
      <c r="G75" s="14">
        <v>500</v>
      </c>
      <c r="H75" s="14"/>
      <c r="I75" s="14"/>
      <c r="J75" s="14">
        <v>500</v>
      </c>
      <c r="K75" s="21">
        <v>1.66</v>
      </c>
      <c r="L75" s="24">
        <v>0</v>
      </c>
      <c r="M75" s="21"/>
      <c r="N75" s="26"/>
      <c r="O75" s="5"/>
      <c r="P75" s="41">
        <v>95823000</v>
      </c>
      <c r="Q75" s="41">
        <v>5174.4419999999991</v>
      </c>
      <c r="R75" s="41">
        <v>210810600</v>
      </c>
      <c r="S75" s="41">
        <v>10000</v>
      </c>
      <c r="T75" s="41">
        <v>470</v>
      </c>
      <c r="U75" s="42">
        <v>0.9</v>
      </c>
      <c r="V75" s="41">
        <f t="shared" si="35"/>
        <v>21081.06</v>
      </c>
      <c r="W75" s="41">
        <v>0</v>
      </c>
      <c r="X75" s="1">
        <v>200</v>
      </c>
      <c r="Y75" s="1">
        <v>150</v>
      </c>
      <c r="Z75" s="1">
        <v>20</v>
      </c>
      <c r="AA75" s="1">
        <v>1500</v>
      </c>
      <c r="AB75" s="1">
        <v>5</v>
      </c>
      <c r="AC75" s="1">
        <v>50</v>
      </c>
    </row>
    <row r="76" spans="1:29" ht="14.25" customHeight="1" x14ac:dyDescent="0.15">
      <c r="A76" s="12" t="s">
        <v>253</v>
      </c>
      <c r="B76" s="13" t="s">
        <v>273</v>
      </c>
      <c r="C76" s="16" t="s">
        <v>223</v>
      </c>
      <c r="D76" s="16"/>
      <c r="E76" s="1"/>
      <c r="F76" s="1">
        <v>14</v>
      </c>
      <c r="G76" s="14">
        <v>500</v>
      </c>
      <c r="H76" s="14"/>
      <c r="I76" s="14"/>
      <c r="J76" s="14">
        <v>500</v>
      </c>
      <c r="K76" s="21">
        <v>1.66</v>
      </c>
      <c r="L76" s="24">
        <v>0</v>
      </c>
      <c r="M76" s="21"/>
      <c r="N76" s="26"/>
      <c r="O76" s="5"/>
      <c r="P76" s="41">
        <v>114987600</v>
      </c>
      <c r="Q76" s="41">
        <v>6209.3303999999989</v>
      </c>
      <c r="R76" s="41">
        <v>252972720</v>
      </c>
      <c r="S76" s="41">
        <v>10000</v>
      </c>
      <c r="T76" s="41">
        <v>480</v>
      </c>
      <c r="U76" s="42">
        <v>0.9</v>
      </c>
      <c r="V76" s="41">
        <f t="shared" si="35"/>
        <v>25297.272000000001</v>
      </c>
      <c r="W76" s="41">
        <v>0</v>
      </c>
      <c r="X76" s="1">
        <v>200</v>
      </c>
      <c r="Y76" s="1">
        <v>150</v>
      </c>
      <c r="Z76" s="1">
        <v>20</v>
      </c>
      <c r="AA76" s="1">
        <v>1500</v>
      </c>
      <c r="AB76" s="1">
        <v>5</v>
      </c>
      <c r="AC76" s="1">
        <v>50</v>
      </c>
    </row>
    <row r="77" spans="1:29" ht="15" x14ac:dyDescent="0.15">
      <c r="A77" s="12" t="s">
        <v>312</v>
      </c>
      <c r="B77" s="13" t="s">
        <v>274</v>
      </c>
      <c r="C77" s="16" t="s">
        <v>223</v>
      </c>
      <c r="D77" s="16"/>
      <c r="E77" s="1"/>
      <c r="F77" s="4">
        <v>15</v>
      </c>
      <c r="G77" s="14">
        <v>500</v>
      </c>
      <c r="H77" s="14"/>
      <c r="I77" s="14"/>
      <c r="J77" s="14">
        <v>500</v>
      </c>
      <c r="K77" s="21">
        <v>1.66</v>
      </c>
      <c r="L77" s="24">
        <v>0</v>
      </c>
      <c r="M77" s="21"/>
      <c r="N77" s="26"/>
      <c r="O77" s="5"/>
      <c r="P77" s="41">
        <v>137985120</v>
      </c>
      <c r="Q77" s="41">
        <v>7451.1964799999987</v>
      </c>
      <c r="R77" s="41">
        <v>303567264</v>
      </c>
      <c r="S77" s="41">
        <v>10000</v>
      </c>
      <c r="T77" s="41">
        <v>490</v>
      </c>
      <c r="U77" s="42">
        <v>0.9</v>
      </c>
      <c r="V77" s="41">
        <f t="shared" si="35"/>
        <v>30356.726400000003</v>
      </c>
      <c r="W77" s="41">
        <v>0</v>
      </c>
      <c r="X77" s="1">
        <v>200</v>
      </c>
      <c r="Y77" s="1">
        <v>150</v>
      </c>
      <c r="Z77" s="1">
        <v>20</v>
      </c>
      <c r="AA77" s="1">
        <v>1500</v>
      </c>
      <c r="AB77" s="1">
        <v>5</v>
      </c>
      <c r="AC77" s="1">
        <v>50</v>
      </c>
    </row>
    <row r="78" spans="1:29" ht="15" x14ac:dyDescent="0.15">
      <c r="A78" s="12" t="s">
        <v>254</v>
      </c>
      <c r="B78" s="13" t="s">
        <v>275</v>
      </c>
      <c r="C78" s="16" t="s">
        <v>223</v>
      </c>
      <c r="D78" s="16"/>
      <c r="E78" s="1"/>
      <c r="F78" s="1">
        <v>16</v>
      </c>
      <c r="G78" s="14">
        <v>500</v>
      </c>
      <c r="H78" s="14"/>
      <c r="I78" s="14"/>
      <c r="J78" s="14">
        <v>500</v>
      </c>
      <c r="K78" s="21">
        <v>1.66</v>
      </c>
      <c r="L78" s="24">
        <v>0</v>
      </c>
      <c r="M78" s="21"/>
      <c r="N78" s="26"/>
      <c r="O78" s="5"/>
      <c r="P78" s="41">
        <v>193179167.99999997</v>
      </c>
      <c r="Q78" s="41">
        <v>10431.675071999998</v>
      </c>
      <c r="R78" s="41">
        <v>424994169.5999999</v>
      </c>
      <c r="S78" s="41">
        <v>10000</v>
      </c>
      <c r="T78" s="41">
        <v>500</v>
      </c>
      <c r="U78" s="42">
        <v>0.9</v>
      </c>
      <c r="V78" s="41">
        <f t="shared" si="35"/>
        <v>42499.416959999995</v>
      </c>
      <c r="W78" s="41">
        <v>0</v>
      </c>
      <c r="X78" s="1">
        <v>200</v>
      </c>
      <c r="Y78" s="1">
        <v>200</v>
      </c>
      <c r="Z78" s="1">
        <v>20</v>
      </c>
      <c r="AA78" s="1">
        <v>3500</v>
      </c>
      <c r="AB78" s="1">
        <v>10</v>
      </c>
      <c r="AC78" s="1">
        <v>100</v>
      </c>
    </row>
    <row r="79" spans="1:29" ht="15" x14ac:dyDescent="0.15">
      <c r="A79" s="12" t="s">
        <v>255</v>
      </c>
      <c r="B79" s="13" t="s">
        <v>276</v>
      </c>
      <c r="C79" s="16" t="s">
        <v>223</v>
      </c>
      <c r="D79" s="16"/>
      <c r="E79" s="1"/>
      <c r="F79" s="4">
        <v>17</v>
      </c>
      <c r="G79" s="14">
        <v>500</v>
      </c>
      <c r="H79" s="14"/>
      <c r="I79" s="14"/>
      <c r="J79" s="14">
        <v>500</v>
      </c>
      <c r="K79" s="21">
        <v>1.66</v>
      </c>
      <c r="L79" s="24">
        <v>0</v>
      </c>
      <c r="M79" s="21"/>
      <c r="N79" s="26"/>
      <c r="O79" s="5"/>
      <c r="P79" s="41">
        <v>251132918.39999998</v>
      </c>
      <c r="Q79" s="41">
        <v>13561.177593599998</v>
      </c>
      <c r="R79" s="41">
        <v>552492420.4799999</v>
      </c>
      <c r="S79" s="41">
        <v>10000</v>
      </c>
      <c r="T79" s="41">
        <v>510</v>
      </c>
      <c r="U79" s="42">
        <v>0.9</v>
      </c>
      <c r="V79" s="41">
        <f t="shared" si="35"/>
        <v>55249.242047999993</v>
      </c>
      <c r="W79" s="41">
        <v>0</v>
      </c>
      <c r="X79" s="1">
        <v>200</v>
      </c>
      <c r="Y79" s="1">
        <v>200</v>
      </c>
      <c r="Z79" s="1">
        <v>20</v>
      </c>
      <c r="AA79" s="1">
        <v>3500</v>
      </c>
      <c r="AB79" s="1">
        <v>10</v>
      </c>
      <c r="AC79" s="1">
        <v>100</v>
      </c>
    </row>
    <row r="80" spans="1:29" ht="15" x14ac:dyDescent="0.15">
      <c r="A80" s="12" t="s">
        <v>314</v>
      </c>
      <c r="B80" s="13" t="s">
        <v>277</v>
      </c>
      <c r="C80" s="16" t="s">
        <v>223</v>
      </c>
      <c r="D80" s="16"/>
      <c r="E80" s="1"/>
      <c r="F80" s="1">
        <v>18</v>
      </c>
      <c r="G80" s="14">
        <v>500</v>
      </c>
      <c r="H80" s="14"/>
      <c r="I80" s="14"/>
      <c r="J80" s="14">
        <v>500</v>
      </c>
      <c r="K80" s="21">
        <v>1.66</v>
      </c>
      <c r="L80" s="24">
        <v>0</v>
      </c>
      <c r="M80" s="21"/>
      <c r="N80" s="26"/>
      <c r="O80" s="5"/>
      <c r="P80" s="41">
        <v>301359502.07999992</v>
      </c>
      <c r="Q80" s="41">
        <v>16273.413112319999</v>
      </c>
      <c r="R80" s="41">
        <v>662990904.57599986</v>
      </c>
      <c r="S80" s="41">
        <v>10000</v>
      </c>
      <c r="T80" s="41">
        <v>520</v>
      </c>
      <c r="U80" s="42">
        <v>0.9</v>
      </c>
      <c r="V80" s="41">
        <f t="shared" si="35"/>
        <v>66299.090457599988</v>
      </c>
      <c r="W80" s="41">
        <v>0</v>
      </c>
      <c r="X80" s="1">
        <v>200</v>
      </c>
      <c r="Y80" s="1">
        <v>200</v>
      </c>
      <c r="Z80" s="1">
        <v>20</v>
      </c>
      <c r="AA80" s="1">
        <v>3500</v>
      </c>
      <c r="AB80" s="1">
        <v>10</v>
      </c>
      <c r="AC80" s="1">
        <v>100</v>
      </c>
    </row>
    <row r="81" spans="1:29" ht="15" x14ac:dyDescent="0.15">
      <c r="A81" s="12" t="s">
        <v>256</v>
      </c>
      <c r="B81" s="13" t="s">
        <v>278</v>
      </c>
      <c r="C81" s="16" t="s">
        <v>223</v>
      </c>
      <c r="D81" s="16"/>
      <c r="E81" s="1"/>
      <c r="F81" s="4">
        <v>19</v>
      </c>
      <c r="G81" s="14">
        <v>500</v>
      </c>
      <c r="H81" s="14"/>
      <c r="I81" s="14"/>
      <c r="J81" s="14">
        <v>500</v>
      </c>
      <c r="K81" s="21">
        <v>1.66</v>
      </c>
      <c r="L81" s="24">
        <v>0</v>
      </c>
      <c r="M81" s="21"/>
      <c r="N81" s="26"/>
      <c r="O81" s="5"/>
      <c r="P81" s="41">
        <v>361631402.49599993</v>
      </c>
      <c r="Q81" s="41">
        <v>19528.095734783998</v>
      </c>
      <c r="R81" s="41">
        <v>795589085.49119973</v>
      </c>
      <c r="S81" s="41">
        <v>10000</v>
      </c>
      <c r="T81" s="41">
        <v>530</v>
      </c>
      <c r="U81" s="42">
        <v>0.9</v>
      </c>
      <c r="V81" s="41">
        <f t="shared" si="35"/>
        <v>79558.90854911998</v>
      </c>
      <c r="W81" s="41">
        <v>0</v>
      </c>
      <c r="X81" s="1">
        <v>200</v>
      </c>
      <c r="Y81" s="1">
        <v>200</v>
      </c>
      <c r="Z81" s="1">
        <v>20</v>
      </c>
      <c r="AA81" s="1">
        <v>3500</v>
      </c>
      <c r="AB81" s="1">
        <v>10</v>
      </c>
      <c r="AC81" s="1">
        <v>100</v>
      </c>
    </row>
    <row r="82" spans="1:29" ht="15" x14ac:dyDescent="0.15">
      <c r="A82" s="12" t="s">
        <v>317</v>
      </c>
      <c r="B82" s="13" t="s">
        <v>279</v>
      </c>
      <c r="C82" s="16" t="s">
        <v>223</v>
      </c>
      <c r="D82" s="16"/>
      <c r="E82" s="1"/>
      <c r="F82" s="1">
        <v>20</v>
      </c>
      <c r="G82" s="14">
        <v>500</v>
      </c>
      <c r="H82" s="14"/>
      <c r="I82" s="14"/>
      <c r="J82" s="14">
        <v>500</v>
      </c>
      <c r="K82" s="21">
        <v>1.66</v>
      </c>
      <c r="L82" s="24">
        <v>0</v>
      </c>
      <c r="M82" s="21"/>
      <c r="N82" s="26"/>
      <c r="O82" s="5"/>
      <c r="P82" s="41">
        <v>433957682.99519992</v>
      </c>
      <c r="Q82" s="41">
        <v>23433.714881740794</v>
      </c>
      <c r="R82" s="41">
        <v>954706902.58943975</v>
      </c>
      <c r="S82" s="41">
        <v>10000</v>
      </c>
      <c r="T82" s="41">
        <v>540</v>
      </c>
      <c r="U82" s="42">
        <v>0.9</v>
      </c>
      <c r="V82" s="41">
        <f t="shared" si="35"/>
        <v>95470.690258943985</v>
      </c>
      <c r="W82" s="41">
        <v>0</v>
      </c>
      <c r="X82" s="1">
        <v>200</v>
      </c>
      <c r="Y82" s="1">
        <v>200</v>
      </c>
      <c r="Z82" s="1">
        <v>20</v>
      </c>
      <c r="AA82" s="1">
        <v>3500</v>
      </c>
      <c r="AB82" s="1">
        <v>10</v>
      </c>
      <c r="AC82" s="1">
        <v>100</v>
      </c>
    </row>
    <row r="83" spans="1:29" ht="15" x14ac:dyDescent="0.15">
      <c r="A83" s="12" t="s">
        <v>257</v>
      </c>
      <c r="B83" s="13" t="s">
        <v>280</v>
      </c>
      <c r="C83" s="16" t="s">
        <v>223</v>
      </c>
      <c r="D83" s="16"/>
      <c r="E83" s="1"/>
      <c r="F83" s="4">
        <v>21</v>
      </c>
      <c r="G83" s="14">
        <v>500</v>
      </c>
      <c r="H83" s="14"/>
      <c r="I83" s="14"/>
      <c r="J83" s="14">
        <v>500</v>
      </c>
      <c r="K83" s="21">
        <v>1.66</v>
      </c>
      <c r="L83" s="24">
        <v>0</v>
      </c>
      <c r="M83" s="21"/>
      <c r="N83" s="26"/>
      <c r="O83" s="5"/>
      <c r="P83" s="41">
        <v>607540756.19327986</v>
      </c>
      <c r="Q83" s="41">
        <v>32807.200834437113</v>
      </c>
      <c r="R83" s="41">
        <v>1336589663.6252155</v>
      </c>
      <c r="S83" s="41">
        <v>10000</v>
      </c>
      <c r="T83" s="41">
        <v>550</v>
      </c>
      <c r="U83" s="42">
        <v>0.75</v>
      </c>
      <c r="V83" s="41">
        <f t="shared" si="35"/>
        <v>133658.96636252155</v>
      </c>
      <c r="W83" s="41">
        <v>0</v>
      </c>
      <c r="X83" s="1">
        <v>200</v>
      </c>
      <c r="Y83" s="1">
        <v>300</v>
      </c>
      <c r="Z83" s="1">
        <v>20</v>
      </c>
      <c r="AA83" s="1">
        <v>7500</v>
      </c>
      <c r="AB83" s="1">
        <v>20</v>
      </c>
      <c r="AC83" s="1">
        <v>200</v>
      </c>
    </row>
    <row r="84" spans="1:29" ht="15" x14ac:dyDescent="0.15">
      <c r="A84" s="12" t="s">
        <v>318</v>
      </c>
      <c r="B84" s="13" t="s">
        <v>281</v>
      </c>
      <c r="C84" s="16" t="s">
        <v>223</v>
      </c>
      <c r="D84" s="16"/>
      <c r="E84" s="1"/>
      <c r="F84" s="1">
        <v>22</v>
      </c>
      <c r="G84" s="14">
        <v>500</v>
      </c>
      <c r="H84" s="14"/>
      <c r="I84" s="14"/>
      <c r="J84" s="14">
        <v>500</v>
      </c>
      <c r="K84" s="21">
        <v>1.66</v>
      </c>
      <c r="L84" s="24">
        <v>0</v>
      </c>
      <c r="M84" s="21"/>
      <c r="N84" s="26"/>
      <c r="O84" s="5"/>
      <c r="P84" s="41">
        <v>789802983.05126381</v>
      </c>
      <c r="Q84" s="41">
        <v>42649.36108476825</v>
      </c>
      <c r="R84" s="41">
        <v>1737566562.7127802</v>
      </c>
      <c r="S84" s="41">
        <v>10000</v>
      </c>
      <c r="T84" s="41">
        <v>560</v>
      </c>
      <c r="U84" s="42">
        <v>0.75</v>
      </c>
      <c r="V84" s="41">
        <f t="shared" si="35"/>
        <v>173756.65627127804</v>
      </c>
      <c r="W84" s="41">
        <v>0</v>
      </c>
      <c r="X84" s="1">
        <v>200</v>
      </c>
      <c r="Y84" s="1">
        <v>300</v>
      </c>
      <c r="Z84" s="1">
        <v>20</v>
      </c>
      <c r="AA84" s="1">
        <v>7500</v>
      </c>
      <c r="AB84" s="1">
        <v>20</v>
      </c>
      <c r="AC84" s="1">
        <v>200</v>
      </c>
    </row>
    <row r="85" spans="1:29" ht="15" x14ac:dyDescent="0.15">
      <c r="A85" s="12" t="s">
        <v>258</v>
      </c>
      <c r="B85" s="13" t="s">
        <v>282</v>
      </c>
      <c r="C85" s="16" t="s">
        <v>223</v>
      </c>
      <c r="D85" s="16"/>
      <c r="E85" s="1"/>
      <c r="F85" s="4">
        <v>23</v>
      </c>
      <c r="G85" s="14">
        <v>500</v>
      </c>
      <c r="H85" s="14"/>
      <c r="I85" s="14"/>
      <c r="J85" s="14">
        <v>500</v>
      </c>
      <c r="K85" s="21">
        <v>1.66</v>
      </c>
      <c r="L85" s="24">
        <v>0</v>
      </c>
      <c r="M85" s="21"/>
      <c r="N85" s="26"/>
      <c r="O85" s="5"/>
      <c r="P85" s="41">
        <v>1026743877.966643</v>
      </c>
      <c r="Q85" s="41">
        <v>55444.169410198723</v>
      </c>
      <c r="R85" s="41">
        <v>2258836531.5266142</v>
      </c>
      <c r="S85" s="41">
        <v>10000</v>
      </c>
      <c r="T85" s="41">
        <v>570</v>
      </c>
      <c r="U85" s="42">
        <v>0.75</v>
      </c>
      <c r="V85" s="41">
        <f t="shared" si="35"/>
        <v>225883.65315266143</v>
      </c>
      <c r="W85" s="41">
        <v>0</v>
      </c>
      <c r="X85" s="1">
        <v>200</v>
      </c>
      <c r="Y85" s="1">
        <v>300</v>
      </c>
      <c r="Z85" s="1">
        <v>20</v>
      </c>
      <c r="AA85" s="1">
        <v>7500</v>
      </c>
      <c r="AB85" s="1">
        <v>20</v>
      </c>
      <c r="AC85" s="1">
        <v>200</v>
      </c>
    </row>
    <row r="86" spans="1:29" ht="15" x14ac:dyDescent="0.15">
      <c r="A86" s="12" t="s">
        <v>321</v>
      </c>
      <c r="B86" s="13" t="s">
        <v>283</v>
      </c>
      <c r="C86" s="16" t="s">
        <v>223</v>
      </c>
      <c r="D86" s="16"/>
      <c r="E86" s="1"/>
      <c r="F86" s="1">
        <v>24</v>
      </c>
      <c r="G86" s="14">
        <v>500</v>
      </c>
      <c r="H86" s="14"/>
      <c r="I86" s="14"/>
      <c r="J86" s="14">
        <v>500</v>
      </c>
      <c r="K86" s="21">
        <v>1.66</v>
      </c>
      <c r="L86" s="24">
        <v>0</v>
      </c>
      <c r="M86" s="21"/>
      <c r="N86" s="26"/>
      <c r="O86" s="5"/>
      <c r="P86" s="41">
        <v>1334767041.356636</v>
      </c>
      <c r="Q86" s="41">
        <v>72077.420233258337</v>
      </c>
      <c r="R86" s="41">
        <v>2936487490.9845991</v>
      </c>
      <c r="S86" s="41">
        <v>10000</v>
      </c>
      <c r="T86" s="41">
        <v>580</v>
      </c>
      <c r="U86" s="42">
        <v>0.75</v>
      </c>
      <c r="V86" s="41">
        <f t="shared" si="35"/>
        <v>293648.7490984599</v>
      </c>
      <c r="W86" s="41">
        <v>0</v>
      </c>
      <c r="X86" s="1">
        <v>200</v>
      </c>
      <c r="Y86" s="1">
        <v>300</v>
      </c>
      <c r="Z86" s="1">
        <v>20</v>
      </c>
      <c r="AA86" s="1">
        <v>7500</v>
      </c>
      <c r="AB86" s="1">
        <v>20</v>
      </c>
      <c r="AC86" s="1">
        <v>200</v>
      </c>
    </row>
    <row r="87" spans="1:29" ht="15" x14ac:dyDescent="0.15">
      <c r="A87" s="12" t="s">
        <v>322</v>
      </c>
      <c r="B87" s="13" t="s">
        <v>284</v>
      </c>
      <c r="C87" s="16" t="s">
        <v>223</v>
      </c>
      <c r="D87" s="16"/>
      <c r="E87" s="1"/>
      <c r="F87" s="4">
        <v>25</v>
      </c>
      <c r="G87" s="14">
        <v>500</v>
      </c>
      <c r="H87" s="14"/>
      <c r="I87" s="14"/>
      <c r="J87" s="14">
        <v>500</v>
      </c>
      <c r="K87" s="21">
        <v>1.66</v>
      </c>
      <c r="L87" s="24">
        <v>0</v>
      </c>
      <c r="M87" s="21"/>
      <c r="N87" s="26"/>
      <c r="O87" s="5"/>
      <c r="P87" s="41">
        <v>1601720449.6279631</v>
      </c>
      <c r="Q87" s="41">
        <v>86492.904279910013</v>
      </c>
      <c r="R87" s="41">
        <v>3523784989.1815186</v>
      </c>
      <c r="S87" s="41">
        <v>10000</v>
      </c>
      <c r="T87" s="41">
        <v>590</v>
      </c>
      <c r="U87" s="42">
        <v>0.75</v>
      </c>
      <c r="V87" s="41">
        <f t="shared" si="35"/>
        <v>352378.49891815189</v>
      </c>
      <c r="W87" s="41">
        <v>0</v>
      </c>
      <c r="X87" s="1">
        <v>200</v>
      </c>
      <c r="Y87" s="1">
        <v>300</v>
      </c>
      <c r="Z87" s="1">
        <v>20</v>
      </c>
      <c r="AA87" s="1">
        <v>7500</v>
      </c>
      <c r="AB87" s="1">
        <v>20</v>
      </c>
      <c r="AC87" s="1">
        <v>200</v>
      </c>
    </row>
    <row r="88" spans="1:29" ht="15" x14ac:dyDescent="0.15">
      <c r="A88" s="12" t="s">
        <v>324</v>
      </c>
      <c r="B88" s="13" t="s">
        <v>285</v>
      </c>
      <c r="C88" s="16" t="s">
        <v>225</v>
      </c>
      <c r="D88" s="16"/>
      <c r="E88" s="1"/>
      <c r="F88" s="14">
        <v>5</v>
      </c>
      <c r="G88" s="14">
        <v>500</v>
      </c>
      <c r="H88" s="14"/>
      <c r="I88" s="14"/>
      <c r="J88" s="14">
        <v>500</v>
      </c>
      <c r="K88" s="21">
        <v>100</v>
      </c>
      <c r="L88" s="57">
        <v>1.4999999999999999E-2</v>
      </c>
      <c r="M88" s="21"/>
      <c r="N88" s="26"/>
      <c r="O88" s="5"/>
      <c r="P88" s="1">
        <v>25000000</v>
      </c>
      <c r="Q88" s="1">
        <v>1350</v>
      </c>
      <c r="R88" s="1">
        <v>50000000</v>
      </c>
      <c r="S88" s="41">
        <v>10000</v>
      </c>
      <c r="T88" s="41">
        <v>375</v>
      </c>
      <c r="U88" s="42">
        <v>1</v>
      </c>
      <c r="V88" s="41">
        <f t="shared" si="35"/>
        <v>5000</v>
      </c>
      <c r="W88" s="41">
        <v>0</v>
      </c>
      <c r="X88" s="1">
        <v>200</v>
      </c>
      <c r="Y88" s="1">
        <f>Y67*5</f>
        <v>250</v>
      </c>
      <c r="Z88" s="1">
        <v>20</v>
      </c>
      <c r="AA88" s="1">
        <v>2700</v>
      </c>
      <c r="AB88" s="1">
        <v>0</v>
      </c>
      <c r="AC88" s="1">
        <v>0</v>
      </c>
    </row>
    <row r="89" spans="1:29" ht="15" x14ac:dyDescent="0.15">
      <c r="A89" s="12" t="s">
        <v>330</v>
      </c>
      <c r="B89" s="13" t="s">
        <v>286</v>
      </c>
      <c r="C89" s="16" t="s">
        <v>225</v>
      </c>
      <c r="D89" s="16"/>
      <c r="E89" s="1"/>
      <c r="F89" s="14">
        <v>10</v>
      </c>
      <c r="G89" s="14">
        <v>500</v>
      </c>
      <c r="H89" s="14"/>
      <c r="I89" s="14"/>
      <c r="J89" s="14">
        <v>500</v>
      </c>
      <c r="K89" s="21">
        <v>100</v>
      </c>
      <c r="L89" s="57">
        <v>1.4999999999999999E-2</v>
      </c>
      <c r="M89" s="21"/>
      <c r="N89" s="26"/>
      <c r="O89" s="5"/>
      <c r="P89" s="1">
        <v>236250000</v>
      </c>
      <c r="Q89" s="1">
        <v>12757.5</v>
      </c>
      <c r="R89" s="1">
        <v>519750000</v>
      </c>
      <c r="S89" s="41">
        <v>10000</v>
      </c>
      <c r="T89" s="41">
        <v>450</v>
      </c>
      <c r="U89" s="42">
        <v>0.9</v>
      </c>
      <c r="V89" s="41">
        <f t="shared" si="35"/>
        <v>51975</v>
      </c>
      <c r="W89" s="41">
        <v>0</v>
      </c>
      <c r="X89" s="1">
        <v>200</v>
      </c>
      <c r="Y89" s="1">
        <f>Y72*5</f>
        <v>500</v>
      </c>
      <c r="Z89" s="1">
        <v>20</v>
      </c>
      <c r="AA89" s="1">
        <v>6912</v>
      </c>
      <c r="AB89" s="1">
        <v>0</v>
      </c>
      <c r="AC89" s="1">
        <v>0</v>
      </c>
    </row>
    <row r="90" spans="1:29" ht="15" x14ac:dyDescent="0.15">
      <c r="A90" s="45" t="s">
        <v>331</v>
      </c>
      <c r="B90" s="13" t="s">
        <v>287</v>
      </c>
      <c r="C90" s="16" t="s">
        <v>225</v>
      </c>
      <c r="D90" s="16"/>
      <c r="E90" s="1"/>
      <c r="F90" s="14">
        <v>15</v>
      </c>
      <c r="G90" s="14">
        <v>500</v>
      </c>
      <c r="H90" s="14"/>
      <c r="I90" s="14"/>
      <c r="J90" s="14">
        <v>500</v>
      </c>
      <c r="K90" s="21">
        <v>100</v>
      </c>
      <c r="L90" s="57">
        <v>1.4999999999999999E-2</v>
      </c>
      <c r="M90" s="21"/>
      <c r="N90" s="26"/>
      <c r="O90" s="5"/>
      <c r="P90" s="1">
        <v>689925600</v>
      </c>
      <c r="Q90" s="1">
        <v>37255.982399999994</v>
      </c>
      <c r="R90" s="1">
        <v>1517836320</v>
      </c>
      <c r="S90" s="41">
        <v>10000</v>
      </c>
      <c r="T90" s="41">
        <v>525</v>
      </c>
      <c r="U90" s="42">
        <v>0.8</v>
      </c>
      <c r="V90" s="41">
        <f t="shared" si="35"/>
        <v>151783.63200000001</v>
      </c>
      <c r="W90" s="41">
        <v>0</v>
      </c>
      <c r="X90" s="1">
        <v>200</v>
      </c>
      <c r="Y90" s="1">
        <f>Y77*5</f>
        <v>750</v>
      </c>
      <c r="Z90" s="1">
        <v>20</v>
      </c>
      <c r="AA90" s="1">
        <v>13500</v>
      </c>
      <c r="AB90" s="1">
        <v>5</v>
      </c>
      <c r="AC90" s="1">
        <v>50</v>
      </c>
    </row>
    <row r="91" spans="1:29" ht="15" x14ac:dyDescent="0.15">
      <c r="A91" s="43" t="s">
        <v>328</v>
      </c>
      <c r="B91" s="13" t="s">
        <v>288</v>
      </c>
      <c r="C91" s="16" t="s">
        <v>225</v>
      </c>
      <c r="D91" s="16"/>
      <c r="E91" s="1"/>
      <c r="F91" s="14">
        <v>20</v>
      </c>
      <c r="G91" s="14">
        <v>500</v>
      </c>
      <c r="H91" s="14"/>
      <c r="I91" s="14"/>
      <c r="J91" s="14">
        <v>500</v>
      </c>
      <c r="K91" s="21">
        <v>100</v>
      </c>
      <c r="L91" s="57">
        <v>1.4999999999999999E-2</v>
      </c>
      <c r="M91" s="21"/>
      <c r="N91" s="26"/>
      <c r="O91" s="5"/>
      <c r="P91" s="1">
        <v>2169788414.9759998</v>
      </c>
      <c r="Q91" s="1">
        <v>117168.57440870398</v>
      </c>
      <c r="R91" s="1">
        <v>4773534512.9471989</v>
      </c>
      <c r="S91" s="41">
        <v>10000</v>
      </c>
      <c r="T91" s="41">
        <v>600</v>
      </c>
      <c r="U91" s="42">
        <v>0.6</v>
      </c>
      <c r="V91" s="41">
        <f t="shared" si="35"/>
        <v>477353.45129471988</v>
      </c>
      <c r="W91" s="41">
        <v>0</v>
      </c>
      <c r="X91" s="1">
        <v>200</v>
      </c>
      <c r="Y91" s="1">
        <f>Y82*5</f>
        <v>1000</v>
      </c>
      <c r="Z91" s="1">
        <v>20</v>
      </c>
      <c r="AA91" s="1">
        <v>25000</v>
      </c>
      <c r="AB91" s="1">
        <v>20</v>
      </c>
      <c r="AC91" s="1">
        <v>500</v>
      </c>
    </row>
    <row r="92" spans="1:29" ht="15" x14ac:dyDescent="0.15">
      <c r="A92" s="43" t="s">
        <v>332</v>
      </c>
      <c r="B92" s="13" t="s">
        <v>337</v>
      </c>
      <c r="C92" s="16" t="s">
        <v>225</v>
      </c>
      <c r="D92" s="16"/>
      <c r="E92" s="1"/>
      <c r="F92" s="14">
        <v>25</v>
      </c>
      <c r="G92" s="14">
        <v>500</v>
      </c>
      <c r="H92" s="14"/>
      <c r="I92" s="14"/>
      <c r="J92" s="14">
        <v>500</v>
      </c>
      <c r="K92" s="21">
        <v>100</v>
      </c>
      <c r="L92" s="57">
        <v>0.06</v>
      </c>
      <c r="M92" s="21"/>
      <c r="N92" s="26"/>
      <c r="O92" s="5"/>
      <c r="P92" s="1">
        <v>3905619146.9567995</v>
      </c>
      <c r="Q92" s="1">
        <v>210903.43393566716</v>
      </c>
      <c r="R92" s="1">
        <v>8592362123.3049583</v>
      </c>
      <c r="S92" s="41">
        <v>10000</v>
      </c>
      <c r="T92" s="1">
        <v>675</v>
      </c>
      <c r="U92" s="42">
        <v>0.5</v>
      </c>
      <c r="V92" s="41">
        <f t="shared" si="35"/>
        <v>859236.21233049582</v>
      </c>
      <c r="W92" s="41">
        <v>100</v>
      </c>
      <c r="X92" s="1">
        <v>200</v>
      </c>
      <c r="Y92" s="1">
        <f>Y87*5</f>
        <v>1500</v>
      </c>
      <c r="Z92" s="1">
        <v>20</v>
      </c>
      <c r="AA92" s="1">
        <v>50000</v>
      </c>
      <c r="AB92" s="1">
        <v>20</v>
      </c>
      <c r="AC92" s="1">
        <v>500</v>
      </c>
    </row>
    <row r="93" spans="1:29" s="46" customFormat="1" ht="15" x14ac:dyDescent="0.15">
      <c r="A93" s="47" t="s">
        <v>333</v>
      </c>
      <c r="B93" s="13" t="s">
        <v>338</v>
      </c>
      <c r="C93" s="48" t="s">
        <v>225</v>
      </c>
      <c r="D93" s="48"/>
      <c r="E93" s="49"/>
      <c r="F93" s="49"/>
      <c r="G93" s="50">
        <v>500</v>
      </c>
      <c r="H93" s="50"/>
      <c r="I93" s="50"/>
      <c r="J93" s="50">
        <v>500</v>
      </c>
      <c r="K93" s="49">
        <v>8.0000000000000002E-3</v>
      </c>
      <c r="L93" s="24">
        <v>0</v>
      </c>
      <c r="M93" s="51"/>
      <c r="N93" s="28" t="str">
        <f>"{'ronglian11', '"&amp;A93&amp;"*1',80,270,10,12,'一号熔炼石*1' }"</f>
        <v>{'ronglian11', '熔炼石boss1*1',80,270,10,12,'一号熔炼石*1' }</v>
      </c>
      <c r="P93" s="52">
        <v>39062500</v>
      </c>
      <c r="Q93" s="52">
        <v>632.8125</v>
      </c>
      <c r="R93" s="52">
        <v>78125000</v>
      </c>
      <c r="S93" s="52">
        <v>3000</v>
      </c>
      <c r="T93" s="52">
        <v>365</v>
      </c>
      <c r="U93" s="53">
        <v>0.75</v>
      </c>
      <c r="V93" s="52">
        <v>400</v>
      </c>
      <c r="W93" s="52">
        <v>0</v>
      </c>
      <c r="X93" s="52">
        <v>200</v>
      </c>
      <c r="Y93" s="52">
        <v>100</v>
      </c>
      <c r="Z93" s="49">
        <v>20</v>
      </c>
      <c r="AA93" s="49">
        <v>1382.4</v>
      </c>
      <c r="AB93" s="49">
        <v>0</v>
      </c>
      <c r="AC93" s="49">
        <v>0</v>
      </c>
    </row>
    <row r="94" spans="1:29" s="46" customFormat="1" ht="15" x14ac:dyDescent="0.15">
      <c r="A94" s="47" t="s">
        <v>334</v>
      </c>
      <c r="B94" s="13" t="s">
        <v>339</v>
      </c>
      <c r="C94" s="48" t="s">
        <v>225</v>
      </c>
      <c r="D94" s="48"/>
      <c r="E94" s="49"/>
      <c r="F94" s="49"/>
      <c r="G94" s="50">
        <v>500</v>
      </c>
      <c r="H94" s="50"/>
      <c r="I94" s="50"/>
      <c r="J94" s="50">
        <v>500</v>
      </c>
      <c r="K94" s="49">
        <v>8.0000000000000002E-3</v>
      </c>
      <c r="L94" s="24">
        <v>0</v>
      </c>
      <c r="M94" s="51"/>
      <c r="N94" s="28" t="str">
        <f>"{'ronglian22', '"&amp;A94&amp;"*1',80,270,10,12,'二号熔炼石*1' }"</f>
        <v>{'ronglian22', '熔炼石boss2*1',80,270,10,12,'二号熔炼石*1' }</v>
      </c>
      <c r="P94" s="52">
        <v>182617187.5</v>
      </c>
      <c r="Q94" s="52">
        <v>3214.0625</v>
      </c>
      <c r="R94" s="52">
        <v>365234375</v>
      </c>
      <c r="S94" s="52">
        <v>30000</v>
      </c>
      <c r="T94" s="52">
        <v>385</v>
      </c>
      <c r="U94" s="53">
        <v>0.75</v>
      </c>
      <c r="V94" s="52">
        <v>3960</v>
      </c>
      <c r="W94" s="52">
        <v>0</v>
      </c>
      <c r="X94" s="52">
        <v>200</v>
      </c>
      <c r="Y94" s="52">
        <v>200</v>
      </c>
      <c r="Z94" s="49">
        <v>20</v>
      </c>
      <c r="AA94" s="49">
        <v>2534.4</v>
      </c>
      <c r="AB94" s="49">
        <v>0</v>
      </c>
      <c r="AC94" s="49">
        <v>0</v>
      </c>
    </row>
    <row r="95" spans="1:29" s="46" customFormat="1" ht="15" x14ac:dyDescent="0.15">
      <c r="A95" s="47" t="s">
        <v>335</v>
      </c>
      <c r="B95" s="13" t="s">
        <v>342</v>
      </c>
      <c r="C95" s="48" t="s">
        <v>225</v>
      </c>
      <c r="D95" s="48"/>
      <c r="E95" s="49"/>
      <c r="F95" s="49"/>
      <c r="G95" s="50">
        <v>500</v>
      </c>
      <c r="H95" s="50"/>
      <c r="I95" s="50"/>
      <c r="J95" s="50">
        <v>500</v>
      </c>
      <c r="K95" s="49">
        <v>8.0000000000000002E-3</v>
      </c>
      <c r="L95" s="24">
        <v>0</v>
      </c>
      <c r="M95" s="51"/>
      <c r="N95" s="28" t="str">
        <f>"{'ronglian33', '"&amp;A95&amp;"*1',80,270,10,12,'三号熔炼石*1' }"</f>
        <v>{'ronglian33', '熔炼石boss3*1',80,270,10,12,'三号熔炼石*1' }</v>
      </c>
      <c r="P95" s="52">
        <v>1260041062.5</v>
      </c>
      <c r="Q95" s="52">
        <v>22176.722699999998</v>
      </c>
      <c r="R95" s="52">
        <v>2520082125</v>
      </c>
      <c r="S95" s="52">
        <v>30000</v>
      </c>
      <c r="T95" s="52">
        <v>410</v>
      </c>
      <c r="U95" s="53">
        <v>0.75</v>
      </c>
      <c r="V95" s="52">
        <v>16864.848000000002</v>
      </c>
      <c r="W95" s="52">
        <v>0</v>
      </c>
      <c r="X95" s="52">
        <v>200</v>
      </c>
      <c r="Y95" s="52">
        <v>300</v>
      </c>
      <c r="Z95" s="49">
        <v>20</v>
      </c>
      <c r="AA95" s="49">
        <v>3600</v>
      </c>
      <c r="AB95" s="49">
        <v>10</v>
      </c>
      <c r="AC95" s="49">
        <v>250</v>
      </c>
    </row>
    <row r="96" spans="1:29" s="46" customFormat="1" ht="15" x14ac:dyDescent="0.15">
      <c r="A96" s="47" t="s">
        <v>336</v>
      </c>
      <c r="B96" s="13" t="s">
        <v>348</v>
      </c>
      <c r="C96" s="48" t="s">
        <v>225</v>
      </c>
      <c r="D96" s="48"/>
      <c r="E96" s="49"/>
      <c r="F96" s="49"/>
      <c r="G96" s="50">
        <v>500</v>
      </c>
      <c r="H96" s="50"/>
      <c r="I96" s="50"/>
      <c r="J96" s="50">
        <v>500</v>
      </c>
      <c r="K96" s="49">
        <v>8.0000000000000002E-3</v>
      </c>
      <c r="L96" s="24">
        <v>0</v>
      </c>
      <c r="M96" s="51"/>
      <c r="N96" s="28" t="str">
        <f>"{'ronglian44', '"&amp;A96&amp;"*1',80,270,10,12,'四号熔炼石*1' }"</f>
        <v>{'ronglian44', '熔炼石boss4*1',80,270,10,12,'四号熔炼石*1' }</v>
      </c>
      <c r="P96" s="52">
        <v>2772090337.5</v>
      </c>
      <c r="Q96" s="52">
        <v>48788.789940000002</v>
      </c>
      <c r="R96" s="52">
        <v>5544180675</v>
      </c>
      <c r="S96" s="52">
        <v>30000</v>
      </c>
      <c r="T96" s="52">
        <v>440</v>
      </c>
      <c r="U96" s="53">
        <v>0.75</v>
      </c>
      <c r="V96" s="52">
        <v>63647.126839295997</v>
      </c>
      <c r="W96" s="52">
        <v>0</v>
      </c>
      <c r="X96" s="52">
        <v>200</v>
      </c>
      <c r="Y96" s="52">
        <v>500</v>
      </c>
      <c r="Z96" s="49">
        <v>20</v>
      </c>
      <c r="AA96" s="49">
        <v>5529.6</v>
      </c>
      <c r="AB96" s="49">
        <v>20</v>
      </c>
      <c r="AC96" s="49">
        <v>500</v>
      </c>
    </row>
    <row r="97" spans="1:29" s="46" customFormat="1" ht="15" x14ac:dyDescent="0.15">
      <c r="A97" s="47" t="s">
        <v>352</v>
      </c>
      <c r="B97" s="13" t="s">
        <v>350</v>
      </c>
      <c r="C97" s="48" t="s">
        <v>225</v>
      </c>
      <c r="D97" s="11" t="s">
        <v>354</v>
      </c>
      <c r="E97" s="49"/>
      <c r="F97" s="49"/>
      <c r="G97" s="54">
        <v>10</v>
      </c>
      <c r="H97" s="54"/>
      <c r="I97" s="54"/>
      <c r="J97" s="54">
        <v>10</v>
      </c>
      <c r="K97" s="54">
        <v>1E-3</v>
      </c>
      <c r="L97" s="24">
        <v>0</v>
      </c>
      <c r="M97" s="55"/>
      <c r="N97" s="54"/>
      <c r="O97"/>
      <c r="P97" s="56">
        <v>1</v>
      </c>
      <c r="Q97" s="56">
        <v>1</v>
      </c>
      <c r="R97" s="56">
        <v>150</v>
      </c>
      <c r="S97" s="56">
        <v>1</v>
      </c>
      <c r="T97" s="56">
        <v>450</v>
      </c>
      <c r="U97" s="56">
        <v>0.75</v>
      </c>
      <c r="V97" s="56">
        <v>10</v>
      </c>
      <c r="W97" s="56">
        <v>0</v>
      </c>
      <c r="X97" s="56">
        <v>200</v>
      </c>
      <c r="Y97" s="56">
        <v>50</v>
      </c>
      <c r="Z97" s="56">
        <v>0</v>
      </c>
      <c r="AA97" s="56">
        <v>0</v>
      </c>
      <c r="AB97" s="56">
        <v>0</v>
      </c>
      <c r="AC97" s="56">
        <v>0</v>
      </c>
    </row>
  </sheetData>
  <phoneticPr fontId="9" type="noConversion"/>
  <pageMargins left="0.7" right="0.7" top="0.75" bottom="0.75" header="0.3" footer="0.3"/>
  <pageSetup paperSize="9" orientation="portrait" horizontalDpi="200" verticalDpi="200" copies="0" r:id="rId1"/>
  <ignoredErrors>
    <ignoredError sqref="Q29 P61:R61 P10:R10 P11:R11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2020-01-02T06:24:39Z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