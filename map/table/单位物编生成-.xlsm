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FA189EE9-C6CD-4A51-B41A-00C6B39EF154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自定义lni!$A$3:$AE$62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31" i="29" l="1"/>
  <c r="N108" i="29" l="1"/>
  <c r="N106" i="29" l="1"/>
  <c r="N104" i="29" l="1"/>
  <c r="N102" i="29"/>
  <c r="N100" i="29"/>
  <c r="N98" i="29"/>
  <c r="N228" i="29" l="1"/>
  <c r="N227" i="29"/>
  <c r="N226" i="29"/>
  <c r="N225" i="29"/>
  <c r="N168" i="29"/>
  <c r="N167" i="29"/>
  <c r="N166" i="29"/>
  <c r="N165" i="29"/>
  <c r="N163" i="29"/>
  <c r="N162" i="29"/>
  <c r="N161" i="29"/>
  <c r="N160" i="29"/>
  <c r="N158" i="29"/>
  <c r="N157" i="29"/>
  <c r="N156" i="29"/>
  <c r="N155" i="29"/>
  <c r="N153" i="29"/>
  <c r="N152" i="29"/>
  <c r="N151" i="29"/>
  <c r="N150" i="29"/>
  <c r="N148" i="29"/>
  <c r="N147" i="29"/>
  <c r="N146" i="29"/>
  <c r="N145" i="29"/>
  <c r="N143" i="29"/>
  <c r="N142" i="29"/>
  <c r="N141" i="29"/>
  <c r="N140" i="29"/>
  <c r="N138" i="29"/>
  <c r="N137" i="29"/>
  <c r="N136" i="29"/>
  <c r="N135" i="29"/>
  <c r="N133" i="29"/>
  <c r="N132" i="29"/>
  <c r="N131" i="29"/>
  <c r="N130" i="29"/>
  <c r="N128" i="29"/>
  <c r="N127" i="29"/>
  <c r="N126" i="29"/>
  <c r="N125" i="29"/>
  <c r="N123" i="29"/>
  <c r="N122" i="29"/>
  <c r="N121" i="29"/>
  <c r="N120" i="29"/>
  <c r="N13" i="29"/>
  <c r="N12" i="29"/>
  <c r="N11" i="29"/>
  <c r="N10" i="29"/>
  <c r="N9" i="29"/>
  <c r="N8" i="29"/>
  <c r="N62" i="29"/>
  <c r="N61" i="29"/>
  <c r="N60" i="29"/>
  <c r="N59" i="29"/>
  <c r="N96" i="29"/>
  <c r="N95" i="29"/>
  <c r="N93" i="29"/>
  <c r="N94" i="29"/>
  <c r="Q96" i="29" l="1"/>
  <c r="R96" i="29"/>
  <c r="P96" i="29"/>
  <c r="P95" i="29"/>
  <c r="P225" i="29"/>
  <c r="R225" i="29"/>
  <c r="V225" i="29" s="1"/>
  <c r="R226" i="29"/>
  <c r="R227" i="29"/>
  <c r="R228" i="29"/>
  <c r="R229" i="29"/>
  <c r="P226" i="29"/>
  <c r="P227" i="29"/>
  <c r="P228" i="29"/>
  <c r="P229" i="29"/>
  <c r="X229" i="29"/>
  <c r="X228" i="29"/>
  <c r="X227" i="29"/>
  <c r="X226" i="29"/>
  <c r="X225" i="29"/>
  <c r="V226" i="29" l="1"/>
  <c r="P89" i="29"/>
  <c r="P90" i="29"/>
  <c r="P91" i="29"/>
  <c r="R88" i="29"/>
  <c r="Q88" i="29"/>
  <c r="P88" i="29"/>
  <c r="P110" i="29"/>
  <c r="X110" i="29"/>
  <c r="X111" i="29"/>
  <c r="X112" i="29"/>
  <c r="X113" i="29"/>
  <c r="X114" i="29"/>
  <c r="X115" i="29"/>
  <c r="X116" i="29"/>
  <c r="X117" i="29"/>
  <c r="X118" i="29"/>
  <c r="X119" i="29"/>
  <c r="V227" i="29" l="1"/>
  <c r="R65" i="29"/>
  <c r="R110" i="29"/>
  <c r="R99" i="29"/>
  <c r="P99" i="29"/>
  <c r="P101" i="29" s="1"/>
  <c r="R12" i="29"/>
  <c r="P12" i="29"/>
  <c r="V229" i="29" l="1"/>
  <c r="V228" i="29"/>
  <c r="N109" i="29"/>
  <c r="N107" i="29"/>
  <c r="N105" i="29"/>
  <c r="N103" i="29"/>
  <c r="N101" i="29"/>
  <c r="N99" i="29"/>
  <c r="N4" i="29"/>
  <c r="AB182" i="29" l="1"/>
  <c r="Q72" i="29" l="1"/>
  <c r="AB183" i="29"/>
  <c r="AB203" i="29" s="1"/>
  <c r="AB202" i="29"/>
  <c r="S203" i="29"/>
  <c r="T203" i="29"/>
  <c r="W203" i="29"/>
  <c r="X203" i="29"/>
  <c r="Y203" i="29"/>
  <c r="Z203" i="29"/>
  <c r="AA203" i="29"/>
  <c r="S204" i="29"/>
  <c r="T204" i="29"/>
  <c r="W204" i="29"/>
  <c r="X204" i="29"/>
  <c r="Y204" i="29"/>
  <c r="Z204" i="29"/>
  <c r="AA204" i="29"/>
  <c r="S205" i="29"/>
  <c r="T205" i="29"/>
  <c r="W205" i="29"/>
  <c r="X205" i="29"/>
  <c r="Y205" i="29"/>
  <c r="Z205" i="29"/>
  <c r="AA205" i="29"/>
  <c r="S206" i="29"/>
  <c r="T206" i="29"/>
  <c r="W206" i="29"/>
  <c r="X206" i="29"/>
  <c r="Y206" i="29"/>
  <c r="Z206" i="29"/>
  <c r="AA206" i="29"/>
  <c r="S207" i="29"/>
  <c r="T207" i="29"/>
  <c r="W207" i="29"/>
  <c r="X207" i="29"/>
  <c r="Y207" i="29"/>
  <c r="Z207" i="29"/>
  <c r="AA207" i="29"/>
  <c r="S208" i="29"/>
  <c r="T208" i="29"/>
  <c r="W208" i="29"/>
  <c r="X208" i="29"/>
  <c r="Y208" i="29"/>
  <c r="Z208" i="29"/>
  <c r="AA208" i="29"/>
  <c r="S209" i="29"/>
  <c r="T209" i="29"/>
  <c r="W209" i="29"/>
  <c r="X209" i="29"/>
  <c r="Y209" i="29"/>
  <c r="Z209" i="29"/>
  <c r="AA209" i="29"/>
  <c r="S210" i="29"/>
  <c r="T210" i="29"/>
  <c r="W210" i="29"/>
  <c r="X210" i="29"/>
  <c r="Y210" i="29"/>
  <c r="Z210" i="29"/>
  <c r="AA210" i="29"/>
  <c r="S211" i="29"/>
  <c r="T211" i="29"/>
  <c r="W211" i="29"/>
  <c r="X211" i="29"/>
  <c r="Y211" i="29"/>
  <c r="Z211" i="29"/>
  <c r="AA211" i="29"/>
  <c r="S212" i="29"/>
  <c r="T212" i="29"/>
  <c r="W212" i="29"/>
  <c r="X212" i="29"/>
  <c r="Y212" i="29"/>
  <c r="Z212" i="29"/>
  <c r="AA212" i="29"/>
  <c r="S213" i="29"/>
  <c r="T213" i="29"/>
  <c r="W213" i="29"/>
  <c r="X213" i="29"/>
  <c r="Y213" i="29"/>
  <c r="Z213" i="29"/>
  <c r="AA213" i="29"/>
  <c r="S214" i="29"/>
  <c r="T214" i="29"/>
  <c r="W214" i="29"/>
  <c r="X214" i="29"/>
  <c r="Y214" i="29"/>
  <c r="Z214" i="29"/>
  <c r="AA214" i="29"/>
  <c r="S215" i="29"/>
  <c r="T215" i="29"/>
  <c r="W215" i="29"/>
  <c r="X215" i="29"/>
  <c r="Y215" i="29"/>
  <c r="Z215" i="29"/>
  <c r="AA215" i="29"/>
  <c r="S216" i="29"/>
  <c r="T216" i="29"/>
  <c r="W216" i="29"/>
  <c r="X216" i="29"/>
  <c r="Y216" i="29"/>
  <c r="Z216" i="29"/>
  <c r="AA216" i="29"/>
  <c r="S217" i="29"/>
  <c r="T217" i="29"/>
  <c r="W217" i="29"/>
  <c r="Y217" i="29"/>
  <c r="Z217" i="29"/>
  <c r="AA217" i="29"/>
  <c r="S218" i="29"/>
  <c r="T218" i="29"/>
  <c r="W218" i="29"/>
  <c r="Y218" i="29"/>
  <c r="Z218" i="29"/>
  <c r="AA218" i="29"/>
  <c r="S219" i="29"/>
  <c r="T219" i="29"/>
  <c r="W219" i="29"/>
  <c r="Y219" i="29"/>
  <c r="Z219" i="29"/>
  <c r="AA219" i="29"/>
  <c r="S220" i="29"/>
  <c r="T220" i="29"/>
  <c r="W220" i="29"/>
  <c r="Y220" i="29"/>
  <c r="Z220" i="29"/>
  <c r="AA220" i="29"/>
  <c r="S221" i="29"/>
  <c r="T221" i="29"/>
  <c r="W221" i="29"/>
  <c r="Y221" i="29"/>
  <c r="Z221" i="29"/>
  <c r="AA221" i="29"/>
  <c r="S202" i="29"/>
  <c r="T202" i="29"/>
  <c r="W202" i="29"/>
  <c r="X202" i="29"/>
  <c r="Y202" i="29"/>
  <c r="Z202" i="29"/>
  <c r="AA202" i="29"/>
  <c r="X186" i="29"/>
  <c r="X187" i="29"/>
  <c r="X188" i="29"/>
  <c r="X189" i="29"/>
  <c r="X190" i="29"/>
  <c r="X191" i="29"/>
  <c r="X192" i="29"/>
  <c r="X193" i="29"/>
  <c r="X194" i="29"/>
  <c r="X195" i="29"/>
  <c r="X196" i="29"/>
  <c r="X197" i="29"/>
  <c r="X217" i="29" s="1"/>
  <c r="X198" i="29"/>
  <c r="X218" i="29" s="1"/>
  <c r="X199" i="29"/>
  <c r="X219" i="29" s="1"/>
  <c r="X200" i="29"/>
  <c r="X220" i="29" s="1"/>
  <c r="X201" i="29"/>
  <c r="X221" i="29" s="1"/>
  <c r="X185" i="29"/>
  <c r="X184" i="29"/>
  <c r="X183" i="29"/>
  <c r="X182" i="29"/>
  <c r="AB184" i="29" l="1"/>
  <c r="P55" i="29"/>
  <c r="AB185" i="29" l="1"/>
  <c r="AB204" i="29"/>
  <c r="V9" i="29"/>
  <c r="V10" i="29"/>
  <c r="V11" i="29"/>
  <c r="V12" i="29"/>
  <c r="V14" i="29"/>
  <c r="V15" i="29"/>
  <c r="V16" i="29"/>
  <c r="V17" i="29"/>
  <c r="V18" i="29"/>
  <c r="V19" i="29"/>
  <c r="V20" i="29"/>
  <c r="V21" i="29"/>
  <c r="V22" i="29"/>
  <c r="V23" i="29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5" i="29"/>
  <c r="V56" i="29"/>
  <c r="V57" i="29"/>
  <c r="V58" i="29"/>
  <c r="V59" i="29"/>
  <c r="V60" i="29"/>
  <c r="V61" i="29"/>
  <c r="V62" i="29"/>
  <c r="V63" i="29"/>
  <c r="V64" i="29"/>
  <c r="V65" i="29"/>
  <c r="V93" i="29"/>
  <c r="V94" i="29"/>
  <c r="V95" i="29"/>
  <c r="V96" i="29"/>
  <c r="V97" i="29"/>
  <c r="V180" i="29"/>
  <c r="V181" i="29"/>
  <c r="V8" i="29"/>
  <c r="P92" i="29"/>
  <c r="Q95" i="29"/>
  <c r="R95" i="29"/>
  <c r="Q94" i="29"/>
  <c r="R94" i="29"/>
  <c r="P94" i="29"/>
  <c r="AB186" i="29" l="1"/>
  <c r="AB205" i="29"/>
  <c r="P31" i="29"/>
  <c r="P10" i="29"/>
  <c r="P11" i="29" s="1"/>
  <c r="R10" i="29"/>
  <c r="R11" i="29" s="1"/>
  <c r="R30" i="29"/>
  <c r="R31" i="29" s="1"/>
  <c r="R32" i="29" s="1"/>
  <c r="R33" i="29" s="1"/>
  <c r="R17" i="29" s="1"/>
  <c r="Q43" i="29"/>
  <c r="Q47" i="29" s="1"/>
  <c r="Q44" i="29" s="1"/>
  <c r="Q48" i="29" s="1"/>
  <c r="Q45" i="29" s="1"/>
  <c r="Q49" i="29" s="1"/>
  <c r="Q46" i="29" s="1"/>
  <c r="R43" i="29"/>
  <c r="R47" i="29" s="1"/>
  <c r="R44" i="29" s="1"/>
  <c r="R48" i="29" s="1"/>
  <c r="R45" i="29" s="1"/>
  <c r="R49" i="29" s="1"/>
  <c r="R46" i="29" s="1"/>
  <c r="P43" i="29"/>
  <c r="P47" i="29" s="1"/>
  <c r="P44" i="29" s="1"/>
  <c r="P48" i="29" s="1"/>
  <c r="P45" i="29" s="1"/>
  <c r="P49" i="29" s="1"/>
  <c r="P46" i="29" s="1"/>
  <c r="P35" i="29"/>
  <c r="R9" i="29"/>
  <c r="P9" i="29"/>
  <c r="Q8" i="29"/>
  <c r="Q9" i="29" s="1"/>
  <c r="R8" i="29"/>
  <c r="P8" i="29"/>
  <c r="Q15" i="29"/>
  <c r="Q16" i="29" s="1"/>
  <c r="Q10" i="29" s="1"/>
  <c r="Q11" i="29" s="1"/>
  <c r="AB187" i="29" l="1"/>
  <c r="AB206" i="29"/>
  <c r="Q29" i="29"/>
  <c r="Q30" i="29" s="1"/>
  <c r="Q31" i="29" s="1"/>
  <c r="Q32" i="29" s="1"/>
  <c r="Q33" i="29" s="1"/>
  <c r="Q17" i="29" s="1"/>
  <c r="AB188" i="29" l="1"/>
  <c r="AB207" i="29"/>
  <c r="AB189" i="29" l="1"/>
  <c r="AB208" i="29"/>
  <c r="X179" i="29"/>
  <c r="X178" i="29"/>
  <c r="X177" i="29"/>
  <c r="X175" i="29"/>
  <c r="X176" i="29"/>
  <c r="X174" i="29"/>
  <c r="X173" i="29"/>
  <c r="X172" i="29"/>
  <c r="X171" i="29"/>
  <c r="X170" i="29"/>
  <c r="X169" i="29"/>
  <c r="X162" i="29"/>
  <c r="X163" i="29"/>
  <c r="X164" i="29"/>
  <c r="X165" i="29"/>
  <c r="X166" i="29"/>
  <c r="X167" i="29"/>
  <c r="X168" i="29"/>
  <c r="X158" i="29"/>
  <c r="X159" i="29"/>
  <c r="X160" i="29"/>
  <c r="X161" i="29"/>
  <c r="X120" i="29"/>
  <c r="X121" i="29"/>
  <c r="X122" i="29"/>
  <c r="X123" i="29"/>
  <c r="X124" i="29"/>
  <c r="X125" i="29"/>
  <c r="X126" i="29"/>
  <c r="X127" i="29"/>
  <c r="X128" i="29"/>
  <c r="X129" i="29"/>
  <c r="X130" i="29"/>
  <c r="X131" i="29"/>
  <c r="X132" i="29"/>
  <c r="X133" i="29"/>
  <c r="X134" i="29"/>
  <c r="X135" i="29"/>
  <c r="X136" i="29"/>
  <c r="X137" i="29"/>
  <c r="X138" i="29"/>
  <c r="X139" i="29"/>
  <c r="X140" i="29"/>
  <c r="X141" i="29"/>
  <c r="X146" i="29"/>
  <c r="X147" i="29"/>
  <c r="X148" i="29"/>
  <c r="X149" i="29"/>
  <c r="X150" i="29"/>
  <c r="X151" i="29"/>
  <c r="X152" i="29"/>
  <c r="X153" i="29"/>
  <c r="X154" i="29"/>
  <c r="X155" i="29"/>
  <c r="X156" i="29"/>
  <c r="X157" i="29"/>
  <c r="AA111" i="29"/>
  <c r="AA110" i="29"/>
  <c r="AA109" i="29"/>
  <c r="X109" i="29"/>
  <c r="W109" i="29"/>
  <c r="AD108" i="29"/>
  <c r="AC108" i="29"/>
  <c r="Y108" i="29"/>
  <c r="X108" i="29"/>
  <c r="W108" i="29"/>
  <c r="T108" i="29"/>
  <c r="AA107" i="29"/>
  <c r="X107" i="29"/>
  <c r="W107" i="29"/>
  <c r="T107" i="29"/>
  <c r="AD106" i="29"/>
  <c r="AC106" i="29"/>
  <c r="Y106" i="29"/>
  <c r="X106" i="29"/>
  <c r="W106" i="29"/>
  <c r="T106" i="29"/>
  <c r="T101" i="29"/>
  <c r="W101" i="29"/>
  <c r="X101" i="29"/>
  <c r="AD105" i="29"/>
  <c r="AA105" i="29"/>
  <c r="X105" i="29"/>
  <c r="W105" i="29"/>
  <c r="T105" i="29"/>
  <c r="AD104" i="29"/>
  <c r="AC104" i="29"/>
  <c r="Y104" i="29"/>
  <c r="X104" i="29"/>
  <c r="W104" i="29"/>
  <c r="T104" i="29"/>
  <c r="AD101" i="29"/>
  <c r="AC101" i="29"/>
  <c r="AD100" i="29"/>
  <c r="AC100" i="29"/>
  <c r="Y100" i="29"/>
  <c r="X100" i="29"/>
  <c r="W100" i="29"/>
  <c r="T100" i="29"/>
  <c r="W98" i="29"/>
  <c r="Y98" i="29"/>
  <c r="X98" i="29"/>
  <c r="T98" i="29"/>
  <c r="T99" i="29"/>
  <c r="W99" i="29"/>
  <c r="X99" i="29"/>
  <c r="AA99" i="29"/>
  <c r="AC99" i="29"/>
  <c r="AD99" i="29"/>
  <c r="AC98" i="29"/>
  <c r="AD98" i="29"/>
  <c r="AB190" i="29" l="1"/>
  <c r="AB209" i="29"/>
  <c r="Q58" i="29"/>
  <c r="P58" i="29"/>
  <c r="R58" i="29"/>
  <c r="P57" i="29"/>
  <c r="Q56" i="29"/>
  <c r="R56" i="29"/>
  <c r="P56" i="29"/>
  <c r="Q57" i="29"/>
  <c r="R64" i="29"/>
  <c r="Q64" i="29"/>
  <c r="Q65" i="29" s="1"/>
  <c r="Q66" i="29" s="1"/>
  <c r="Q67" i="29" s="1"/>
  <c r="P64" i="29"/>
  <c r="P65" i="29" s="1"/>
  <c r="P66" i="29" s="1"/>
  <c r="P67" i="29" s="1"/>
  <c r="R55" i="29"/>
  <c r="R57" i="29"/>
  <c r="AB191" i="29" l="1"/>
  <c r="AB210" i="29"/>
  <c r="P68" i="29"/>
  <c r="Q68" i="29"/>
  <c r="R59" i="29"/>
  <c r="R34" i="29"/>
  <c r="P32" i="29"/>
  <c r="P33" i="29" s="1"/>
  <c r="P17" i="29" s="1"/>
  <c r="P34" i="29"/>
  <c r="P69" i="29"/>
  <c r="P70" i="29" s="1"/>
  <c r="P71" i="29" s="1"/>
  <c r="P72" i="29" s="1"/>
  <c r="P73" i="29" s="1"/>
  <c r="P74" i="29" s="1"/>
  <c r="Q69" i="29"/>
  <c r="Q70" i="29" s="1"/>
  <c r="Q71" i="29" s="1"/>
  <c r="Q73" i="29" s="1"/>
  <c r="AB192" i="29" l="1"/>
  <c r="AB211" i="29"/>
  <c r="R66" i="29"/>
  <c r="V66" i="29" s="1"/>
  <c r="R61" i="29"/>
  <c r="R60" i="29"/>
  <c r="R35" i="29"/>
  <c r="Q89" i="29"/>
  <c r="P75" i="29"/>
  <c r="P76" i="29" s="1"/>
  <c r="P77" i="29" s="1"/>
  <c r="P78" i="29" s="1"/>
  <c r="R7" i="29"/>
  <c r="AB193" i="29" l="1"/>
  <c r="AB212" i="29"/>
  <c r="R67" i="29"/>
  <c r="Q74" i="29"/>
  <c r="Q75" i="29" s="1"/>
  <c r="Q76" i="29" s="1"/>
  <c r="Q77" i="29" s="1"/>
  <c r="Q78" i="29" s="1"/>
  <c r="R62" i="29"/>
  <c r="P79" i="29"/>
  <c r="P80" i="29" s="1"/>
  <c r="P81" i="29" s="1"/>
  <c r="V88" i="29" l="1"/>
  <c r="V67" i="29"/>
  <c r="AB194" i="29"/>
  <c r="AB213" i="29"/>
  <c r="R68" i="29"/>
  <c r="V68" i="29" s="1"/>
  <c r="Q79" i="29"/>
  <c r="Q80" i="29" s="1"/>
  <c r="Q81" i="29" s="1"/>
  <c r="Q91" i="29" s="1"/>
  <c r="Q90" i="29"/>
  <c r="P82" i="29"/>
  <c r="Q6" i="29"/>
  <c r="P7" i="29"/>
  <c r="Q7" i="29"/>
  <c r="AB195" i="29" l="1"/>
  <c r="AB214" i="29"/>
  <c r="R69" i="29"/>
  <c r="V69" i="29" s="1"/>
  <c r="P83" i="29"/>
  <c r="P84" i="29" s="1"/>
  <c r="P85" i="29" s="1"/>
  <c r="P86" i="29" s="1"/>
  <c r="P87" i="29" s="1"/>
  <c r="Q82" i="29"/>
  <c r="Q83" i="29" s="1"/>
  <c r="Q84" i="29" s="1"/>
  <c r="Q85" i="29" s="1"/>
  <c r="Q86" i="29" s="1"/>
  <c r="Q87" i="29" s="1"/>
  <c r="Q92" i="29" s="1"/>
  <c r="AB196" i="29" l="1"/>
  <c r="AB215" i="29"/>
  <c r="R70" i="29"/>
  <c r="V70" i="29" s="1"/>
  <c r="Y92" i="29"/>
  <c r="Y91" i="29"/>
  <c r="Y90" i="29"/>
  <c r="Y89" i="29"/>
  <c r="Y88" i="29"/>
  <c r="AB197" i="29" l="1"/>
  <c r="AB216" i="29"/>
  <c r="R71" i="29"/>
  <c r="T58" i="29"/>
  <c r="U58" i="29"/>
  <c r="W58" i="29"/>
  <c r="X58" i="29"/>
  <c r="X145" i="29" s="1"/>
  <c r="Y58" i="29"/>
  <c r="AA58" i="29"/>
  <c r="AB58" i="29"/>
  <c r="AC58" i="29"/>
  <c r="AD58" i="29"/>
  <c r="Q59" i="29"/>
  <c r="P59" i="29"/>
  <c r="T57" i="29"/>
  <c r="U57" i="29"/>
  <c r="W57" i="29"/>
  <c r="X57" i="29"/>
  <c r="X144" i="29" s="1"/>
  <c r="Y57" i="29"/>
  <c r="AA57" i="29"/>
  <c r="AB57" i="29"/>
  <c r="AC57" i="29"/>
  <c r="AD57" i="29"/>
  <c r="T56" i="29"/>
  <c r="U56" i="29"/>
  <c r="W56" i="29"/>
  <c r="X56" i="29"/>
  <c r="X143" i="29" s="1"/>
  <c r="Y56" i="29"/>
  <c r="AA56" i="29"/>
  <c r="AB56" i="29"/>
  <c r="AC56" i="29"/>
  <c r="AD56" i="29"/>
  <c r="T55" i="29"/>
  <c r="U55" i="29"/>
  <c r="W55" i="29"/>
  <c r="X55" i="29"/>
  <c r="X142" i="29" s="1"/>
  <c r="Y55" i="29"/>
  <c r="AA55" i="29"/>
  <c r="AB55" i="29"/>
  <c r="AC55" i="29"/>
  <c r="AD55" i="29"/>
  <c r="Q55" i="29"/>
  <c r="R52" i="29"/>
  <c r="R53" i="29" s="1"/>
  <c r="R54" i="29" s="1"/>
  <c r="P51" i="29"/>
  <c r="P52" i="29" s="1"/>
  <c r="P53" i="29" s="1"/>
  <c r="P54" i="29" s="1"/>
  <c r="R72" i="29" l="1"/>
  <c r="V72" i="29" s="1"/>
  <c r="V71" i="29"/>
  <c r="AB198" i="29"/>
  <c r="AB217" i="29"/>
  <c r="P60" i="29"/>
  <c r="P61" i="29"/>
  <c r="P62" i="29" s="1"/>
  <c r="Q60" i="29"/>
  <c r="Q61" i="29"/>
  <c r="Q62" i="29" s="1"/>
  <c r="AB199" i="29" l="1"/>
  <c r="AB218" i="29"/>
  <c r="R73" i="29"/>
  <c r="V73" i="29" s="1"/>
  <c r="R89" i="29"/>
  <c r="V89" i="29" s="1"/>
  <c r="Q34" i="29"/>
  <c r="P36" i="29"/>
  <c r="R36" i="29"/>
  <c r="AB200" i="29" l="1"/>
  <c r="AB219" i="29"/>
  <c r="R74" i="29"/>
  <c r="V74" i="29" s="1"/>
  <c r="Q35" i="29"/>
  <c r="P37" i="29"/>
  <c r="AB201" i="29" l="1"/>
  <c r="AB221" i="29" s="1"/>
  <c r="AB220" i="29"/>
  <c r="R75" i="29"/>
  <c r="V75" i="29" s="1"/>
  <c r="Q36" i="29"/>
  <c r="R37" i="29"/>
  <c r="P38" i="29"/>
  <c r="Q37" i="29"/>
  <c r="R76" i="29" l="1"/>
  <c r="V76" i="29" s="1"/>
  <c r="P98" i="29"/>
  <c r="P103" i="29"/>
  <c r="P105" i="29" s="1"/>
  <c r="P107" i="29" s="1"/>
  <c r="P109" i="29" s="1"/>
  <c r="P111" i="29" s="1"/>
  <c r="P112" i="29" s="1"/>
  <c r="P113" i="29" s="1"/>
  <c r="P114" i="29" s="1"/>
  <c r="P115" i="29" s="1"/>
  <c r="P116" i="29" s="1"/>
  <c r="P117" i="29" s="1"/>
  <c r="P118" i="29" s="1"/>
  <c r="P119" i="29" s="1"/>
  <c r="P120" i="29" s="1"/>
  <c r="R38" i="29"/>
  <c r="V99" i="29" s="1"/>
  <c r="Q38" i="29"/>
  <c r="Q12" i="29" s="1"/>
  <c r="P100" i="29" l="1"/>
  <c r="P102" i="29" s="1"/>
  <c r="P104" i="29" s="1"/>
  <c r="P106" i="29" s="1"/>
  <c r="P108" i="29" s="1"/>
  <c r="R77" i="29"/>
  <c r="V77" i="29" s="1"/>
  <c r="R98" i="29"/>
  <c r="R101" i="29"/>
  <c r="P13" i="29"/>
  <c r="P18" i="29"/>
  <c r="R103" i="29" l="1"/>
  <c r="V101" i="29"/>
  <c r="R100" i="29"/>
  <c r="V98" i="29"/>
  <c r="R78" i="29"/>
  <c r="V78" i="29" s="1"/>
  <c r="R90" i="29"/>
  <c r="V90" i="29" s="1"/>
  <c r="P121" i="29"/>
  <c r="P122" i="29" s="1"/>
  <c r="P123" i="29" s="1"/>
  <c r="P124" i="29" s="1"/>
  <c r="P125" i="29" s="1"/>
  <c r="P126" i="29" s="1"/>
  <c r="P127" i="29" s="1"/>
  <c r="P128" i="29" s="1"/>
  <c r="P129" i="29" s="1"/>
  <c r="Q13" i="29"/>
  <c r="Q99" i="29" s="1"/>
  <c r="Q98" i="29" s="1"/>
  <c r="Q100" i="29" s="1"/>
  <c r="Q102" i="29" s="1"/>
  <c r="Q104" i="29" s="1"/>
  <c r="Q106" i="29" s="1"/>
  <c r="Q108" i="29" s="1"/>
  <c r="Q18" i="29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R13" i="29"/>
  <c r="V13" i="29" s="1"/>
  <c r="P19" i="29"/>
  <c r="P20" i="29" s="1"/>
  <c r="P21" i="29" s="1"/>
  <c r="P22" i="29" s="1"/>
  <c r="P23" i="29" s="1"/>
  <c r="P24" i="29" s="1"/>
  <c r="P25" i="29" s="1"/>
  <c r="P26" i="29" s="1"/>
  <c r="P27" i="29" s="1"/>
  <c r="P28" i="29" s="1"/>
  <c r="Q101" i="29" l="1"/>
  <c r="Q103" i="29" s="1"/>
  <c r="Q105" i="29" s="1"/>
  <c r="Q107" i="29" s="1"/>
  <c r="R105" i="29"/>
  <c r="V103" i="29"/>
  <c r="R102" i="29"/>
  <c r="V100" i="29"/>
  <c r="Q109" i="29"/>
  <c r="P130" i="29"/>
  <c r="P131" i="29" s="1"/>
  <c r="P132" i="29" s="1"/>
  <c r="P133" i="29" s="1"/>
  <c r="P134" i="29" s="1"/>
  <c r="P135" i="29" s="1"/>
  <c r="P136" i="29" s="1"/>
  <c r="P137" i="29" s="1"/>
  <c r="P138" i="29" s="1"/>
  <c r="P139" i="29" s="1"/>
  <c r="P140" i="29" s="1"/>
  <c r="P141" i="29" s="1"/>
  <c r="P142" i="29" s="1"/>
  <c r="P143" i="29" s="1"/>
  <c r="P144" i="29" s="1"/>
  <c r="P145" i="29" s="1"/>
  <c r="P146" i="29" s="1"/>
  <c r="P147" i="29" s="1"/>
  <c r="P148" i="29" s="1"/>
  <c r="P149" i="29" s="1"/>
  <c r="P150" i="29" s="1"/>
  <c r="P151" i="29" s="1"/>
  <c r="P152" i="29" s="1"/>
  <c r="P153" i="29" s="1"/>
  <c r="P154" i="29" s="1"/>
  <c r="P155" i="29" s="1"/>
  <c r="P156" i="29" s="1"/>
  <c r="P157" i="29" s="1"/>
  <c r="P158" i="29" s="1"/>
  <c r="P159" i="29" s="1"/>
  <c r="P160" i="29" s="1"/>
  <c r="P161" i="29" s="1"/>
  <c r="P162" i="29" s="1"/>
  <c r="P163" i="29" s="1"/>
  <c r="P164" i="29" s="1"/>
  <c r="P165" i="29" s="1"/>
  <c r="P166" i="29" s="1"/>
  <c r="P167" i="29" s="1"/>
  <c r="P168" i="29" s="1"/>
  <c r="P169" i="29" s="1"/>
  <c r="P170" i="29" s="1"/>
  <c r="P171" i="29" s="1"/>
  <c r="P172" i="29" s="1"/>
  <c r="P173" i="29" s="1"/>
  <c r="P174" i="29" s="1"/>
  <c r="P175" i="29" s="1"/>
  <c r="P176" i="29" s="1"/>
  <c r="P177" i="29" s="1"/>
  <c r="P178" i="29" s="1"/>
  <c r="P179" i="29" s="1"/>
  <c r="P182" i="29" s="1"/>
  <c r="R79" i="29"/>
  <c r="V79" i="29" s="1"/>
  <c r="Q110" i="29" l="1"/>
  <c r="Q111" i="29" s="1"/>
  <c r="Q112" i="29" s="1"/>
  <c r="Q113" i="29" s="1"/>
  <c r="Q114" i="29" s="1"/>
  <c r="Q115" i="29" s="1"/>
  <c r="Q116" i="29" s="1"/>
  <c r="Q117" i="29" s="1"/>
  <c r="Q118" i="29" s="1"/>
  <c r="Q119" i="29" s="1"/>
  <c r="Q120" i="29" s="1"/>
  <c r="Q121" i="29" s="1"/>
  <c r="Q122" i="29" s="1"/>
  <c r="Q123" i="29" s="1"/>
  <c r="Q124" i="29" s="1"/>
  <c r="Q125" i="29" s="1"/>
  <c r="Q126" i="29" s="1"/>
  <c r="Q127" i="29" s="1"/>
  <c r="Q128" i="29" s="1"/>
  <c r="Q129" i="29" s="1"/>
  <c r="Q130" i="29" s="1"/>
  <c r="Q131" i="29" s="1"/>
  <c r="Q132" i="29" s="1"/>
  <c r="Q133" i="29" s="1"/>
  <c r="Q134" i="29" s="1"/>
  <c r="Q135" i="29" s="1"/>
  <c r="Q136" i="29" s="1"/>
  <c r="Q137" i="29" s="1"/>
  <c r="Q138" i="29" s="1"/>
  <c r="Q139" i="29" s="1"/>
  <c r="Q140" i="29" s="1"/>
  <c r="Q141" i="29" s="1"/>
  <c r="Q142" i="29" s="1"/>
  <c r="Q143" i="29" s="1"/>
  <c r="Q144" i="29" s="1"/>
  <c r="Q145" i="29" s="1"/>
  <c r="Q146" i="29" s="1"/>
  <c r="Q147" i="29" s="1"/>
  <c r="Q148" i="29" s="1"/>
  <c r="Q149" i="29" s="1"/>
  <c r="Q150" i="29" s="1"/>
  <c r="Q151" i="29" s="1"/>
  <c r="Q152" i="29" s="1"/>
  <c r="Q153" i="29" s="1"/>
  <c r="Q154" i="29" s="1"/>
  <c r="Q155" i="29" s="1"/>
  <c r="Q156" i="29" s="1"/>
  <c r="Q157" i="29" s="1"/>
  <c r="Q158" i="29" s="1"/>
  <c r="Q159" i="29" s="1"/>
  <c r="Q160" i="29" s="1"/>
  <c r="Q161" i="29" s="1"/>
  <c r="Q162" i="29" s="1"/>
  <c r="Q163" i="29" s="1"/>
  <c r="Q164" i="29" s="1"/>
  <c r="Q165" i="29" s="1"/>
  <c r="Q166" i="29" s="1"/>
  <c r="Q167" i="29" s="1"/>
  <c r="Q168" i="29" s="1"/>
  <c r="Q169" i="29" s="1"/>
  <c r="R107" i="29"/>
  <c r="V105" i="29"/>
  <c r="R104" i="29"/>
  <c r="V102" i="29"/>
  <c r="P202" i="29"/>
  <c r="P183" i="29"/>
  <c r="R80" i="29"/>
  <c r="V80" i="29" s="1"/>
  <c r="R18" i="29"/>
  <c r="Q170" i="29" l="1"/>
  <c r="Q225" i="29"/>
  <c r="R109" i="29"/>
  <c r="V107" i="29"/>
  <c r="R106" i="29"/>
  <c r="V104" i="29"/>
  <c r="P184" i="29"/>
  <c r="P203" i="29"/>
  <c r="R81" i="29"/>
  <c r="V81" i="29" s="1"/>
  <c r="R19" i="29"/>
  <c r="Q171" i="29" l="1"/>
  <c r="Q226" i="29"/>
  <c r="V109" i="29"/>
  <c r="R108" i="29"/>
  <c r="V108" i="29" s="1"/>
  <c r="V106" i="29"/>
  <c r="P204" i="29"/>
  <c r="P185" i="29"/>
  <c r="R91" i="29"/>
  <c r="V91" i="29" s="1"/>
  <c r="R82" i="29"/>
  <c r="V82" i="29" s="1"/>
  <c r="R20" i="29"/>
  <c r="Q172" i="29" l="1"/>
  <c r="Q227" i="29"/>
  <c r="V110" i="29"/>
  <c r="R111" i="29"/>
  <c r="P186" i="29"/>
  <c r="P205" i="29"/>
  <c r="R83" i="29"/>
  <c r="V83" i="29" s="1"/>
  <c r="R21" i="29"/>
  <c r="Q173" i="29" l="1"/>
  <c r="Q228" i="29"/>
  <c r="R112" i="29"/>
  <c r="V111" i="29"/>
  <c r="P187" i="29"/>
  <c r="P206" i="29"/>
  <c r="R84" i="29"/>
  <c r="V84" i="29" s="1"/>
  <c r="R22" i="29"/>
  <c r="Q174" i="29" l="1"/>
  <c r="Q175" i="29" s="1"/>
  <c r="Q176" i="29" s="1"/>
  <c r="Q177" i="29" s="1"/>
  <c r="Q178" i="29" s="1"/>
  <c r="Q179" i="29" s="1"/>
  <c r="Q182" i="29" s="1"/>
  <c r="Q229" i="29"/>
  <c r="R113" i="29"/>
  <c r="V112" i="29"/>
  <c r="P188" i="29"/>
  <c r="P207" i="29"/>
  <c r="R85" i="29"/>
  <c r="V85" i="29" s="1"/>
  <c r="R23" i="29"/>
  <c r="Q202" i="29" l="1"/>
  <c r="Q183" i="29"/>
  <c r="R114" i="29"/>
  <c r="V113" i="29"/>
  <c r="P189" i="29"/>
  <c r="P208" i="29"/>
  <c r="R86" i="29"/>
  <c r="V86" i="29" s="1"/>
  <c r="R24" i="29"/>
  <c r="Q184" i="29" l="1"/>
  <c r="Q203" i="29"/>
  <c r="R115" i="29"/>
  <c r="V114" i="29"/>
  <c r="P190" i="29"/>
  <c r="P209" i="29"/>
  <c r="R87" i="29"/>
  <c r="R25" i="29"/>
  <c r="Q204" i="29" l="1"/>
  <c r="Q185" i="29"/>
  <c r="R116" i="29"/>
  <c r="V115" i="29"/>
  <c r="P191" i="29"/>
  <c r="P210" i="29"/>
  <c r="V87" i="29"/>
  <c r="R92" i="29"/>
  <c r="V92" i="29" s="1"/>
  <c r="R26" i="29"/>
  <c r="Q186" i="29" l="1"/>
  <c r="Q205" i="29"/>
  <c r="R117" i="29"/>
  <c r="V116" i="29"/>
  <c r="P192" i="29"/>
  <c r="P211" i="29"/>
  <c r="R27" i="29"/>
  <c r="Q206" i="29" l="1"/>
  <c r="Q187" i="29"/>
  <c r="R118" i="29"/>
  <c r="V117" i="29"/>
  <c r="P193" i="29"/>
  <c r="P212" i="29"/>
  <c r="R28" i="29"/>
  <c r="Q188" i="29" l="1"/>
  <c r="Q207" i="29"/>
  <c r="R119" i="29"/>
  <c r="V118" i="29"/>
  <c r="P194" i="29"/>
  <c r="P213" i="29"/>
  <c r="Q189" i="29" l="1"/>
  <c r="Q208" i="29"/>
  <c r="R120" i="29"/>
  <c r="V119" i="29"/>
  <c r="P195" i="29"/>
  <c r="P214" i="29"/>
  <c r="Q190" i="29" l="1"/>
  <c r="Q209" i="29"/>
  <c r="V120" i="29"/>
  <c r="R121" i="29"/>
  <c r="P196" i="29"/>
  <c r="P215" i="29"/>
  <c r="Q191" i="29" l="1"/>
  <c r="Q210" i="29"/>
  <c r="R122" i="29"/>
  <c r="V121" i="29"/>
  <c r="P197" i="29"/>
  <c r="P216" i="29"/>
  <c r="Q192" i="29" l="1"/>
  <c r="Q211" i="29"/>
  <c r="V122" i="29"/>
  <c r="R123" i="29"/>
  <c r="P198" i="29"/>
  <c r="P217" i="29"/>
  <c r="Q212" i="29" l="1"/>
  <c r="Q193" i="29"/>
  <c r="V123" i="29"/>
  <c r="R124" i="29"/>
  <c r="P199" i="29"/>
  <c r="P218" i="29"/>
  <c r="Q194" i="29" l="1"/>
  <c r="Q213" i="29"/>
  <c r="V124" i="29"/>
  <c r="R125" i="29"/>
  <c r="P200" i="29"/>
  <c r="P219" i="29"/>
  <c r="Q195" i="29" l="1"/>
  <c r="Q214" i="29"/>
  <c r="V125" i="29"/>
  <c r="R126" i="29"/>
  <c r="P201" i="29"/>
  <c r="P221" i="29" s="1"/>
  <c r="P220" i="29"/>
  <c r="Q196" i="29" l="1"/>
  <c r="Q215" i="29"/>
  <c r="V126" i="29"/>
  <c r="R127" i="29"/>
  <c r="Q197" i="29" l="1"/>
  <c r="Q216" i="29"/>
  <c r="V127" i="29"/>
  <c r="R128" i="29"/>
  <c r="Q198" i="29" l="1"/>
  <c r="Q217" i="29"/>
  <c r="V128" i="29"/>
  <c r="R129" i="29"/>
  <c r="Q199" i="29" l="1"/>
  <c r="Q218" i="29"/>
  <c r="V129" i="29"/>
  <c r="R130" i="29"/>
  <c r="Q200" i="29" l="1"/>
  <c r="Q219" i="29"/>
  <c r="V130" i="29"/>
  <c r="R131" i="29"/>
  <c r="Q201" i="29" l="1"/>
  <c r="Q221" i="29" s="1"/>
  <c r="Q220" i="29"/>
  <c r="R132" i="29"/>
  <c r="V131" i="29"/>
  <c r="R133" i="29" l="1"/>
  <c r="V132" i="29"/>
  <c r="R134" i="29" l="1"/>
  <c r="V133" i="29"/>
  <c r="R135" i="29" l="1"/>
  <c r="V134" i="29"/>
  <c r="R136" i="29" l="1"/>
  <c r="V135" i="29"/>
  <c r="R137" i="29" l="1"/>
  <c r="V136" i="29"/>
  <c r="R138" i="29" l="1"/>
  <c r="V137" i="29"/>
  <c r="R139" i="29" l="1"/>
  <c r="V138" i="29"/>
  <c r="R140" i="29" l="1"/>
  <c r="V139" i="29"/>
  <c r="R141" i="29" l="1"/>
  <c r="V140" i="29"/>
  <c r="R142" i="29" l="1"/>
  <c r="V141" i="29"/>
  <c r="R143" i="29" l="1"/>
  <c r="V142" i="29"/>
  <c r="R144" i="29" l="1"/>
  <c r="V143" i="29"/>
  <c r="R145" i="29" l="1"/>
  <c r="V144" i="29"/>
  <c r="R146" i="29" l="1"/>
  <c r="V145" i="29"/>
  <c r="R147" i="29" l="1"/>
  <c r="V146" i="29"/>
  <c r="R148" i="29" l="1"/>
  <c r="V147" i="29"/>
  <c r="R149" i="29" l="1"/>
  <c r="V148" i="29"/>
  <c r="R150" i="29" l="1"/>
  <c r="V149" i="29"/>
  <c r="R151" i="29" l="1"/>
  <c r="V150" i="29"/>
  <c r="R152" i="29" l="1"/>
  <c r="V151" i="29"/>
  <c r="R153" i="29" l="1"/>
  <c r="V152" i="29"/>
  <c r="R154" i="29" l="1"/>
  <c r="V153" i="29"/>
  <c r="R155" i="29" l="1"/>
  <c r="V154" i="29"/>
  <c r="R156" i="29" l="1"/>
  <c r="V155" i="29"/>
  <c r="R157" i="29" l="1"/>
  <c r="V156" i="29"/>
  <c r="R158" i="29" l="1"/>
  <c r="V157" i="29"/>
  <c r="R159" i="29" l="1"/>
  <c r="V158" i="29"/>
  <c r="R160" i="29" l="1"/>
  <c r="V159" i="29"/>
  <c r="R161" i="29" l="1"/>
  <c r="V160" i="29"/>
  <c r="R162" i="29" l="1"/>
  <c r="V161" i="29"/>
  <c r="R163" i="29" l="1"/>
  <c r="V162" i="29"/>
  <c r="R164" i="29" l="1"/>
  <c r="V163" i="29"/>
  <c r="R165" i="29" l="1"/>
  <c r="V164" i="29"/>
  <c r="R166" i="29" l="1"/>
  <c r="V165" i="29"/>
  <c r="V166" i="29" l="1"/>
  <c r="R167" i="29"/>
  <c r="R168" i="29" l="1"/>
  <c r="V167" i="29"/>
  <c r="R169" i="29" l="1"/>
  <c r="V168" i="29"/>
  <c r="R170" i="29" l="1"/>
  <c r="V169" i="29"/>
  <c r="V170" i="29" l="1"/>
  <c r="R171" i="29"/>
  <c r="R172" i="29" l="1"/>
  <c r="V171" i="29"/>
  <c r="R173" i="29" l="1"/>
  <c r="V172" i="29"/>
  <c r="R174" i="29" l="1"/>
  <c r="V173" i="29"/>
  <c r="R175" i="29" l="1"/>
  <c r="V174" i="29"/>
  <c r="R176" i="29" l="1"/>
  <c r="V175" i="29"/>
  <c r="R177" i="29" l="1"/>
  <c r="V176" i="29"/>
  <c r="R178" i="29" l="1"/>
  <c r="V177" i="29"/>
  <c r="R179" i="29" l="1"/>
  <c r="R182" i="29" s="1"/>
  <c r="V178" i="29"/>
  <c r="V179" i="29" l="1"/>
  <c r="R183" i="29" l="1"/>
  <c r="V182" i="29"/>
  <c r="V202" i="29" s="1"/>
  <c r="R202" i="29"/>
  <c r="V183" i="29" l="1"/>
  <c r="V203" i="29" s="1"/>
  <c r="R203" i="29"/>
  <c r="R184" i="29"/>
  <c r="R185" i="29" l="1"/>
  <c r="R204" i="29"/>
  <c r="V184" i="29"/>
  <c r="V204" i="29" s="1"/>
  <c r="R205" i="29" l="1"/>
  <c r="R186" i="29"/>
  <c r="V185" i="29"/>
  <c r="V205" i="29" s="1"/>
  <c r="R187" i="29" l="1"/>
  <c r="V186" i="29"/>
  <c r="V206" i="29" s="1"/>
  <c r="R206" i="29"/>
  <c r="R188" i="29" l="1"/>
  <c r="R207" i="29"/>
  <c r="V187" i="29"/>
  <c r="V207" i="29" s="1"/>
  <c r="R189" i="29" l="1"/>
  <c r="R208" i="29"/>
  <c r="V188" i="29"/>
  <c r="V208" i="29" s="1"/>
  <c r="R190" i="29" l="1"/>
  <c r="V189" i="29"/>
  <c r="V209" i="29" s="1"/>
  <c r="R209" i="29"/>
  <c r="R191" i="29" l="1"/>
  <c r="V190" i="29"/>
  <c r="V210" i="29" s="1"/>
  <c r="R210" i="29"/>
  <c r="R192" i="29" l="1"/>
  <c r="R211" i="29"/>
  <c r="V191" i="29"/>
  <c r="V211" i="29" s="1"/>
  <c r="R193" i="29" l="1"/>
  <c r="V192" i="29"/>
  <c r="V212" i="29" s="1"/>
  <c r="R212" i="29"/>
  <c r="R194" i="29" l="1"/>
  <c r="R213" i="29"/>
  <c r="V193" i="29"/>
  <c r="V213" i="29" s="1"/>
  <c r="R195" i="29" l="1"/>
  <c r="R214" i="29"/>
  <c r="V194" i="29"/>
  <c r="V214" i="29" s="1"/>
  <c r="R196" i="29" l="1"/>
  <c r="R215" i="29"/>
  <c r="V195" i="29"/>
  <c r="V215" i="29" s="1"/>
  <c r="R197" i="29" l="1"/>
  <c r="V196" i="29"/>
  <c r="V216" i="29" s="1"/>
  <c r="R216" i="29"/>
  <c r="R198" i="29" l="1"/>
  <c r="R217" i="29"/>
  <c r="V197" i="29"/>
  <c r="V217" i="29" s="1"/>
  <c r="R199" i="29" l="1"/>
  <c r="V198" i="29"/>
  <c r="V218" i="29" s="1"/>
  <c r="R218" i="29"/>
  <c r="R200" i="29" l="1"/>
  <c r="R219" i="29"/>
  <c r="V199" i="29"/>
  <c r="V219" i="29" s="1"/>
  <c r="R201" i="29" l="1"/>
  <c r="R220" i="29"/>
  <c r="V200" i="29"/>
  <c r="V220" i="29" s="1"/>
  <c r="R221" i="29" l="1"/>
  <c r="V201" i="29"/>
  <c r="V221" i="29" s="1"/>
</calcChain>
</file>

<file path=xl/sharedStrings.xml><?xml version="1.0" encoding="utf-8"?>
<sst xmlns="http://schemas.openxmlformats.org/spreadsheetml/2006/main" count="1923" uniqueCount="688">
  <si>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</si>
  <si>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</si>
  <si>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</si>
  <si>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</si>
  <si>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</si>
  <si>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</si>
  <si>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</si>
  <si>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</si>
  <si>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</si>
  <si>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</si>
  <si>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</si>
  <si>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</si>
  <si>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</si>
  <si>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</si>
  <si>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</si>
  <si>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</si>
  <si>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</si>
  <si>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</si>
  <si>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</si>
  <si>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</si>
  <si>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</si>
  <si>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</si>
  <si>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</si>
  <si>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</si>
  <si>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</si>
  <si>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</si>
  <si>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</si>
  <si>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</si>
  <si>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</si>
  <si>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</si>
  <si>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</si>
  <si>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</si>
  <si>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</si>
  <si>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</si>
  <si>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</si>
  <si>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</si>
  <si>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</si>
  <si>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</si>
  <si>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</si>
  <si>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</si>
  <si>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</si>
  <si>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</si>
  <si>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</si>
  <si>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</si>
  <si>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</si>
  <si>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</si>
  <si>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</si>
  <si>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</si>
  <si>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</si>
  <si>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</si>
  <si>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</si>
  <si>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</si>
  <si>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</si>
  <si>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</si>
  <si>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</si>
  <si>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</si>
  <si>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</si>
  <si>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</si>
  <si>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</si>
  <si>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</si>
  <si>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</si>
  <si>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</si>
  <si>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</si>
  <si>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</si>
  <si>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</si>
  <si>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</si>
  <si>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</si>
  <si>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</si>
  <si>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</si>
  <si>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</si>
  <si>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</si>
  <si>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</si>
  <si>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</si>
  <si>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</si>
  <si>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</si>
  <si>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</si>
  <si>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</si>
  <si>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</si>
  <si>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</si>
  <si>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</si>
  <si>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</si>
  <si>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</si>
  <si>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</si>
  <si>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</si>
  <si>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</si>
  <si>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</si>
  <si>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</si>
  <si>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</si>
  <si>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</si>
  <si>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</si>
  <si>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</si>
  <si>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</si>
  <si>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</si>
  <si>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</si>
  <si>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</si>
  <si>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</si>
  <si>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</si>
  <si>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</si>
  <si>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</si>
  <si>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</si>
  <si>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</si>
  <si>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</si>
  <si>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</si>
  <si>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</si>
  <si>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</si>
  <si>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</si>
  <si>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</si>
  <si>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</si>
  <si>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</si>
  <si>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</si>
  <si>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</si>
  <si>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</si>
  <si>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</si>
  <si>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</si>
  <si>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</si>
  <si>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</si>
  <si>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</si>
  <si>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</si>
  <si>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</si>
  <si>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</si>
  <si>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</si>
  <si>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</si>
  <si>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</si>
  <si>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</si>
  <si>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</si>
  <si>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</si>
  <si>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</si>
  <si>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</si>
  <si>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</si>
  <si>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</si>
  <si>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</si>
  <si>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</si>
  <si>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</si>
  <si>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</si>
  <si>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</si>
  <si>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</si>
  <si>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</si>
  <si>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</si>
  <si>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</si>
  <si>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</si>
  <si>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</si>
  <si>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</si>
  <si>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</si>
  <si>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</si>
  <si>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</si>
  <si>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</si>
  <si>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</si>
  <si>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</si>
  <si>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</si>
  <si>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</si>
  <si>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</si>
  <si>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</si>
  <si>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</si>
  <si>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</si>
  <si>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</si>
  <si>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</si>
  <si>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</si>
  <si>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</si>
  <si>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</si>
  <si>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</si>
  <si>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</si>
  <si>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</si>
  <si>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</si>
  <si>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</si>
  <si>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</si>
  <si>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</si>
  <si>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</si>
  <si>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</si>
  <si>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</si>
  <si>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</si>
  <si>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</si>
  <si>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</si>
  <si>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</si>
  <si>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</si>
  <si>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</si>
  <si>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</si>
  <si>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</si>
  <si>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</si>
  <si>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</si>
  <si>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</si>
  <si>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</si>
  <si>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</si>
  <si>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</si>
  <si>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</si>
  <si>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</si>
  <si>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</si>
  <si>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</si>
  <si>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</si>
  <si>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</si>
  <si>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</si>
  <si>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</si>
  <si>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</si>
  <si>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</si>
  <si>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</si>
  <si>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</si>
  <si>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</si>
  <si>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</si>
  <si>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</si>
  <si>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</si>
  <si>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</si>
  <si>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</si>
  <si>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</si>
  <si>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</si>
  <si>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</si>
  <si>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</si>
  <si>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</si>
  <si>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</si>
  <si>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</si>
  <si>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</si>
  <si>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</si>
  <si>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</si>
  <si>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</si>
  <si>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</si>
  <si>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</si>
  <si>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</si>
  <si>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</si>
  <si>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</si>
  <si>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</si>
  <si>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</si>
  <si>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</si>
  <si>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</si>
  <si>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</si>
  <si>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</si>
  <si>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10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</si>
  <si>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</si>
  <si>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</si>
  <si>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</si>
  <si>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</si>
  <si>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10" type="noConversion"/>
  </si>
  <si>
    <t>黄阶功法怪</t>
  </si>
  <si>
    <t>玄阶功法怪</t>
    <phoneticPr fontId="10" type="noConversion"/>
  </si>
  <si>
    <t>地阶功法怪</t>
    <phoneticPr fontId="10" type="noConversion"/>
  </si>
  <si>
    <t>天阶功法怪</t>
    <phoneticPr fontId="10" type="noConversion"/>
  </si>
  <si>
    <t>nwrg</t>
    <phoneticPr fontId="10" type="noConversion"/>
  </si>
  <si>
    <t>nsgg</t>
    <phoneticPr fontId="10" type="noConversion"/>
  </si>
  <si>
    <t>narg</t>
    <phoneticPr fontId="10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</si>
  <si>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</si>
  <si>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</si>
  <si>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</si>
  <si>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</si>
  <si>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</si>
  <si>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</si>
  <si>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</si>
  <si>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</si>
  <si>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</si>
  <si>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</si>
  <si>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</si>
  <si>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</si>
  <si>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</si>
  <si>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</si>
  <si>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</si>
  <si>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</si>
  <si>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</si>
  <si>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</si>
  <si>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</si>
  <si>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</si>
  <si>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</si>
  <si>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</si>
  <si>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</si>
  <si>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</si>
  <si>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</si>
  <si>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</si>
  <si>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</si>
  <si>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</si>
  <si>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</si>
  <si>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</si>
  <si>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</si>
  <si>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</si>
  <si>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</si>
  <si>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</si>
  <si>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</si>
  <si>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</si>
  <si>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</si>
  <si>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</si>
  <si>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</si>
  <si>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</si>
  <si>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</si>
  <si>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</si>
  <si>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</si>
  <si>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</si>
  <si>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</si>
  <si>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</si>
  <si>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</si>
  <si>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</si>
  <si>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</si>
  <si>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</si>
  <si>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</si>
  <si>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</si>
  <si>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</si>
  <si>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</si>
  <si>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</si>
  <si>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</si>
  <si>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</si>
  <si>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</si>
  <si>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</si>
  <si>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</si>
  <si>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</si>
  <si>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</si>
  <si>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10" type="noConversion"/>
  </si>
  <si>
    <t>opeo</t>
    <phoneticPr fontId="10" type="noConversion"/>
  </si>
  <si>
    <t>兽族步兵</t>
    <phoneticPr fontId="10" type="noConversion"/>
  </si>
  <si>
    <t>orai</t>
    <phoneticPr fontId="10" type="noConversion"/>
  </si>
  <si>
    <t>掠夺者</t>
    <phoneticPr fontId="10" type="noConversion"/>
  </si>
  <si>
    <t>ushd</t>
    <phoneticPr fontId="10" type="noConversion"/>
  </si>
  <si>
    <t>阴影</t>
    <phoneticPr fontId="10" type="noConversion"/>
  </si>
  <si>
    <t>食尸鬼</t>
    <phoneticPr fontId="10" type="noConversion"/>
  </si>
  <si>
    <t>ugho</t>
    <phoneticPr fontId="10" type="noConversion"/>
  </si>
  <si>
    <t>ucry</t>
    <phoneticPr fontId="10" type="noConversion"/>
  </si>
  <si>
    <t>穴居恶魔</t>
    <phoneticPr fontId="10" type="noConversion"/>
  </si>
  <si>
    <t>石像鬼</t>
    <phoneticPr fontId="10" type="noConversion"/>
  </si>
  <si>
    <t>ugar</t>
    <phoneticPr fontId="10" type="noConversion"/>
  </si>
  <si>
    <t>女妖</t>
    <phoneticPr fontId="10" type="noConversion"/>
  </si>
  <si>
    <t>uban</t>
    <phoneticPr fontId="10" type="noConversion"/>
  </si>
  <si>
    <t>ufro</t>
    <phoneticPr fontId="10" type="noConversion"/>
  </si>
  <si>
    <t>冰霜巨龙</t>
    <phoneticPr fontId="10" type="noConversion"/>
  </si>
  <si>
    <t>奇美拉</t>
    <phoneticPr fontId="10" type="noConversion"/>
  </si>
  <si>
    <t>echm</t>
    <phoneticPr fontId="10" type="noConversion"/>
  </si>
  <si>
    <t>emtg</t>
    <phoneticPr fontId="10" type="noConversion"/>
  </si>
  <si>
    <t>山岭巨人</t>
    <phoneticPr fontId="10" type="noConversion"/>
  </si>
  <si>
    <t>基尔加丹</t>
    <phoneticPr fontId="10" type="noConversion"/>
  </si>
  <si>
    <t>JD-GTJG1.mdx</t>
    <phoneticPr fontId="10" type="noConversion"/>
  </si>
  <si>
    <t>一棒男</t>
    <phoneticPr fontId="10" type="noConversion"/>
  </si>
  <si>
    <t>[AHS]firespiderpurple.mdx</t>
  </si>
  <si>
    <t>Griever.mdx</t>
    <phoneticPr fontId="10" type="noConversion"/>
  </si>
  <si>
    <t>uWOWkeersujiade.mdx</t>
  </si>
  <si>
    <t>克尔苏加德</t>
    <phoneticPr fontId="10" type="noConversion"/>
  </si>
  <si>
    <t>MirrorZI_xukongnuoya.mdx</t>
    <phoneticPr fontId="10" type="noConversion"/>
  </si>
  <si>
    <t>戴瑟提克</t>
    <phoneticPr fontId="10" type="noConversion"/>
  </si>
  <si>
    <t>格里弗</t>
    <phoneticPr fontId="10" type="noConversion"/>
  </si>
  <si>
    <t>虚空诺亚</t>
    <phoneticPr fontId="10" type="noConversion"/>
  </si>
  <si>
    <t>熔炼石boss1</t>
    <phoneticPr fontId="10" type="noConversion"/>
  </si>
  <si>
    <t>熔炼石boss2</t>
    <phoneticPr fontId="10" type="noConversion"/>
  </si>
  <si>
    <t>熔炼石boss3</t>
    <phoneticPr fontId="10" type="noConversion"/>
  </si>
  <si>
    <t>熔炼石boss4</t>
    <phoneticPr fontId="10" type="noConversion"/>
  </si>
  <si>
    <t>u089</t>
  </si>
  <si>
    <t>u090</t>
  </si>
  <si>
    <t>u091</t>
  </si>
  <si>
    <t>sageras  0.mdx</t>
  </si>
  <si>
    <t>sageras  0.mdx</t>
    <phoneticPr fontId="10" type="noConversion"/>
  </si>
  <si>
    <t>u092</t>
  </si>
  <si>
    <t>Nkjx</t>
    <phoneticPr fontId="10" type="noConversion"/>
  </si>
  <si>
    <t>ogru</t>
    <phoneticPr fontId="10" type="noConversion"/>
  </si>
  <si>
    <t>npfl</t>
    <phoneticPr fontId="10" type="noConversion"/>
  </si>
  <si>
    <t>心魔BOSS15</t>
  </si>
  <si>
    <t>心魔BOSS15</t>
    <phoneticPr fontId="10" type="noConversion"/>
  </si>
  <si>
    <t>u093</t>
  </si>
  <si>
    <t>狗熊</t>
  </si>
  <si>
    <t>u094</t>
  </si>
  <si>
    <t>edcm</t>
    <phoneticPr fontId="10" type="noConversion"/>
  </si>
  <si>
    <t>狗熊</t>
    <phoneticPr fontId="10" type="noConversion"/>
  </si>
  <si>
    <t>分类</t>
    <phoneticPr fontId="10" type="noConversion"/>
  </si>
  <si>
    <t>召唤物</t>
    <phoneticPr fontId="10" type="noConversion"/>
  </si>
  <si>
    <t>category</t>
    <phoneticPr fontId="10" type="noConversion"/>
  </si>
  <si>
    <t>unit_type</t>
    <phoneticPr fontId="10" type="noConversion"/>
  </si>
  <si>
    <t>存档物品掉落率</t>
    <phoneticPr fontId="10" type="noConversion"/>
  </si>
  <si>
    <t>fall_save_rate</t>
    <phoneticPr fontId="10" type="noConversion"/>
  </si>
  <si>
    <t>Npbm</t>
    <phoneticPr fontId="10" type="noConversion"/>
  </si>
  <si>
    <t>DruidBear.mdx</t>
    <phoneticPr fontId="10" type="noConversion"/>
  </si>
  <si>
    <t>Lightforged Pylon Yellow.mdx</t>
    <phoneticPr fontId="10" type="noConversion"/>
  </si>
  <si>
    <t>rec_ex</t>
    <phoneticPr fontId="10" type="noConversion"/>
  </si>
  <si>
    <t>藏宝阁小弟</t>
    <phoneticPr fontId="10" type="noConversion"/>
  </si>
  <si>
    <t>藏宝阁阁主</t>
    <phoneticPr fontId="10" type="noConversion"/>
  </si>
  <si>
    <t>u095</t>
  </si>
  <si>
    <t>u096</t>
  </si>
  <si>
    <t>TreasureGuardian.MDX</t>
    <phoneticPr fontId="10" type="noConversion"/>
  </si>
  <si>
    <t>Taric.mdx</t>
    <phoneticPr fontId="10" type="noConversion"/>
  </si>
  <si>
    <t>藏经阁小弟</t>
    <phoneticPr fontId="10" type="noConversion"/>
  </si>
  <si>
    <t>藏经阁少阁主</t>
    <phoneticPr fontId="10" type="noConversion"/>
  </si>
  <si>
    <t>u097</t>
  </si>
  <si>
    <t>u098</t>
  </si>
  <si>
    <t>剑冢小弟</t>
    <phoneticPr fontId="10" type="noConversion"/>
  </si>
  <si>
    <t>u099</t>
  </si>
  <si>
    <t>u100</t>
  </si>
  <si>
    <t>QJS.mdx</t>
    <phoneticPr fontId="10" type="noConversion"/>
  </si>
  <si>
    <t>jianxian.mdx</t>
    <phoneticPr fontId="10" type="noConversion"/>
  </si>
  <si>
    <t>heshang.MDX</t>
    <phoneticPr fontId="10" type="noConversion"/>
  </si>
  <si>
    <t>shaolinyingxiong1.mdx</t>
    <phoneticPr fontId="10" type="noConversion"/>
  </si>
  <si>
    <t>百花宫宫女</t>
    <phoneticPr fontId="10" type="noConversion"/>
  </si>
  <si>
    <t>苏若颜</t>
    <phoneticPr fontId="10" type="noConversion"/>
  </si>
  <si>
    <t>u101</t>
  </si>
  <si>
    <t>u102</t>
  </si>
  <si>
    <t>asuna.mdx</t>
    <phoneticPr fontId="10" type="noConversion"/>
  </si>
  <si>
    <t>xts.mdx</t>
    <phoneticPr fontId="10" type="noConversion"/>
  </si>
  <si>
    <t>龙宫守卫</t>
    <phoneticPr fontId="10" type="noConversion"/>
  </si>
  <si>
    <t>哪吒</t>
    <phoneticPr fontId="10" type="noConversion"/>
  </si>
  <si>
    <t>u103</t>
  </si>
  <si>
    <t>u104</t>
  </si>
  <si>
    <t>Units\Creeps\Lobstrokkgreen\Lobstrokkgreen.mdl</t>
    <phoneticPr fontId="10" type="noConversion"/>
  </si>
  <si>
    <t>nezhab.mdx</t>
    <phoneticPr fontId="10" type="noConversion"/>
  </si>
  <si>
    <t>城堡守卫</t>
    <phoneticPr fontId="10" type="noConversion"/>
  </si>
  <si>
    <t>牛头马面</t>
    <phoneticPr fontId="10" type="noConversion"/>
  </si>
  <si>
    <t>u105</t>
  </si>
  <si>
    <t>u106</t>
  </si>
  <si>
    <t>Units\Creeps\MagnataurBlue\MagnataurBlue.mdl</t>
    <phoneticPr fontId="10" type="noConversion"/>
  </si>
  <si>
    <t>HeroKeeperoftheGroveGhost.mdx</t>
  </si>
  <si>
    <t>HeroKeeperoftheGroveGhost.mdx</t>
    <phoneticPr fontId="10" type="noConversion"/>
  </si>
  <si>
    <t>剑魔</t>
    <phoneticPr fontId="10" type="noConversion"/>
  </si>
  <si>
    <t>魔胎</t>
  </si>
  <si>
    <t>半魔</t>
  </si>
  <si>
    <t>原魔</t>
  </si>
  <si>
    <t>真魔</t>
  </si>
  <si>
    <t>天魔</t>
  </si>
  <si>
    <t>魔主</t>
  </si>
  <si>
    <t>魔君</t>
  </si>
  <si>
    <t>魔尊</t>
  </si>
  <si>
    <t>魔王</t>
  </si>
  <si>
    <t>魔帝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</si>
  <si>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</si>
  <si>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</si>
  <si>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</si>
  <si>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</si>
  <si>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</si>
  <si>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</si>
  <si>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</si>
  <si>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</si>
  <si>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</si>
  <si>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</si>
  <si>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888666 (5).mdx</t>
  </si>
  <si>
    <t>JD-GTJG1.mdx</t>
  </si>
  <si>
    <t>DarkWarlock.mdx</t>
  </si>
  <si>
    <t>B--GuaiWu003.mdx</t>
  </si>
  <si>
    <t>888666 (7).mdx</t>
  </si>
  <si>
    <t>888666 (6).mdx</t>
  </si>
  <si>
    <t>FireTempleKeeperElemental.mdx</t>
  </si>
  <si>
    <t>gw32.mdx</t>
  </si>
  <si>
    <t>Mr.War3_KLW1.mdx</t>
  </si>
  <si>
    <t>二郎</t>
  </si>
  <si>
    <t>判官</t>
  </si>
  <si>
    <t>rongyanxieziqing.mdx</t>
  </si>
  <si>
    <t>rongyanxiezihuang.mdx</t>
  </si>
  <si>
    <t>NPC_yanluowang.mdx</t>
  </si>
  <si>
    <t>%1D%1C%1F%1F%1F%1D.mdx</t>
  </si>
  <si>
    <t>hero_hs01.mdx</t>
  </si>
  <si>
    <t>%1C%1C%1F%1D%1F%1F.mdx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</si>
  <si>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</si>
  <si>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</si>
  <si>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</si>
  <si>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</si>
  <si>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</si>
  <si>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</si>
  <si>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</si>
  <si>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</si>
  <si>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</si>
  <si>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</si>
  <si>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Units\Creeps\ArchnathidGreen\ArchnathidGreen.mdl</t>
  </si>
  <si>
    <t>Units\Creeps\Archnathidpurple\Archnathidpurple.mdl</t>
  </si>
  <si>
    <t>units\creeps\VoidWalker\VoidWalker.mdl</t>
  </si>
  <si>
    <t>units\creeps\CentaurKhan\CentaurKhan.mdl</t>
  </si>
  <si>
    <t>units\undead\Shade\Shade.mdl</t>
  </si>
  <si>
    <t>units\creeps\Furbolg\Furbolg.mdl</t>
  </si>
  <si>
    <t>units\creeps\HarpyQueen\HarpyQueen.mdl</t>
  </si>
  <si>
    <t>units\demon\Demoness\Demoness.mdl</t>
  </si>
  <si>
    <t>units\demon\EredarWarlock\EredarWarlock.mdl</t>
  </si>
  <si>
    <t>二郎侍卫1</t>
    <phoneticPr fontId="10" type="noConversion"/>
  </si>
  <si>
    <t>二郎侍卫2</t>
  </si>
  <si>
    <t>二郎侍卫3</t>
  </si>
  <si>
    <t>二郎侍卫4</t>
  </si>
  <si>
    <t>七郎</t>
    <phoneticPr fontId="10" type="noConversion"/>
  </si>
  <si>
    <t>七郎侍卫1</t>
    <phoneticPr fontId="10" type="noConversion"/>
  </si>
  <si>
    <t>七郎侍卫2</t>
    <phoneticPr fontId="10" type="noConversion"/>
  </si>
  <si>
    <t>七郎侍卫3</t>
    <phoneticPr fontId="10" type="noConversion"/>
  </si>
  <si>
    <t>七郎侍卫4</t>
    <phoneticPr fontId="10" type="noConversion"/>
  </si>
  <si>
    <t>判官侍卫1</t>
    <phoneticPr fontId="10" type="noConversion"/>
  </si>
  <si>
    <t>判官侍卫2</t>
    <phoneticPr fontId="10" type="noConversion"/>
  </si>
  <si>
    <t>判官侍卫3</t>
    <phoneticPr fontId="10" type="noConversion"/>
  </si>
  <si>
    <t>判官侍卫4</t>
    <phoneticPr fontId="10" type="noConversion"/>
  </si>
  <si>
    <t>马面</t>
    <phoneticPr fontId="10" type="noConversion"/>
  </si>
  <si>
    <t>马面侍卫1</t>
    <phoneticPr fontId="10" type="noConversion"/>
  </si>
  <si>
    <t>马面侍卫2</t>
    <phoneticPr fontId="10" type="noConversion"/>
  </si>
  <si>
    <t>马面侍卫3</t>
    <phoneticPr fontId="10" type="noConversion"/>
  </si>
  <si>
    <t>马面侍卫4</t>
    <phoneticPr fontId="10" type="noConversion"/>
  </si>
  <si>
    <t>牛头</t>
    <phoneticPr fontId="10" type="noConversion"/>
  </si>
  <si>
    <t>牛头侍卫1</t>
    <phoneticPr fontId="10" type="noConversion"/>
  </si>
  <si>
    <t>牛头侍卫2</t>
    <phoneticPr fontId="10" type="noConversion"/>
  </si>
  <si>
    <t>牛头侍卫3</t>
    <phoneticPr fontId="10" type="noConversion"/>
  </si>
  <si>
    <t>牛头侍卫4</t>
    <phoneticPr fontId="10" type="noConversion"/>
  </si>
  <si>
    <t>夜叉</t>
    <phoneticPr fontId="10" type="noConversion"/>
  </si>
  <si>
    <t>夜叉侍卫1</t>
    <phoneticPr fontId="10" type="noConversion"/>
  </si>
  <si>
    <t>夜叉侍卫2</t>
    <phoneticPr fontId="10" type="noConversion"/>
  </si>
  <si>
    <t>夜叉侍卫3</t>
    <phoneticPr fontId="10" type="noConversion"/>
  </si>
  <si>
    <t>夜叉侍卫4</t>
    <phoneticPr fontId="10" type="noConversion"/>
  </si>
  <si>
    <t>辟邪</t>
    <phoneticPr fontId="10" type="noConversion"/>
  </si>
  <si>
    <t>辟邪侍卫1</t>
    <phoneticPr fontId="10" type="noConversion"/>
  </si>
  <si>
    <t>辟邪侍卫2</t>
    <phoneticPr fontId="10" type="noConversion"/>
  </si>
  <si>
    <t>辟邪侍卫3</t>
    <phoneticPr fontId="10" type="noConversion"/>
  </si>
  <si>
    <t>辟邪侍卫4</t>
    <phoneticPr fontId="10" type="noConversion"/>
  </si>
  <si>
    <t>狐仙</t>
    <phoneticPr fontId="10" type="noConversion"/>
  </si>
  <si>
    <t>狐仙侍卫1</t>
    <phoneticPr fontId="10" type="noConversion"/>
  </si>
  <si>
    <t>狐仙侍卫2</t>
    <phoneticPr fontId="10" type="noConversion"/>
  </si>
  <si>
    <t>狐仙侍卫3</t>
    <phoneticPr fontId="10" type="noConversion"/>
  </si>
  <si>
    <t>狐仙侍卫4</t>
    <phoneticPr fontId="10" type="noConversion"/>
  </si>
  <si>
    <t>龙女</t>
    <phoneticPr fontId="10" type="noConversion"/>
  </si>
  <si>
    <t>龙女侍卫1</t>
    <phoneticPr fontId="10" type="noConversion"/>
  </si>
  <si>
    <t>龙女侍卫2</t>
    <phoneticPr fontId="10" type="noConversion"/>
  </si>
  <si>
    <t>龙女侍卫3</t>
    <phoneticPr fontId="10" type="noConversion"/>
  </si>
  <si>
    <t>龙女侍卫4</t>
    <phoneticPr fontId="10" type="noConversion"/>
  </si>
  <si>
    <t>刑天</t>
    <phoneticPr fontId="10" type="noConversion"/>
  </si>
  <si>
    <t>刑天侍卫1</t>
    <phoneticPr fontId="10" type="noConversion"/>
  </si>
  <si>
    <t>刑天侍卫2</t>
    <phoneticPr fontId="10" type="noConversion"/>
  </si>
  <si>
    <t>刑天侍卫3</t>
    <phoneticPr fontId="10" type="noConversion"/>
  </si>
  <si>
    <t>刑天侍卫4</t>
    <phoneticPr fontId="10" type="noConversion"/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</si>
  <si>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</si>
  <si>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</si>
  <si>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</si>
  <si>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</si>
  <si>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</si>
  <si>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</si>
  <si>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</si>
  <si>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</si>
  <si>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</si>
  <si>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</si>
  <si>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</si>
  <si>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</si>
  <si>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</si>
  <si>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</si>
  <si>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</si>
  <si>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</si>
  <si>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</si>
  <si>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</si>
  <si>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</si>
  <si>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</si>
  <si>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</si>
  <si>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</si>
  <si>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</si>
  <si>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</si>
  <si>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</si>
  <si>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</si>
  <si>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</si>
  <si>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</si>
  <si>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</si>
  <si>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</si>
  <si>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</si>
  <si>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</si>
  <si>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</si>
  <si>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</si>
  <si>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</si>
  <si>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</si>
  <si>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</si>
  <si>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</si>
  <si>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</si>
  <si>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</si>
  <si>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火炎之力</t>
  </si>
  <si>
    <t>水寒之力</t>
  </si>
  <si>
    <t>暴风之力</t>
  </si>
  <si>
    <t>天雷之力</t>
  </si>
  <si>
    <t>生命之力</t>
  </si>
  <si>
    <t>死亡之力</t>
  </si>
  <si>
    <t>光明之力</t>
  </si>
  <si>
    <t>黑暗之力</t>
  </si>
  <si>
    <t>时间之力</t>
  </si>
  <si>
    <t>空间之力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</si>
  <si>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</si>
  <si>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</si>
  <si>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</si>
  <si>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</si>
  <si>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</si>
  <si>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</si>
  <si>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</si>
  <si>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</si>
  <si>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</si>
  <si>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</si>
  <si>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Beth`tilac.mdx</t>
  </si>
  <si>
    <t>Neptulon.mdx</t>
  </si>
  <si>
    <t>Alisrazor.mdx</t>
  </si>
  <si>
    <t>Altarii.mdx</t>
  </si>
  <si>
    <t>crystaldragon.mdx</t>
  </si>
  <si>
    <t>DracoLich_High.mdx</t>
  </si>
  <si>
    <t>boneguardred.mdx</t>
  </si>
  <si>
    <t>dlts4.mdx</t>
  </si>
  <si>
    <t>韧性</t>
    <phoneticPr fontId="10" type="noConversion"/>
  </si>
  <si>
    <t>Objects\InventoryItems\Shimmerweed\Shimmerweed.mdl</t>
  </si>
  <si>
    <t>u177</t>
  </si>
  <si>
    <t>三眼灵猴</t>
    <phoneticPr fontId="10" type="noConversion"/>
  </si>
  <si>
    <t>一颗神奇的种子</t>
    <phoneticPr fontId="10" type="noConversion"/>
  </si>
  <si>
    <t>变异狗熊</t>
    <phoneticPr fontId="10" type="noConversion"/>
  </si>
  <si>
    <t>u178</t>
  </si>
  <si>
    <t>hlOK41.mdx</t>
    <phoneticPr fontId="10" type="noConversion"/>
  </si>
  <si>
    <t>ShadowElemental.mdx</t>
    <phoneticPr fontId="10" type="noConversion"/>
  </si>
  <si>
    <t>JD-_046b_D.mdx</t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</si>
  <si>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</si>
  <si>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</si>
  <si>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</si>
  <si>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</si>
  <si>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</si>
  <si>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</si>
  <si>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</si>
  <si>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</si>
  <si>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</si>
  <si>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</si>
  <si>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</si>
  <si>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</si>
  <si>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</si>
  <si>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</si>
  <si>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</si>
  <si>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</si>
  <si>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</si>
  <si>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</si>
  <si>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</si>
  <si>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</si>
  <si>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</si>
  <si>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</si>
  <si>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</si>
  <si>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</si>
  <si>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</si>
  <si>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</si>
  <si>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</si>
  <si>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</si>
  <si>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</si>
  <si>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</si>
  <si>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</si>
  <si>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</si>
  <si>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</si>
  <si>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</si>
  <si>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</si>
  <si>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</si>
  <si>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</si>
  <si>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</si>
  <si>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</si>
  <si>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</si>
  <si>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qtds.mdx</t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</si>
  <si>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</si>
  <si>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</si>
  <si>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</si>
  <si>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</si>
  <si>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</si>
  <si>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</si>
  <si>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</si>
  <si>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</si>
  <si>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</si>
  <si>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</si>
  <si>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</si>
  <si>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</si>
  <si>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</si>
  <si>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</si>
  <si>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</si>
  <si>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</si>
  <si>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</si>
  <si>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</si>
  <si>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</si>
  <si>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</si>
  <si>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</si>
  <si>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</si>
  <si>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</si>
  <si>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</si>
  <si>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</si>
  <si>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</si>
  <si>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</si>
  <si>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</si>
  <si>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</si>
  <si>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</si>
  <si>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</si>
  <si>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</si>
  <si>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</si>
  <si>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</si>
  <si>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</si>
  <si>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</si>
  <si>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</si>
  <si>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</si>
  <si>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</si>
  <si>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</si>
  <si>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SUK (2).mdx</t>
  </si>
  <si>
    <t>qtds1.mdx</t>
    <phoneticPr fontId="10" type="noConversion"/>
  </si>
  <si>
    <t>绝世魔剑</t>
  </si>
  <si>
    <t>u219</t>
  </si>
  <si>
    <t>魔剑</t>
    <phoneticPr fontId="10" type="noConversion"/>
  </si>
  <si>
    <t>NEW156 (1).mdx</t>
  </si>
  <si>
    <t>u220</t>
  </si>
  <si>
    <t>召唤物</t>
  </si>
  <si>
    <t>爱国者导弹</t>
    <phoneticPr fontId="10" type="noConversion"/>
  </si>
  <si>
    <t>u221</t>
  </si>
  <si>
    <t>rng (2).MDX</t>
    <phoneticPr fontId="10" type="noConversion"/>
  </si>
  <si>
    <t>hrif</t>
    <phoneticPr fontId="10" type="noConversion"/>
  </si>
  <si>
    <t>u222</t>
  </si>
  <si>
    <t>u223</t>
  </si>
  <si>
    <t>u224</t>
  </si>
  <si>
    <t>u225</t>
  </si>
  <si>
    <t>u226</t>
  </si>
  <si>
    <t>熔炼石侍卫1</t>
    <phoneticPr fontId="10" type="noConversion"/>
  </si>
  <si>
    <t>熔炼石侍卫2</t>
    <phoneticPr fontId="10" type="noConversion"/>
  </si>
  <si>
    <t>熔炼石侍卫3</t>
    <phoneticPr fontId="10" type="noConversion"/>
  </si>
  <si>
    <t>熔炼石侍卫4</t>
    <phoneticPr fontId="10" type="noConversion"/>
  </si>
  <si>
    <t>五号熔炼石BOSS</t>
    <phoneticPr fontId="10" type="noConversion"/>
  </si>
  <si>
    <t>Hero_Tusk_N2.mdx</t>
    <phoneticPr fontId="10" type="noConversion"/>
  </si>
  <si>
    <t>u227</t>
  </si>
  <si>
    <t>huolinger.mdx</t>
    <phoneticPr fontId="10" type="noConversion"/>
  </si>
  <si>
    <t>风骚</t>
    <phoneticPr fontId="10" type="noConversion"/>
  </si>
  <si>
    <t>u228</t>
  </si>
  <si>
    <t>爱我你就爆了我6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</si>
</sst>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3" fillId="0" borderId="0" xfId="0" applyNumberFormat="1" applyFon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80" fontId="8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7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0" xfId="0" quotePrefix="1" applyFont="1"/>
    <xf numFmtId="0" fontId="6" fillId="0" borderId="0" xfId="0" quotePrefix="1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3" fillId="0" borderId="0" xfId="0" applyFont="1"/>
    <xf numFmtId="0" fontId="1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178" fontId="14" fillId="0" borderId="0" xfId="0" applyNumberFormat="1" applyFont="1" applyFill="1" applyBorder="1" applyAlignment="1" applyProtection="1">
      <alignment horizontal="center" vertical="center"/>
    </xf>
    <xf numFmtId="179" fontId="14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179" fontId="1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14" fillId="0" borderId="0" xfId="0" applyNumberFormat="1" applyFont="1" applyFill="1" applyBorder="1" applyAlignment="1" applyProtection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76" fontId="0" fillId="0" borderId="0" xfId="0" applyNumberFormat="1"/>
    <xf numFmtId="0" fontId="1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vertical="center"/>
    </xf>
    <xf numFmtId="49" fontId="14" fillId="0" borderId="0" xfId="0" applyNumberFormat="1" applyFont="1" applyFill="1" applyBorder="1" applyAlignment="1" applyProtection="1">
      <alignment horizont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231"/>
  <sheetViews>
    <sheetView workbookViewId="0">
      <pane xSplit="1" ySplit="3" topLeftCell="B214" activePane="bottomRight" state="frozen"/>
      <selection pane="topRight"/>
      <selection pane="bottomLeft"/>
      <selection pane="bottomRight" activeCell="J233" sqref="J233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661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37</v>
      </c>
      <c r="B9" s="13" t="s">
        <v>38</v>
      </c>
      <c r="C9" s="35" t="s">
        <v>29</v>
      </c>
      <c r="D9" s="3" t="s">
        <v>39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40</v>
      </c>
      <c r="B10" s="13" t="s">
        <v>41</v>
      </c>
      <c r="C10" s="35" t="s">
        <v>29</v>
      </c>
      <c r="D10" s="3" t="s">
        <v>42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43</v>
      </c>
      <c r="B11" s="13" t="s">
        <v>44</v>
      </c>
      <c r="C11" s="35" t="s">
        <v>356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45</v>
      </c>
      <c r="B12" s="13" t="s">
        <v>46</v>
      </c>
      <c r="C12" s="35" t="s">
        <v>29</v>
      </c>
      <c r="D12" s="3" t="s">
        <v>47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48</v>
      </c>
      <c r="B13" s="13" t="s">
        <v>49</v>
      </c>
      <c r="C13" s="35" t="s">
        <v>313</v>
      </c>
      <c r="D13" s="3" t="s">
        <v>50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51</v>
      </c>
      <c r="B14" s="13" t="s">
        <v>52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53</v>
      </c>
      <c r="B15" s="13" t="s">
        <v>54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55</v>
      </c>
      <c r="B16" s="13" t="s">
        <v>56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57</v>
      </c>
      <c r="B17" s="13" t="s">
        <v>58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59</v>
      </c>
      <c r="B18" s="13" t="s">
        <v>60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61</v>
      </c>
      <c r="B19" s="13" t="s">
        <v>62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63</v>
      </c>
      <c r="B20" s="13" t="s">
        <v>64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65</v>
      </c>
      <c r="B21" s="13" t="s">
        <v>66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67</v>
      </c>
      <c r="B22" s="13" t="s">
        <v>68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69</v>
      </c>
      <c r="B23" s="13" t="s">
        <v>70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71</v>
      </c>
      <c r="B24" s="13" t="s">
        <v>72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73</v>
      </c>
      <c r="B25" s="13" t="s">
        <v>74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75</v>
      </c>
      <c r="B26" s="13" t="s">
        <v>76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77</v>
      </c>
      <c r="B27" s="13" t="s">
        <v>78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343</v>
      </c>
      <c r="B28" s="13" t="s">
        <v>80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79</v>
      </c>
      <c r="B29" s="13" t="s">
        <v>82</v>
      </c>
      <c r="C29" s="35" t="s">
        <v>29</v>
      </c>
      <c r="D29" s="3" t="s">
        <v>661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81</v>
      </c>
      <c r="B30" s="13" t="s">
        <v>84</v>
      </c>
      <c r="C30" s="35" t="s">
        <v>29</v>
      </c>
      <c r="D30" s="3" t="s">
        <v>661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83</v>
      </c>
      <c r="B31" s="13" t="s">
        <v>86</v>
      </c>
      <c r="C31" s="35" t="s">
        <v>29</v>
      </c>
      <c r="D31" s="3" t="s">
        <v>661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85</v>
      </c>
      <c r="B32" s="13" t="s">
        <v>88</v>
      </c>
      <c r="C32" s="35" t="s">
        <v>29</v>
      </c>
      <c r="D32" s="3" t="s">
        <v>661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87</v>
      </c>
      <c r="B33" s="13" t="s">
        <v>90</v>
      </c>
      <c r="C33" s="35" t="s">
        <v>29</v>
      </c>
      <c r="D33" s="3" t="s">
        <v>661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89</v>
      </c>
      <c r="B34" s="13" t="s">
        <v>92</v>
      </c>
      <c r="C34" s="35" t="s">
        <v>29</v>
      </c>
      <c r="D34" s="3" t="s">
        <v>39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91</v>
      </c>
      <c r="B35" s="13" t="s">
        <v>94</v>
      </c>
      <c r="C35" s="35" t="s">
        <v>29</v>
      </c>
      <c r="D35" s="3" t="s">
        <v>39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93</v>
      </c>
      <c r="B36" s="13" t="s">
        <v>96</v>
      </c>
      <c r="C36" s="35" t="s">
        <v>29</v>
      </c>
      <c r="D36" s="3" t="s">
        <v>39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95</v>
      </c>
      <c r="B37" s="13" t="s">
        <v>98</v>
      </c>
      <c r="C37" s="35" t="s">
        <v>29</v>
      </c>
      <c r="D37" s="3" t="s">
        <v>39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97</v>
      </c>
      <c r="B38" s="13" t="s">
        <v>100</v>
      </c>
      <c r="C38" s="35" t="s">
        <v>29</v>
      </c>
      <c r="D38" s="3" t="s">
        <v>39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99</v>
      </c>
      <c r="B39" s="13" t="s">
        <v>102</v>
      </c>
      <c r="C39" s="12" t="s">
        <v>29</v>
      </c>
      <c r="D39" s="6"/>
      <c r="F39" s="3"/>
      <c r="G39" s="6">
        <v>0.8</v>
      </c>
      <c r="I39" s="9">
        <v>18</v>
      </c>
      <c r="J39" s="9"/>
      <c r="K39" s="9"/>
      <c r="L39" s="9"/>
    </row>
    <row r="40" spans="1:12" ht="15" x14ac:dyDescent="0.15">
      <c r="A40" s="12" t="s">
        <v>101</v>
      </c>
      <c r="B40" s="13" t="s">
        <v>105</v>
      </c>
      <c r="C40" s="12" t="s">
        <v>29</v>
      </c>
      <c r="D40" s="6" t="s">
        <v>103</v>
      </c>
      <c r="F40" s="3"/>
      <c r="G40" s="6">
        <v>0.7</v>
      </c>
      <c r="I40" s="9">
        <v>18</v>
      </c>
      <c r="J40" s="9"/>
      <c r="K40" s="9"/>
      <c r="L40" s="9"/>
    </row>
    <row r="41" spans="1:12" ht="15" x14ac:dyDescent="0.15">
      <c r="A41" s="12" t="s">
        <v>104</v>
      </c>
      <c r="B41" s="13" t="s">
        <v>107</v>
      </c>
      <c r="C41" s="12" t="s">
        <v>29</v>
      </c>
      <c r="D41" s="6" t="s">
        <v>103</v>
      </c>
      <c r="F41" s="3"/>
      <c r="G41" s="6">
        <v>0.8</v>
      </c>
      <c r="I41" s="9">
        <v>18</v>
      </c>
      <c r="J41" s="9"/>
      <c r="K41" s="9"/>
      <c r="L41" s="9"/>
    </row>
    <row r="42" spans="1:12" ht="15" x14ac:dyDescent="0.15">
      <c r="A42" s="12" t="s">
        <v>106</v>
      </c>
      <c r="B42" s="13" t="s">
        <v>109</v>
      </c>
      <c r="C42" s="12" t="s">
        <v>29</v>
      </c>
      <c r="D42" s="6" t="s">
        <v>103</v>
      </c>
      <c r="F42" s="3"/>
      <c r="G42" s="6">
        <v>1</v>
      </c>
      <c r="I42" s="9">
        <v>18</v>
      </c>
      <c r="J42" s="9"/>
      <c r="K42" s="9"/>
      <c r="L42" s="9"/>
    </row>
    <row r="43" spans="1:12" ht="15" x14ac:dyDescent="0.15">
      <c r="A43" s="12" t="s">
        <v>108</v>
      </c>
      <c r="B43" s="13" t="s">
        <v>112</v>
      </c>
      <c r="C43" s="12" t="s">
        <v>110</v>
      </c>
      <c r="D43" s="6"/>
      <c r="F43" s="3"/>
      <c r="G43" s="6">
        <v>0.7</v>
      </c>
      <c r="I43" s="9">
        <v>18</v>
      </c>
      <c r="J43" s="9"/>
      <c r="K43" s="9"/>
      <c r="L43" s="9"/>
    </row>
    <row r="44" spans="1:12" ht="15" x14ac:dyDescent="0.15">
      <c r="A44" s="12" t="s">
        <v>111</v>
      </c>
      <c r="B44" s="13" t="s">
        <v>114</v>
      </c>
      <c r="C44" s="12" t="s">
        <v>110</v>
      </c>
      <c r="D44" s="6"/>
      <c r="F44" s="3"/>
      <c r="G44" s="6">
        <v>0.8</v>
      </c>
      <c r="I44" s="9">
        <v>18</v>
      </c>
      <c r="J44" s="9"/>
      <c r="K44" s="9"/>
      <c r="L44" s="9"/>
    </row>
    <row r="45" spans="1:12" ht="15" x14ac:dyDescent="0.15">
      <c r="A45" s="12" t="s">
        <v>113</v>
      </c>
      <c r="B45" s="13" t="s">
        <v>116</v>
      </c>
      <c r="C45" s="12" t="s">
        <v>110</v>
      </c>
      <c r="D45" s="6"/>
      <c r="F45" s="3"/>
      <c r="G45" s="6">
        <v>0.85</v>
      </c>
      <c r="I45" s="9">
        <v>18</v>
      </c>
      <c r="J45" s="9"/>
      <c r="K45" s="9"/>
      <c r="L45" s="9"/>
    </row>
    <row r="46" spans="1:12" ht="15" x14ac:dyDescent="0.15">
      <c r="A46" s="12" t="s">
        <v>115</v>
      </c>
      <c r="B46" s="13" t="s">
        <v>118</v>
      </c>
      <c r="C46" s="12" t="s">
        <v>110</v>
      </c>
      <c r="D46" s="6"/>
      <c r="F46" s="3"/>
      <c r="G46" s="6">
        <v>0.9</v>
      </c>
      <c r="I46" s="9">
        <v>18</v>
      </c>
      <c r="J46" s="9"/>
      <c r="K46" s="9"/>
      <c r="L46" s="9"/>
    </row>
    <row r="47" spans="1:12" ht="15" x14ac:dyDescent="0.15">
      <c r="A47" s="12" t="s">
        <v>117</v>
      </c>
      <c r="B47" s="13" t="s">
        <v>121</v>
      </c>
      <c r="C47" s="12" t="s">
        <v>119</v>
      </c>
      <c r="D47" s="6"/>
      <c r="F47" s="3"/>
      <c r="G47" s="6">
        <v>0.7</v>
      </c>
      <c r="I47" s="9">
        <v>18</v>
      </c>
      <c r="J47" s="9"/>
      <c r="K47" s="9"/>
      <c r="L47" s="9"/>
    </row>
    <row r="48" spans="1:12" ht="15" x14ac:dyDescent="0.15">
      <c r="A48" s="12" t="s">
        <v>120</v>
      </c>
      <c r="B48" s="13" t="s">
        <v>123</v>
      </c>
      <c r="C48" s="12" t="s">
        <v>119</v>
      </c>
      <c r="D48" s="6"/>
      <c r="F48" s="3"/>
      <c r="G48" s="6">
        <v>0.8</v>
      </c>
      <c r="I48" s="9">
        <v>18</v>
      </c>
      <c r="J48" s="9"/>
      <c r="K48" s="9"/>
      <c r="L48" s="9"/>
    </row>
    <row r="49" spans="1:12" ht="15" x14ac:dyDescent="0.15">
      <c r="A49" s="12" t="s">
        <v>122</v>
      </c>
      <c r="B49" s="13" t="s">
        <v>124</v>
      </c>
      <c r="C49" s="12" t="s">
        <v>119</v>
      </c>
      <c r="D49" s="36"/>
      <c r="F49" s="3"/>
      <c r="G49" s="6">
        <v>0.85</v>
      </c>
      <c r="I49" s="9">
        <v>18</v>
      </c>
      <c r="J49" s="9"/>
      <c r="K49" s="9"/>
      <c r="L49" s="9"/>
    </row>
    <row r="50" spans="1:12" ht="15" x14ac:dyDescent="0.15">
      <c r="A50" s="12" t="s">
        <v>223</v>
      </c>
      <c r="B50" s="13" t="s">
        <v>125</v>
      </c>
      <c r="C50" s="12" t="s">
        <v>29</v>
      </c>
      <c r="D50" s="36" t="s">
        <v>358</v>
      </c>
      <c r="F50" s="3"/>
      <c r="G50" s="9">
        <v>0.5</v>
      </c>
      <c r="H50" s="9"/>
      <c r="I50" s="9">
        <v>35</v>
      </c>
      <c r="J50" s="9"/>
      <c r="K50" s="9"/>
      <c r="L50" s="9"/>
    </row>
    <row r="51" spans="1:12" ht="15" x14ac:dyDescent="0.15">
      <c r="A51" s="12" t="s">
        <v>224</v>
      </c>
      <c r="B51" s="13" t="s">
        <v>126</v>
      </c>
      <c r="C51" s="12" t="s">
        <v>29</v>
      </c>
      <c r="D51" s="36" t="s">
        <v>358</v>
      </c>
      <c r="F51" s="3"/>
      <c r="G51" s="9">
        <v>0.55000000000000004</v>
      </c>
      <c r="H51" s="9"/>
      <c r="I51" s="9">
        <v>35</v>
      </c>
      <c r="J51" s="9"/>
      <c r="K51" s="9"/>
      <c r="L51" s="9"/>
    </row>
    <row r="52" spans="1:12" ht="15" x14ac:dyDescent="0.15">
      <c r="A52" s="12" t="s">
        <v>225</v>
      </c>
      <c r="B52" s="13" t="s">
        <v>127</v>
      </c>
      <c r="C52" s="12" t="s">
        <v>29</v>
      </c>
      <c r="D52" s="36" t="s">
        <v>358</v>
      </c>
      <c r="F52" s="3"/>
      <c r="G52" s="9">
        <v>0.6</v>
      </c>
      <c r="H52" s="9"/>
      <c r="I52" s="9">
        <v>35</v>
      </c>
      <c r="J52" s="9"/>
      <c r="K52" s="9"/>
      <c r="L52" s="9"/>
    </row>
    <row r="53" spans="1:12" ht="15" x14ac:dyDescent="0.15">
      <c r="A53" s="12" t="s">
        <v>226</v>
      </c>
      <c r="B53" s="13" t="s">
        <v>128</v>
      </c>
      <c r="C53" s="12" t="s">
        <v>29</v>
      </c>
      <c r="D53" s="36" t="s">
        <v>358</v>
      </c>
      <c r="F53" s="3"/>
      <c r="G53" s="9">
        <v>0.65</v>
      </c>
      <c r="H53" s="9"/>
      <c r="I53" s="9">
        <v>35</v>
      </c>
      <c r="J53" s="9"/>
      <c r="K53" s="9"/>
      <c r="L53" s="9"/>
    </row>
    <row r="54" spans="1:12" ht="15" x14ac:dyDescent="0.15">
      <c r="A54" s="12" t="s">
        <v>227</v>
      </c>
      <c r="B54" s="13" t="s">
        <v>129</v>
      </c>
      <c r="C54" s="12" t="s">
        <v>29</v>
      </c>
      <c r="D54" s="36" t="s">
        <v>358</v>
      </c>
      <c r="E54" s="9"/>
      <c r="F54" s="9"/>
      <c r="G54" s="9">
        <v>0.7</v>
      </c>
      <c r="H54" s="9"/>
      <c r="I54" s="9">
        <v>35</v>
      </c>
      <c r="J54" s="9"/>
      <c r="K54" s="9"/>
      <c r="L54" s="9"/>
    </row>
    <row r="55" spans="1:12" ht="15" x14ac:dyDescent="0.15">
      <c r="A55" s="12" t="s">
        <v>229</v>
      </c>
      <c r="B55" s="13" t="s">
        <v>130</v>
      </c>
      <c r="C55" s="12" t="s">
        <v>235</v>
      </c>
      <c r="D55" s="36"/>
      <c r="E55" s="9"/>
      <c r="F55" s="9"/>
      <c r="G55" s="9">
        <v>0.8</v>
      </c>
      <c r="H55" s="9"/>
      <c r="I55" s="9">
        <v>18</v>
      </c>
      <c r="J55" s="9"/>
      <c r="K55" s="9"/>
      <c r="L55" s="9"/>
    </row>
    <row r="56" spans="1:12" ht="15" x14ac:dyDescent="0.15">
      <c r="A56" s="12" t="s">
        <v>230</v>
      </c>
      <c r="B56" s="13" t="s">
        <v>131</v>
      </c>
      <c r="C56" s="12" t="s">
        <v>233</v>
      </c>
      <c r="D56" s="36"/>
      <c r="E56" s="9"/>
      <c r="F56" s="9"/>
      <c r="G56" s="9">
        <v>0.9</v>
      </c>
      <c r="I56" s="9">
        <v>18</v>
      </c>
      <c r="J56" s="9"/>
      <c r="K56" s="9"/>
      <c r="L56" s="9"/>
    </row>
    <row r="57" spans="1:12" ht="15" x14ac:dyDescent="0.15">
      <c r="A57" s="12" t="s">
        <v>231</v>
      </c>
      <c r="B57" s="13" t="s">
        <v>132</v>
      </c>
      <c r="C57" s="12" t="s">
        <v>234</v>
      </c>
      <c r="D57" s="36"/>
      <c r="E57" s="9"/>
      <c r="F57" s="9"/>
      <c r="G57" s="9">
        <v>1</v>
      </c>
      <c r="I57" s="9">
        <v>18</v>
      </c>
      <c r="J57" s="9"/>
      <c r="K57" s="9"/>
      <c r="L57" s="9"/>
    </row>
    <row r="58" spans="1:12" ht="15" x14ac:dyDescent="0.15">
      <c r="A58" s="12" t="s">
        <v>232</v>
      </c>
      <c r="B58" s="13" t="s">
        <v>133</v>
      </c>
      <c r="C58" s="12" t="s">
        <v>234</v>
      </c>
      <c r="D58" s="36"/>
      <c r="E58" s="9"/>
      <c r="F58" s="9"/>
      <c r="G58" s="9">
        <v>1.2</v>
      </c>
      <c r="I58" s="9">
        <v>18</v>
      </c>
      <c r="J58" s="9"/>
      <c r="K58" s="9"/>
      <c r="L58" s="9"/>
    </row>
    <row r="59" spans="1:12" ht="15" x14ac:dyDescent="0.15">
      <c r="A59" s="12" t="s">
        <v>236</v>
      </c>
      <c r="B59" s="13" t="s">
        <v>134</v>
      </c>
      <c r="C59" s="12" t="s">
        <v>29</v>
      </c>
      <c r="D59" s="36" t="s">
        <v>240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237</v>
      </c>
      <c r="B60" s="13" t="s">
        <v>135</v>
      </c>
      <c r="C60" s="12" t="s">
        <v>29</v>
      </c>
      <c r="D60" s="36" t="s">
        <v>241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238</v>
      </c>
      <c r="B61" s="13" t="s">
        <v>136</v>
      </c>
      <c r="C61" s="12" t="s">
        <v>119</v>
      </c>
      <c r="D61" s="36" t="s">
        <v>242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239</v>
      </c>
      <c r="B62" s="13" t="s">
        <v>256</v>
      </c>
      <c r="C62" s="12" t="s">
        <v>29</v>
      </c>
      <c r="D62" s="36" t="s">
        <v>137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298</v>
      </c>
      <c r="B63" s="13" t="s">
        <v>257</v>
      </c>
      <c r="C63" s="35" t="s">
        <v>299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243</v>
      </c>
      <c r="B64" s="13" t="s">
        <v>258</v>
      </c>
      <c r="C64" s="35" t="s">
        <v>286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304</v>
      </c>
      <c r="B65" s="13" t="s">
        <v>259</v>
      </c>
      <c r="C65" s="35" t="s">
        <v>303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305</v>
      </c>
      <c r="B66" s="13" t="s">
        <v>260</v>
      </c>
      <c r="C66" s="35" t="s">
        <v>306</v>
      </c>
      <c r="D66" s="9"/>
      <c r="F66" s="3"/>
      <c r="G66" s="9">
        <v>1.1000000000000001</v>
      </c>
      <c r="I66" s="9">
        <v>10</v>
      </c>
    </row>
    <row r="67" spans="1:9" ht="15" x14ac:dyDescent="0.15">
      <c r="A67" s="12" t="s">
        <v>244</v>
      </c>
      <c r="B67" s="13" t="s">
        <v>261</v>
      </c>
      <c r="C67" s="35" t="s">
        <v>287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300</v>
      </c>
      <c r="B68" s="13" t="s">
        <v>262</v>
      </c>
      <c r="C68" s="35" t="s">
        <v>341</v>
      </c>
      <c r="D68" s="9"/>
      <c r="F68" s="3"/>
      <c r="G68" s="9">
        <v>1.1499999999999999</v>
      </c>
      <c r="I68" s="9">
        <v>10</v>
      </c>
    </row>
    <row r="69" spans="1:9" ht="15" x14ac:dyDescent="0.15">
      <c r="A69" s="12" t="s">
        <v>245</v>
      </c>
      <c r="B69" s="13" t="s">
        <v>263</v>
      </c>
      <c r="C69" s="35" t="s">
        <v>342</v>
      </c>
      <c r="D69" s="9"/>
      <c r="F69" s="3"/>
      <c r="G69" s="9">
        <v>1.1000000000000001</v>
      </c>
      <c r="I69" s="9">
        <v>10</v>
      </c>
    </row>
    <row r="70" spans="1:9" ht="15" x14ac:dyDescent="0.15">
      <c r="A70" s="12" t="s">
        <v>246</v>
      </c>
      <c r="B70" s="13" t="s">
        <v>264</v>
      </c>
      <c r="C70" s="35" t="s">
        <v>288</v>
      </c>
      <c r="D70" s="9"/>
      <c r="F70" s="3"/>
      <c r="G70" s="9">
        <v>1.3</v>
      </c>
      <c r="I70" s="9">
        <v>10</v>
      </c>
    </row>
    <row r="71" spans="1:9" ht="15" x14ac:dyDescent="0.15">
      <c r="A71" s="12" t="s">
        <v>247</v>
      </c>
      <c r="B71" s="13" t="s">
        <v>265</v>
      </c>
      <c r="C71" s="35" t="s">
        <v>289</v>
      </c>
      <c r="D71" s="9"/>
      <c r="F71" s="3"/>
      <c r="G71" s="9">
        <v>1.3</v>
      </c>
      <c r="I71" s="9">
        <v>10</v>
      </c>
    </row>
    <row r="72" spans="1:9" ht="15" x14ac:dyDescent="0.15">
      <c r="A72" s="12" t="s">
        <v>308</v>
      </c>
      <c r="B72" s="13" t="s">
        <v>266</v>
      </c>
      <c r="C72" s="35" t="s">
        <v>307</v>
      </c>
      <c r="D72" s="9"/>
      <c r="F72" s="3"/>
      <c r="G72" s="9">
        <v>1.1000000000000001</v>
      </c>
      <c r="I72" s="9">
        <v>10</v>
      </c>
    </row>
    <row r="73" spans="1:9" ht="15" x14ac:dyDescent="0.15">
      <c r="A73" s="12" t="s">
        <v>302</v>
      </c>
      <c r="B73" s="13" t="s">
        <v>267</v>
      </c>
      <c r="C73" s="35" t="s">
        <v>301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248</v>
      </c>
      <c r="B74" s="13" t="s">
        <v>268</v>
      </c>
      <c r="C74" s="35" t="s">
        <v>290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249</v>
      </c>
      <c r="B75" s="13" t="s">
        <v>269</v>
      </c>
      <c r="C75" s="35" t="s">
        <v>291</v>
      </c>
      <c r="D75" s="9"/>
      <c r="F75" s="3"/>
      <c r="G75" s="9">
        <v>1.3</v>
      </c>
      <c r="I75" s="9">
        <v>10</v>
      </c>
    </row>
    <row r="76" spans="1:9" ht="15" x14ac:dyDescent="0.15">
      <c r="A76" s="12" t="s">
        <v>250</v>
      </c>
      <c r="B76" s="13" t="s">
        <v>270</v>
      </c>
      <c r="C76" s="35" t="s">
        <v>292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309</v>
      </c>
      <c r="B77" s="13" t="s">
        <v>271</v>
      </c>
      <c r="C77" s="35" t="s">
        <v>310</v>
      </c>
      <c r="D77" s="9"/>
      <c r="F77" s="3"/>
      <c r="G77" s="9">
        <v>1.2</v>
      </c>
      <c r="I77" s="9">
        <v>10</v>
      </c>
    </row>
    <row r="78" spans="1:9" ht="15" x14ac:dyDescent="0.15">
      <c r="A78" s="12" t="s">
        <v>251</v>
      </c>
      <c r="B78" s="13" t="s">
        <v>272</v>
      </c>
      <c r="C78" s="35" t="s">
        <v>293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252</v>
      </c>
      <c r="B79" s="13" t="s">
        <v>273</v>
      </c>
      <c r="C79" s="35" t="s">
        <v>294</v>
      </c>
      <c r="D79" s="9"/>
      <c r="F79" s="3"/>
      <c r="G79" s="9">
        <v>1</v>
      </c>
      <c r="I79" s="9">
        <v>10</v>
      </c>
    </row>
    <row r="80" spans="1:9" ht="15" x14ac:dyDescent="0.15">
      <c r="A80" s="12" t="s">
        <v>311</v>
      </c>
      <c r="B80" s="13" t="s">
        <v>274</v>
      </c>
      <c r="C80" s="35" t="s">
        <v>312</v>
      </c>
      <c r="D80" s="9"/>
      <c r="F80" s="3"/>
      <c r="G80" s="9">
        <v>1.1000000000000001</v>
      </c>
      <c r="I80" s="9">
        <v>10</v>
      </c>
    </row>
    <row r="81" spans="1:9" ht="15" x14ac:dyDescent="0.15">
      <c r="A81" s="12" t="s">
        <v>253</v>
      </c>
      <c r="B81" s="13" t="s">
        <v>275</v>
      </c>
      <c r="C81" s="35" t="s">
        <v>295</v>
      </c>
      <c r="D81" s="9"/>
      <c r="F81" s="3"/>
      <c r="G81" s="9">
        <v>1.2</v>
      </c>
      <c r="I81" s="9">
        <v>10</v>
      </c>
    </row>
    <row r="82" spans="1:9" ht="15" x14ac:dyDescent="0.15">
      <c r="A82" s="12" t="s">
        <v>314</v>
      </c>
      <c r="B82" s="13" t="s">
        <v>276</v>
      </c>
      <c r="C82" s="35" t="s">
        <v>313</v>
      </c>
      <c r="D82" s="9"/>
      <c r="F82" s="3"/>
      <c r="G82" s="9">
        <v>0.85</v>
      </c>
      <c r="I82" s="9">
        <v>10</v>
      </c>
    </row>
    <row r="83" spans="1:9" ht="15" x14ac:dyDescent="0.15">
      <c r="A83" s="12" t="s">
        <v>254</v>
      </c>
      <c r="B83" s="13" t="s">
        <v>277</v>
      </c>
      <c r="C83" s="35" t="s">
        <v>296</v>
      </c>
      <c r="D83" s="9"/>
      <c r="F83" s="3"/>
      <c r="G83" s="9">
        <v>1</v>
      </c>
      <c r="I83" s="9">
        <v>10</v>
      </c>
    </row>
    <row r="84" spans="1:9" ht="15" x14ac:dyDescent="0.15">
      <c r="A84" s="12" t="s">
        <v>315</v>
      </c>
      <c r="B84" s="13" t="s">
        <v>278</v>
      </c>
      <c r="C84" s="35" t="s">
        <v>316</v>
      </c>
      <c r="D84" s="9"/>
      <c r="F84" s="3"/>
      <c r="G84" s="9">
        <v>1</v>
      </c>
      <c r="I84" s="9">
        <v>10</v>
      </c>
    </row>
    <row r="85" spans="1:9" ht="15" x14ac:dyDescent="0.15">
      <c r="A85" s="12" t="s">
        <v>255</v>
      </c>
      <c r="B85" s="13" t="s">
        <v>279</v>
      </c>
      <c r="C85" s="35" t="s">
        <v>297</v>
      </c>
      <c r="D85" s="9"/>
      <c r="F85" s="3"/>
      <c r="G85" s="9">
        <v>1</v>
      </c>
      <c r="I85" s="9">
        <v>10</v>
      </c>
    </row>
    <row r="86" spans="1:9" ht="15" x14ac:dyDescent="0.15">
      <c r="A86" s="12" t="s">
        <v>318</v>
      </c>
      <c r="B86" s="13" t="s">
        <v>280</v>
      </c>
      <c r="C86" s="35" t="s">
        <v>317</v>
      </c>
      <c r="D86" s="9"/>
      <c r="F86" s="3"/>
      <c r="G86" s="9">
        <v>0.85</v>
      </c>
      <c r="I86" s="9">
        <v>10</v>
      </c>
    </row>
    <row r="87" spans="1:9" ht="15" x14ac:dyDescent="0.15">
      <c r="A87" s="12" t="s">
        <v>319</v>
      </c>
      <c r="B87" s="13" t="s">
        <v>281</v>
      </c>
      <c r="C87" s="35" t="s">
        <v>340</v>
      </c>
      <c r="D87" s="9"/>
      <c r="F87" s="3"/>
      <c r="G87" s="9">
        <v>0.22</v>
      </c>
      <c r="I87" s="9">
        <v>10</v>
      </c>
    </row>
    <row r="88" spans="1:9" ht="15" x14ac:dyDescent="0.15">
      <c r="A88" s="12" t="s">
        <v>321</v>
      </c>
      <c r="B88" s="13" t="s">
        <v>282</v>
      </c>
      <c r="C88" s="35" t="s">
        <v>29</v>
      </c>
      <c r="D88" s="6" t="s">
        <v>320</v>
      </c>
      <c r="F88" s="3"/>
      <c r="G88" s="6">
        <v>1.5</v>
      </c>
      <c r="I88" s="6">
        <v>60</v>
      </c>
    </row>
    <row r="89" spans="1:9" ht="15" x14ac:dyDescent="0.15">
      <c r="A89" s="12" t="s">
        <v>327</v>
      </c>
      <c r="B89" s="13" t="s">
        <v>283</v>
      </c>
      <c r="C89" s="35" t="s">
        <v>29</v>
      </c>
      <c r="D89" s="43" t="s">
        <v>322</v>
      </c>
      <c r="F89" s="3"/>
      <c r="G89" s="43">
        <v>0.85</v>
      </c>
      <c r="I89" s="6">
        <v>60</v>
      </c>
    </row>
    <row r="90" spans="1:9" ht="15" x14ac:dyDescent="0.15">
      <c r="A90" s="44" t="s">
        <v>328</v>
      </c>
      <c r="B90" s="13" t="s">
        <v>284</v>
      </c>
      <c r="C90" s="35" t="s">
        <v>29</v>
      </c>
      <c r="D90" s="6" t="s">
        <v>323</v>
      </c>
      <c r="F90" s="3"/>
      <c r="G90" s="43">
        <v>2.1</v>
      </c>
      <c r="I90" s="6">
        <v>60</v>
      </c>
    </row>
    <row r="91" spans="1:9" ht="15" x14ac:dyDescent="0.15">
      <c r="A91" s="42" t="s">
        <v>325</v>
      </c>
      <c r="B91" s="13" t="s">
        <v>285</v>
      </c>
      <c r="C91" s="35" t="s">
        <v>29</v>
      </c>
      <c r="D91" s="43" t="s">
        <v>324</v>
      </c>
      <c r="F91" s="3"/>
      <c r="G91" s="43">
        <v>2.5</v>
      </c>
      <c r="I91" s="6">
        <v>60</v>
      </c>
    </row>
    <row r="92" spans="1:9" ht="15" x14ac:dyDescent="0.15">
      <c r="A92" s="42" t="s">
        <v>329</v>
      </c>
      <c r="B92" s="13" t="s">
        <v>334</v>
      </c>
      <c r="C92" s="35" t="s">
        <v>29</v>
      </c>
      <c r="D92" s="6" t="s">
        <v>326</v>
      </c>
      <c r="F92" s="3"/>
      <c r="G92" s="6">
        <v>1.5</v>
      </c>
      <c r="I92" s="6">
        <v>60</v>
      </c>
    </row>
    <row r="93" spans="1:9" ht="15" x14ac:dyDescent="0.15">
      <c r="A93" s="46" t="s">
        <v>330</v>
      </c>
      <c r="B93" s="13" t="s">
        <v>335</v>
      </c>
      <c r="C93" s="35" t="s">
        <v>29</v>
      </c>
      <c r="D93" s="3" t="s">
        <v>338</v>
      </c>
      <c r="G93" s="43">
        <v>0.7</v>
      </c>
      <c r="I93" s="6">
        <v>60</v>
      </c>
    </row>
    <row r="94" spans="1:9" ht="15" x14ac:dyDescent="0.15">
      <c r="A94" s="46" t="s">
        <v>331</v>
      </c>
      <c r="B94" s="13" t="s">
        <v>336</v>
      </c>
      <c r="C94" s="35" t="s">
        <v>29</v>
      </c>
      <c r="D94" s="3" t="s">
        <v>337</v>
      </c>
      <c r="G94" s="43">
        <v>0.8</v>
      </c>
      <c r="I94" s="6">
        <v>60</v>
      </c>
    </row>
    <row r="95" spans="1:9" ht="15" x14ac:dyDescent="0.15">
      <c r="A95" s="46" t="s">
        <v>332</v>
      </c>
      <c r="B95" s="13" t="s">
        <v>339</v>
      </c>
      <c r="C95" s="35" t="s">
        <v>29</v>
      </c>
      <c r="D95" s="3" t="s">
        <v>337</v>
      </c>
      <c r="G95" s="43">
        <v>0.9</v>
      </c>
      <c r="I95" s="6">
        <v>60</v>
      </c>
    </row>
    <row r="96" spans="1:9" ht="15" x14ac:dyDescent="0.15">
      <c r="A96" s="46" t="s">
        <v>333</v>
      </c>
      <c r="B96" s="13" t="s">
        <v>345</v>
      </c>
      <c r="C96" s="35" t="s">
        <v>29</v>
      </c>
      <c r="D96" s="3" t="s">
        <v>337</v>
      </c>
      <c r="G96">
        <v>1</v>
      </c>
      <c r="I96" s="6">
        <v>60</v>
      </c>
    </row>
    <row r="97" spans="1:9" ht="15" x14ac:dyDescent="0.15">
      <c r="A97" s="46" t="s">
        <v>346</v>
      </c>
      <c r="B97" s="13" t="s">
        <v>347</v>
      </c>
      <c r="C97" s="35" t="s">
        <v>348</v>
      </c>
      <c r="D97" s="3" t="s">
        <v>357</v>
      </c>
      <c r="G97">
        <v>2</v>
      </c>
      <c r="I97" s="6">
        <v>60</v>
      </c>
    </row>
    <row r="98" spans="1:9" ht="15" x14ac:dyDescent="0.15">
      <c r="A98" s="28" t="s">
        <v>360</v>
      </c>
      <c r="B98" s="13" t="s">
        <v>362</v>
      </c>
      <c r="C98" s="35" t="s">
        <v>29</v>
      </c>
      <c r="D98" s="3" t="s">
        <v>364</v>
      </c>
      <c r="G98" s="9">
        <v>1</v>
      </c>
      <c r="I98" s="9">
        <v>10</v>
      </c>
    </row>
    <row r="99" spans="1:9" ht="15" x14ac:dyDescent="0.15">
      <c r="A99" s="28" t="s">
        <v>361</v>
      </c>
      <c r="B99" s="13" t="s">
        <v>363</v>
      </c>
      <c r="C99" s="35" t="s">
        <v>29</v>
      </c>
      <c r="D99" s="3" t="s">
        <v>365</v>
      </c>
      <c r="G99">
        <v>1.5</v>
      </c>
      <c r="I99" s="6">
        <v>60</v>
      </c>
    </row>
    <row r="100" spans="1:9" ht="15" x14ac:dyDescent="0.15">
      <c r="A100" s="28" t="s">
        <v>366</v>
      </c>
      <c r="B100" s="13" t="s">
        <v>368</v>
      </c>
      <c r="C100" s="35" t="s">
        <v>29</v>
      </c>
      <c r="D100" s="3" t="s">
        <v>375</v>
      </c>
      <c r="G100" s="9">
        <v>1.75</v>
      </c>
      <c r="I100" s="9">
        <v>10</v>
      </c>
    </row>
    <row r="101" spans="1:9" ht="15" x14ac:dyDescent="0.15">
      <c r="A101" s="28" t="s">
        <v>367</v>
      </c>
      <c r="B101" s="13" t="s">
        <v>369</v>
      </c>
      <c r="C101" s="35" t="s">
        <v>29</v>
      </c>
      <c r="D101" s="3" t="s">
        <v>376</v>
      </c>
      <c r="G101">
        <v>2.5499999999999998</v>
      </c>
      <c r="I101" s="6">
        <v>60</v>
      </c>
    </row>
    <row r="102" spans="1:9" ht="15" x14ac:dyDescent="0.15">
      <c r="A102" s="11" t="s">
        <v>370</v>
      </c>
      <c r="B102" s="13" t="s">
        <v>371</v>
      </c>
      <c r="C102" s="35" t="s">
        <v>29</v>
      </c>
      <c r="D102" s="3" t="s">
        <v>373</v>
      </c>
      <c r="G102" s="9">
        <v>2.25</v>
      </c>
      <c r="I102" s="9">
        <v>10</v>
      </c>
    </row>
    <row r="103" spans="1:9" ht="15" x14ac:dyDescent="0.15">
      <c r="A103" s="11" t="s">
        <v>396</v>
      </c>
      <c r="B103" s="13" t="s">
        <v>372</v>
      </c>
      <c r="C103" s="35" t="s">
        <v>29</v>
      </c>
      <c r="D103" s="3" t="s">
        <v>374</v>
      </c>
      <c r="G103">
        <v>1.5</v>
      </c>
      <c r="I103" s="6">
        <v>60</v>
      </c>
    </row>
    <row r="104" spans="1:9" ht="15" x14ac:dyDescent="0.15">
      <c r="A104" s="28" t="s">
        <v>377</v>
      </c>
      <c r="B104" s="13" t="s">
        <v>379</v>
      </c>
      <c r="C104" s="35" t="s">
        <v>29</v>
      </c>
      <c r="D104" s="3" t="s">
        <v>381</v>
      </c>
      <c r="G104" s="9">
        <v>1</v>
      </c>
      <c r="I104" s="9">
        <v>10</v>
      </c>
    </row>
    <row r="105" spans="1:9" ht="15" x14ac:dyDescent="0.15">
      <c r="A105" s="28" t="s">
        <v>378</v>
      </c>
      <c r="B105" s="13" t="s">
        <v>380</v>
      </c>
      <c r="C105" s="35" t="s">
        <v>29</v>
      </c>
      <c r="D105" s="3" t="s">
        <v>382</v>
      </c>
      <c r="G105">
        <v>1.5</v>
      </c>
      <c r="I105" s="6">
        <v>60</v>
      </c>
    </row>
    <row r="106" spans="1:9" ht="15" x14ac:dyDescent="0.15">
      <c r="A106" s="28" t="s">
        <v>383</v>
      </c>
      <c r="B106" s="13" t="s">
        <v>385</v>
      </c>
      <c r="C106" s="35" t="s">
        <v>29</v>
      </c>
      <c r="D106" s="3" t="s">
        <v>387</v>
      </c>
      <c r="G106" s="9">
        <v>1</v>
      </c>
      <c r="I106" s="9">
        <v>10</v>
      </c>
    </row>
    <row r="107" spans="1:9" ht="15" x14ac:dyDescent="0.15">
      <c r="A107" s="28" t="s">
        <v>384</v>
      </c>
      <c r="B107" s="13" t="s">
        <v>386</v>
      </c>
      <c r="C107" s="35" t="s">
        <v>29</v>
      </c>
      <c r="D107" s="3" t="s">
        <v>388</v>
      </c>
      <c r="G107">
        <v>1.5</v>
      </c>
      <c r="I107" s="6">
        <v>60</v>
      </c>
    </row>
    <row r="108" spans="1:9" ht="15" x14ac:dyDescent="0.15">
      <c r="A108" s="28" t="s">
        <v>389</v>
      </c>
      <c r="B108" s="13" t="s">
        <v>391</v>
      </c>
      <c r="C108" s="35" t="s">
        <v>29</v>
      </c>
      <c r="D108" s="3" t="s">
        <v>393</v>
      </c>
      <c r="G108" s="9">
        <v>1</v>
      </c>
      <c r="I108" s="9">
        <v>10</v>
      </c>
    </row>
    <row r="109" spans="1:9" ht="15" x14ac:dyDescent="0.15">
      <c r="A109" s="28" t="s">
        <v>390</v>
      </c>
      <c r="B109" s="13" t="s">
        <v>392</v>
      </c>
      <c r="C109" s="35" t="s">
        <v>29</v>
      </c>
      <c r="D109" s="3" t="s">
        <v>395</v>
      </c>
      <c r="G109">
        <v>1.8</v>
      </c>
      <c r="I109" s="6">
        <v>60</v>
      </c>
    </row>
    <row r="110" spans="1:9" ht="15" x14ac:dyDescent="0.15">
      <c r="A110" s="54" t="s">
        <v>397</v>
      </c>
      <c r="B110" s="13" t="s">
        <v>407</v>
      </c>
      <c r="C110" s="35" t="s">
        <v>29</v>
      </c>
      <c r="D110" s="54" t="s">
        <v>417</v>
      </c>
      <c r="G110">
        <v>1.8</v>
      </c>
      <c r="I110" s="6">
        <v>60</v>
      </c>
    </row>
    <row r="111" spans="1:9" ht="15" x14ac:dyDescent="0.15">
      <c r="A111" s="54" t="s">
        <v>398</v>
      </c>
      <c r="B111" s="13" t="s">
        <v>408</v>
      </c>
      <c r="C111" s="35" t="s">
        <v>29</v>
      </c>
      <c r="D111" s="54" t="s">
        <v>577</v>
      </c>
      <c r="G111">
        <v>1.8</v>
      </c>
      <c r="I111" s="6">
        <v>60</v>
      </c>
    </row>
    <row r="112" spans="1:9" ht="15" x14ac:dyDescent="0.15">
      <c r="A112" s="54" t="s">
        <v>399</v>
      </c>
      <c r="B112" s="13" t="s">
        <v>409</v>
      </c>
      <c r="C112" s="35" t="s">
        <v>29</v>
      </c>
      <c r="D112" s="54" t="s">
        <v>418</v>
      </c>
      <c r="G112">
        <v>1.1000000000000001</v>
      </c>
      <c r="I112" s="6">
        <v>60</v>
      </c>
    </row>
    <row r="113" spans="1:9" ht="15" x14ac:dyDescent="0.15">
      <c r="A113" s="54" t="s">
        <v>400</v>
      </c>
      <c r="B113" s="13" t="s">
        <v>410</v>
      </c>
      <c r="C113" s="35" t="s">
        <v>29</v>
      </c>
      <c r="D113" s="54" t="s">
        <v>419</v>
      </c>
      <c r="G113">
        <v>2.6</v>
      </c>
      <c r="I113" s="6">
        <v>60</v>
      </c>
    </row>
    <row r="114" spans="1:9" ht="15" x14ac:dyDescent="0.15">
      <c r="A114" s="54" t="s">
        <v>401</v>
      </c>
      <c r="B114" s="13" t="s">
        <v>411</v>
      </c>
      <c r="C114" s="35" t="s">
        <v>29</v>
      </c>
      <c r="D114" s="54" t="s">
        <v>420</v>
      </c>
      <c r="G114">
        <v>1.8</v>
      </c>
      <c r="I114" s="6">
        <v>60</v>
      </c>
    </row>
    <row r="115" spans="1:9" ht="15" x14ac:dyDescent="0.15">
      <c r="A115" s="54" t="s">
        <v>402</v>
      </c>
      <c r="B115" s="13" t="s">
        <v>412</v>
      </c>
      <c r="C115" s="35" t="s">
        <v>29</v>
      </c>
      <c r="D115" s="54" t="s">
        <v>421</v>
      </c>
      <c r="G115">
        <v>1.9</v>
      </c>
      <c r="I115" s="6">
        <v>60</v>
      </c>
    </row>
    <row r="116" spans="1:9" ht="15" x14ac:dyDescent="0.15">
      <c r="A116" s="54" t="s">
        <v>403</v>
      </c>
      <c r="B116" s="13" t="s">
        <v>413</v>
      </c>
      <c r="C116" s="35" t="s">
        <v>29</v>
      </c>
      <c r="D116" s="54" t="s">
        <v>422</v>
      </c>
      <c r="G116">
        <v>2</v>
      </c>
      <c r="I116" s="6">
        <v>60</v>
      </c>
    </row>
    <row r="117" spans="1:9" ht="15" x14ac:dyDescent="0.15">
      <c r="A117" s="54" t="s">
        <v>404</v>
      </c>
      <c r="B117" s="13" t="s">
        <v>414</v>
      </c>
      <c r="C117" s="35" t="s">
        <v>29</v>
      </c>
      <c r="D117" s="54" t="s">
        <v>423</v>
      </c>
      <c r="G117">
        <v>1.5</v>
      </c>
      <c r="I117" s="6">
        <v>60</v>
      </c>
    </row>
    <row r="118" spans="1:9" ht="15" x14ac:dyDescent="0.15">
      <c r="A118" s="54" t="s">
        <v>405</v>
      </c>
      <c r="B118" s="13" t="s">
        <v>415</v>
      </c>
      <c r="C118" s="35" t="s">
        <v>29</v>
      </c>
      <c r="D118" s="54" t="s">
        <v>424</v>
      </c>
      <c r="G118">
        <v>1.5</v>
      </c>
      <c r="I118" s="6">
        <v>60</v>
      </c>
    </row>
    <row r="119" spans="1:9" ht="15" x14ac:dyDescent="0.15">
      <c r="A119" s="54" t="s">
        <v>406</v>
      </c>
      <c r="B119" s="13" t="s">
        <v>416</v>
      </c>
      <c r="C119" s="35" t="s">
        <v>29</v>
      </c>
      <c r="D119" s="54" t="s">
        <v>425</v>
      </c>
      <c r="G119">
        <v>2.2000000000000002</v>
      </c>
      <c r="I119" s="6">
        <v>60</v>
      </c>
    </row>
    <row r="120" spans="1:9" ht="15" x14ac:dyDescent="0.15">
      <c r="A120" s="54" t="s">
        <v>453</v>
      </c>
      <c r="B120" s="13" t="s">
        <v>434</v>
      </c>
      <c r="C120" s="35" t="s">
        <v>29</v>
      </c>
      <c r="D120" s="54" t="s">
        <v>444</v>
      </c>
      <c r="G120">
        <v>1.3</v>
      </c>
      <c r="I120" s="6">
        <v>60</v>
      </c>
    </row>
    <row r="121" spans="1:9" ht="15" x14ac:dyDescent="0.15">
      <c r="A121" s="54" t="s">
        <v>454</v>
      </c>
      <c r="B121" s="13" t="s">
        <v>435</v>
      </c>
      <c r="C121" s="35" t="s">
        <v>29</v>
      </c>
      <c r="D121" s="54" t="s">
        <v>444</v>
      </c>
      <c r="G121">
        <v>1.35</v>
      </c>
      <c r="I121" s="6">
        <v>60</v>
      </c>
    </row>
    <row r="122" spans="1:9" ht="15" x14ac:dyDescent="0.15">
      <c r="A122" s="54" t="s">
        <v>455</v>
      </c>
      <c r="B122" s="13" t="s">
        <v>436</v>
      </c>
      <c r="C122" s="35" t="s">
        <v>29</v>
      </c>
      <c r="D122" s="54" t="s">
        <v>444</v>
      </c>
      <c r="G122">
        <v>1.4</v>
      </c>
      <c r="I122" s="6">
        <v>60</v>
      </c>
    </row>
    <row r="123" spans="1:9" ht="15" x14ac:dyDescent="0.15">
      <c r="A123" s="54" t="s">
        <v>456</v>
      </c>
      <c r="B123" s="13" t="s">
        <v>437</v>
      </c>
      <c r="C123" s="35" t="s">
        <v>29</v>
      </c>
      <c r="D123" s="54" t="s">
        <v>444</v>
      </c>
      <c r="G123">
        <v>1.45</v>
      </c>
      <c r="I123" s="6">
        <v>60</v>
      </c>
    </row>
    <row r="124" spans="1:9" ht="15" x14ac:dyDescent="0.15">
      <c r="A124" s="54" t="s">
        <v>426</v>
      </c>
      <c r="B124" s="13" t="s">
        <v>438</v>
      </c>
      <c r="C124" s="35" t="s">
        <v>29</v>
      </c>
      <c r="D124" s="54" t="s">
        <v>428</v>
      </c>
      <c r="G124">
        <v>1.5</v>
      </c>
      <c r="I124" s="6">
        <v>60</v>
      </c>
    </row>
    <row r="125" spans="1:9" ht="15" x14ac:dyDescent="0.15">
      <c r="A125" s="54" t="s">
        <v>458</v>
      </c>
      <c r="B125" s="13" t="s">
        <v>439</v>
      </c>
      <c r="C125" s="35" t="s">
        <v>29</v>
      </c>
      <c r="D125" s="54" t="s">
        <v>445</v>
      </c>
      <c r="G125">
        <v>1.3</v>
      </c>
      <c r="I125" s="6">
        <v>60</v>
      </c>
    </row>
    <row r="126" spans="1:9" ht="15" x14ac:dyDescent="0.15">
      <c r="A126" s="54" t="s">
        <v>459</v>
      </c>
      <c r="B126" s="13" t="s">
        <v>440</v>
      </c>
      <c r="C126" s="35" t="s">
        <v>29</v>
      </c>
      <c r="D126" s="54" t="s">
        <v>445</v>
      </c>
      <c r="G126">
        <v>1.35</v>
      </c>
      <c r="I126" s="6">
        <v>60</v>
      </c>
    </row>
    <row r="127" spans="1:9" ht="15" x14ac:dyDescent="0.15">
      <c r="A127" s="54" t="s">
        <v>460</v>
      </c>
      <c r="B127" s="13" t="s">
        <v>441</v>
      </c>
      <c r="C127" s="35" t="s">
        <v>29</v>
      </c>
      <c r="D127" s="54" t="s">
        <v>445</v>
      </c>
      <c r="G127">
        <v>1.4</v>
      </c>
      <c r="I127" s="6">
        <v>60</v>
      </c>
    </row>
    <row r="128" spans="1:9" ht="15" x14ac:dyDescent="0.15">
      <c r="A128" s="54" t="s">
        <v>461</v>
      </c>
      <c r="B128" s="13" t="s">
        <v>442</v>
      </c>
      <c r="C128" s="35" t="s">
        <v>29</v>
      </c>
      <c r="D128" s="54" t="s">
        <v>445</v>
      </c>
      <c r="G128">
        <v>1.45</v>
      </c>
      <c r="I128" s="6">
        <v>60</v>
      </c>
    </row>
    <row r="129" spans="1:9" ht="15" x14ac:dyDescent="0.15">
      <c r="A129" s="54" t="s">
        <v>457</v>
      </c>
      <c r="B129" s="13" t="s">
        <v>443</v>
      </c>
      <c r="C129" s="35" t="s">
        <v>29</v>
      </c>
      <c r="D129" s="54" t="s">
        <v>429</v>
      </c>
      <c r="G129">
        <v>1.5</v>
      </c>
      <c r="I129" s="6">
        <v>60</v>
      </c>
    </row>
    <row r="130" spans="1:9" ht="15" x14ac:dyDescent="0.15">
      <c r="A130" s="54" t="s">
        <v>462</v>
      </c>
      <c r="B130" s="13" t="s">
        <v>501</v>
      </c>
      <c r="C130" s="35" t="s">
        <v>29</v>
      </c>
      <c r="D130" s="54" t="s">
        <v>446</v>
      </c>
      <c r="G130">
        <v>1.5</v>
      </c>
      <c r="I130" s="6">
        <v>60</v>
      </c>
    </row>
    <row r="131" spans="1:9" ht="15" x14ac:dyDescent="0.15">
      <c r="A131" s="54" t="s">
        <v>463</v>
      </c>
      <c r="B131" s="13" t="s">
        <v>502</v>
      </c>
      <c r="C131" s="35" t="s">
        <v>29</v>
      </c>
      <c r="D131" s="54" t="s">
        <v>446</v>
      </c>
      <c r="G131">
        <v>1.55</v>
      </c>
      <c r="I131" s="6">
        <v>60</v>
      </c>
    </row>
    <row r="132" spans="1:9" ht="15" x14ac:dyDescent="0.15">
      <c r="A132" s="54" t="s">
        <v>464</v>
      </c>
      <c r="B132" s="13" t="s">
        <v>503</v>
      </c>
      <c r="C132" s="35" t="s">
        <v>29</v>
      </c>
      <c r="D132" s="54" t="s">
        <v>446</v>
      </c>
      <c r="G132">
        <v>1.6</v>
      </c>
      <c r="I132" s="6">
        <v>60</v>
      </c>
    </row>
    <row r="133" spans="1:9" ht="15" x14ac:dyDescent="0.15">
      <c r="A133" s="54" t="s">
        <v>465</v>
      </c>
      <c r="B133" s="13" t="s">
        <v>504</v>
      </c>
      <c r="C133" s="35" t="s">
        <v>29</v>
      </c>
      <c r="D133" s="54" t="s">
        <v>446</v>
      </c>
      <c r="G133">
        <v>1.65</v>
      </c>
      <c r="I133" s="6">
        <v>60</v>
      </c>
    </row>
    <row r="134" spans="1:9" ht="15" x14ac:dyDescent="0.15">
      <c r="A134" s="54" t="s">
        <v>427</v>
      </c>
      <c r="B134" s="13" t="s">
        <v>505</v>
      </c>
      <c r="C134" s="35" t="s">
        <v>29</v>
      </c>
      <c r="D134" s="54" t="s">
        <v>430</v>
      </c>
      <c r="G134">
        <v>1.5</v>
      </c>
      <c r="I134" s="6">
        <v>60</v>
      </c>
    </row>
    <row r="135" spans="1:9" ht="15" x14ac:dyDescent="0.15">
      <c r="A135" s="54" t="s">
        <v>467</v>
      </c>
      <c r="B135" s="13" t="s">
        <v>506</v>
      </c>
      <c r="C135" s="35" t="s">
        <v>29</v>
      </c>
      <c r="D135" s="54" t="s">
        <v>447</v>
      </c>
      <c r="G135">
        <v>1.7</v>
      </c>
      <c r="I135" s="6">
        <v>60</v>
      </c>
    </row>
    <row r="136" spans="1:9" ht="15" x14ac:dyDescent="0.15">
      <c r="A136" s="54" t="s">
        <v>468</v>
      </c>
      <c r="B136" s="13" t="s">
        <v>507</v>
      </c>
      <c r="C136" s="35" t="s">
        <v>29</v>
      </c>
      <c r="D136" s="54" t="s">
        <v>447</v>
      </c>
      <c r="G136">
        <v>1.75</v>
      </c>
      <c r="I136" s="6">
        <v>60</v>
      </c>
    </row>
    <row r="137" spans="1:9" ht="15" x14ac:dyDescent="0.15">
      <c r="A137" s="54" t="s">
        <v>469</v>
      </c>
      <c r="B137" s="13" t="s">
        <v>508</v>
      </c>
      <c r="C137" s="35" t="s">
        <v>29</v>
      </c>
      <c r="D137" s="54" t="s">
        <v>447</v>
      </c>
      <c r="G137">
        <v>1.8</v>
      </c>
      <c r="I137" s="6">
        <v>60</v>
      </c>
    </row>
    <row r="138" spans="1:9" ht="15" x14ac:dyDescent="0.15">
      <c r="A138" s="54" t="s">
        <v>470</v>
      </c>
      <c r="B138" s="13" t="s">
        <v>509</v>
      </c>
      <c r="C138" s="35" t="s">
        <v>29</v>
      </c>
      <c r="D138" s="54" t="s">
        <v>447</v>
      </c>
      <c r="G138">
        <v>1.85</v>
      </c>
      <c r="I138" s="6">
        <v>60</v>
      </c>
    </row>
    <row r="139" spans="1:9" ht="15" x14ac:dyDescent="0.15">
      <c r="A139" s="54" t="s">
        <v>466</v>
      </c>
      <c r="B139" s="13" t="s">
        <v>510</v>
      </c>
      <c r="C139" s="35" t="s">
        <v>29</v>
      </c>
      <c r="D139" s="54" t="s">
        <v>394</v>
      </c>
      <c r="G139">
        <v>1.5</v>
      </c>
      <c r="I139" s="6">
        <v>60</v>
      </c>
    </row>
    <row r="140" spans="1:9" ht="15" x14ac:dyDescent="0.15">
      <c r="A140" s="54" t="s">
        <v>472</v>
      </c>
      <c r="B140" s="13" t="s">
        <v>511</v>
      </c>
      <c r="C140" s="35" t="s">
        <v>29</v>
      </c>
      <c r="D140" s="54" t="s">
        <v>447</v>
      </c>
      <c r="G140">
        <v>1.7</v>
      </c>
      <c r="I140" s="6">
        <v>60</v>
      </c>
    </row>
    <row r="141" spans="1:9" ht="15" x14ac:dyDescent="0.15">
      <c r="A141" s="54" t="s">
        <v>473</v>
      </c>
      <c r="B141" s="13" t="s">
        <v>512</v>
      </c>
      <c r="C141" s="35" t="s">
        <v>29</v>
      </c>
      <c r="D141" s="54" t="s">
        <v>447</v>
      </c>
      <c r="G141">
        <v>1.75</v>
      </c>
      <c r="I141" s="6">
        <v>60</v>
      </c>
    </row>
    <row r="142" spans="1:9" ht="15" x14ac:dyDescent="0.15">
      <c r="A142" s="54" t="s">
        <v>474</v>
      </c>
      <c r="B142" s="13" t="s">
        <v>513</v>
      </c>
      <c r="C142" s="35" t="s">
        <v>29</v>
      </c>
      <c r="D142" s="54" t="s">
        <v>447</v>
      </c>
      <c r="G142">
        <v>1.8</v>
      </c>
      <c r="I142" s="6">
        <v>60</v>
      </c>
    </row>
    <row r="143" spans="1:9" ht="15" x14ac:dyDescent="0.15">
      <c r="A143" s="54" t="s">
        <v>475</v>
      </c>
      <c r="B143" s="13" t="s">
        <v>514</v>
      </c>
      <c r="C143" s="35" t="s">
        <v>29</v>
      </c>
      <c r="D143" s="54" t="s">
        <v>447</v>
      </c>
      <c r="G143">
        <v>1.85</v>
      </c>
      <c r="I143" s="6">
        <v>60</v>
      </c>
    </row>
    <row r="144" spans="1:9" ht="15" x14ac:dyDescent="0.15">
      <c r="A144" s="54" t="s">
        <v>471</v>
      </c>
      <c r="B144" s="13" t="s">
        <v>515</v>
      </c>
      <c r="C144" s="35" t="s">
        <v>29</v>
      </c>
      <c r="D144" s="54" t="s">
        <v>394</v>
      </c>
      <c r="G144">
        <v>1.5</v>
      </c>
      <c r="I144" s="6">
        <v>60</v>
      </c>
    </row>
    <row r="145" spans="1:9" ht="15" x14ac:dyDescent="0.15">
      <c r="A145" s="54" t="s">
        <v>477</v>
      </c>
      <c r="B145" s="13" t="s">
        <v>516</v>
      </c>
      <c r="C145" s="35" t="s">
        <v>29</v>
      </c>
      <c r="D145" s="54" t="s">
        <v>448</v>
      </c>
      <c r="G145">
        <v>1.7</v>
      </c>
      <c r="I145" s="6">
        <v>60</v>
      </c>
    </row>
    <row r="146" spans="1:9" ht="15" x14ac:dyDescent="0.15">
      <c r="A146" s="54" t="s">
        <v>478</v>
      </c>
      <c r="B146" s="13" t="s">
        <v>517</v>
      </c>
      <c r="C146" s="35" t="s">
        <v>29</v>
      </c>
      <c r="D146" s="54" t="s">
        <v>448</v>
      </c>
      <c r="G146">
        <v>1.75</v>
      </c>
      <c r="I146" s="6">
        <v>60</v>
      </c>
    </row>
    <row r="147" spans="1:9" ht="15" x14ac:dyDescent="0.15">
      <c r="A147" s="54" t="s">
        <v>479</v>
      </c>
      <c r="B147" s="13" t="s">
        <v>518</v>
      </c>
      <c r="C147" s="35" t="s">
        <v>29</v>
      </c>
      <c r="D147" s="54" t="s">
        <v>448</v>
      </c>
      <c r="G147">
        <v>1.8</v>
      </c>
      <c r="I147" s="6">
        <v>60</v>
      </c>
    </row>
    <row r="148" spans="1:9" ht="15" x14ac:dyDescent="0.15">
      <c r="A148" s="54" t="s">
        <v>480</v>
      </c>
      <c r="B148" s="13" t="s">
        <v>519</v>
      </c>
      <c r="C148" s="35" t="s">
        <v>29</v>
      </c>
      <c r="D148" s="54" t="s">
        <v>448</v>
      </c>
      <c r="G148">
        <v>1.85</v>
      </c>
      <c r="I148" s="6">
        <v>60</v>
      </c>
    </row>
    <row r="149" spans="1:9" ht="15" x14ac:dyDescent="0.15">
      <c r="A149" s="54" t="s">
        <v>476</v>
      </c>
      <c r="B149" s="13" t="s">
        <v>520</v>
      </c>
      <c r="C149" s="35" t="s">
        <v>29</v>
      </c>
      <c r="D149" s="54" t="s">
        <v>42</v>
      </c>
      <c r="G149">
        <v>1.3</v>
      </c>
      <c r="I149" s="6">
        <v>60</v>
      </c>
    </row>
    <row r="150" spans="1:9" ht="15" x14ac:dyDescent="0.15">
      <c r="A150" s="54" t="s">
        <v>482</v>
      </c>
      <c r="B150" s="13" t="s">
        <v>521</v>
      </c>
      <c r="C150" s="35" t="s">
        <v>29</v>
      </c>
      <c r="D150" s="54" t="s">
        <v>449</v>
      </c>
      <c r="G150">
        <v>1.5</v>
      </c>
      <c r="I150" s="6">
        <v>60</v>
      </c>
    </row>
    <row r="151" spans="1:9" ht="15" x14ac:dyDescent="0.15">
      <c r="A151" s="54" t="s">
        <v>483</v>
      </c>
      <c r="B151" s="13" t="s">
        <v>522</v>
      </c>
      <c r="C151" s="35" t="s">
        <v>29</v>
      </c>
      <c r="D151" s="54" t="s">
        <v>449</v>
      </c>
      <c r="G151">
        <v>1.55</v>
      </c>
      <c r="I151" s="6">
        <v>60</v>
      </c>
    </row>
    <row r="152" spans="1:9" ht="15" x14ac:dyDescent="0.15">
      <c r="A152" s="54" t="s">
        <v>484</v>
      </c>
      <c r="B152" s="13" t="s">
        <v>523</v>
      </c>
      <c r="C152" s="35" t="s">
        <v>29</v>
      </c>
      <c r="D152" s="54" t="s">
        <v>449</v>
      </c>
      <c r="G152">
        <v>1.6</v>
      </c>
      <c r="I152" s="6">
        <v>60</v>
      </c>
    </row>
    <row r="153" spans="1:9" ht="15" x14ac:dyDescent="0.15">
      <c r="A153" s="54" t="s">
        <v>485</v>
      </c>
      <c r="B153" s="13" t="s">
        <v>524</v>
      </c>
      <c r="C153" s="35" t="s">
        <v>29</v>
      </c>
      <c r="D153" s="54" t="s">
        <v>449</v>
      </c>
      <c r="G153">
        <v>1.65</v>
      </c>
      <c r="I153" s="6">
        <v>60</v>
      </c>
    </row>
    <row r="154" spans="1:9" ht="15" x14ac:dyDescent="0.15">
      <c r="A154" s="54" t="s">
        <v>481</v>
      </c>
      <c r="B154" s="13" t="s">
        <v>525</v>
      </c>
      <c r="C154" s="35" t="s">
        <v>29</v>
      </c>
      <c r="D154" s="54" t="s">
        <v>431</v>
      </c>
      <c r="G154">
        <v>1.3</v>
      </c>
      <c r="I154" s="6">
        <v>60</v>
      </c>
    </row>
    <row r="155" spans="1:9" ht="15" x14ac:dyDescent="0.15">
      <c r="A155" s="54" t="s">
        <v>487</v>
      </c>
      <c r="B155" s="13" t="s">
        <v>526</v>
      </c>
      <c r="C155" s="35" t="s">
        <v>313</v>
      </c>
      <c r="D155" s="54" t="s">
        <v>450</v>
      </c>
      <c r="G155">
        <v>1.7</v>
      </c>
      <c r="I155" s="6">
        <v>60</v>
      </c>
    </row>
    <row r="156" spans="1:9" ht="15" x14ac:dyDescent="0.15">
      <c r="A156" s="54" t="s">
        <v>488</v>
      </c>
      <c r="B156" s="13" t="s">
        <v>527</v>
      </c>
      <c r="C156" s="35" t="s">
        <v>313</v>
      </c>
      <c r="D156" s="54" t="s">
        <v>450</v>
      </c>
      <c r="G156">
        <v>1.75</v>
      </c>
      <c r="I156" s="6">
        <v>60</v>
      </c>
    </row>
    <row r="157" spans="1:9" ht="15" x14ac:dyDescent="0.15">
      <c r="A157" s="54" t="s">
        <v>489</v>
      </c>
      <c r="B157" s="13" t="s">
        <v>528</v>
      </c>
      <c r="C157" s="35" t="s">
        <v>313</v>
      </c>
      <c r="D157" s="54" t="s">
        <v>450</v>
      </c>
      <c r="G157">
        <v>1.8</v>
      </c>
      <c r="I157" s="6">
        <v>60</v>
      </c>
    </row>
    <row r="158" spans="1:9" ht="15" x14ac:dyDescent="0.15">
      <c r="A158" s="54" t="s">
        <v>490</v>
      </c>
      <c r="B158" s="13" t="s">
        <v>529</v>
      </c>
      <c r="C158" s="35" t="s">
        <v>313</v>
      </c>
      <c r="D158" s="54" t="s">
        <v>450</v>
      </c>
      <c r="G158">
        <v>1.85</v>
      </c>
      <c r="I158" s="6">
        <v>60</v>
      </c>
    </row>
    <row r="159" spans="1:9" ht="15" x14ac:dyDescent="0.15">
      <c r="A159" s="54" t="s">
        <v>486</v>
      </c>
      <c r="B159" s="13" t="s">
        <v>530</v>
      </c>
      <c r="C159" s="35" t="s">
        <v>29</v>
      </c>
      <c r="D159" s="54" t="s">
        <v>576</v>
      </c>
      <c r="G159">
        <v>0.9</v>
      </c>
      <c r="I159" s="6">
        <v>60</v>
      </c>
    </row>
    <row r="160" spans="1:9" ht="15" x14ac:dyDescent="0.15">
      <c r="A160" s="54" t="s">
        <v>492</v>
      </c>
      <c r="B160" s="13" t="s">
        <v>531</v>
      </c>
      <c r="C160" s="35" t="s">
        <v>29</v>
      </c>
      <c r="D160" s="54" t="s">
        <v>451</v>
      </c>
      <c r="G160">
        <v>1.5</v>
      </c>
      <c r="I160" s="6">
        <v>60</v>
      </c>
    </row>
    <row r="161" spans="1:9" ht="15" x14ac:dyDescent="0.15">
      <c r="A161" s="54" t="s">
        <v>493</v>
      </c>
      <c r="B161" s="13" t="s">
        <v>532</v>
      </c>
      <c r="C161" s="35" t="s">
        <v>29</v>
      </c>
      <c r="D161" s="54" t="s">
        <v>451</v>
      </c>
      <c r="G161">
        <v>1.55</v>
      </c>
      <c r="I161" s="6">
        <v>60</v>
      </c>
    </row>
    <row r="162" spans="1:9" ht="15" x14ac:dyDescent="0.15">
      <c r="A162" s="54" t="s">
        <v>494</v>
      </c>
      <c r="B162" s="13" t="s">
        <v>533</v>
      </c>
      <c r="C162" s="35" t="s">
        <v>29</v>
      </c>
      <c r="D162" s="54" t="s">
        <v>451</v>
      </c>
      <c r="G162">
        <v>1.6</v>
      </c>
      <c r="I162" s="6">
        <v>60</v>
      </c>
    </row>
    <row r="163" spans="1:9" ht="15" x14ac:dyDescent="0.15">
      <c r="A163" s="54" t="s">
        <v>495</v>
      </c>
      <c r="B163" s="13" t="s">
        <v>534</v>
      </c>
      <c r="C163" s="35" t="s">
        <v>29</v>
      </c>
      <c r="D163" s="54" t="s">
        <v>451</v>
      </c>
      <c r="G163">
        <v>1.65</v>
      </c>
      <c r="I163" s="6">
        <v>60</v>
      </c>
    </row>
    <row r="164" spans="1:9" ht="15" x14ac:dyDescent="0.15">
      <c r="A164" s="54" t="s">
        <v>491</v>
      </c>
      <c r="B164" s="13" t="s">
        <v>535</v>
      </c>
      <c r="C164" s="35" t="s">
        <v>29</v>
      </c>
      <c r="D164" s="54" t="s">
        <v>432</v>
      </c>
      <c r="G164">
        <v>1.75</v>
      </c>
      <c r="I164" s="6">
        <v>60</v>
      </c>
    </row>
    <row r="165" spans="1:9" ht="15" x14ac:dyDescent="0.15">
      <c r="A165" s="54" t="s">
        <v>497</v>
      </c>
      <c r="B165" s="13" t="s">
        <v>536</v>
      </c>
      <c r="C165" s="35" t="s">
        <v>29</v>
      </c>
      <c r="D165" s="54" t="s">
        <v>452</v>
      </c>
      <c r="G165">
        <v>1.5</v>
      </c>
      <c r="I165" s="6">
        <v>60</v>
      </c>
    </row>
    <row r="166" spans="1:9" ht="15" x14ac:dyDescent="0.15">
      <c r="A166" s="54" t="s">
        <v>498</v>
      </c>
      <c r="B166" s="13" t="s">
        <v>537</v>
      </c>
      <c r="C166" s="35" t="s">
        <v>29</v>
      </c>
      <c r="D166" s="54" t="s">
        <v>452</v>
      </c>
      <c r="G166">
        <v>1.55</v>
      </c>
      <c r="I166" s="6">
        <v>60</v>
      </c>
    </row>
    <row r="167" spans="1:9" ht="15" x14ac:dyDescent="0.15">
      <c r="A167" s="54" t="s">
        <v>499</v>
      </c>
      <c r="B167" s="13" t="s">
        <v>538</v>
      </c>
      <c r="C167" s="35" t="s">
        <v>29</v>
      </c>
      <c r="D167" s="54" t="s">
        <v>452</v>
      </c>
      <c r="G167">
        <v>1.6</v>
      </c>
      <c r="I167" s="6">
        <v>60</v>
      </c>
    </row>
    <row r="168" spans="1:9" ht="15" x14ac:dyDescent="0.15">
      <c r="A168" s="54" t="s">
        <v>500</v>
      </c>
      <c r="B168" s="13" t="s">
        <v>539</v>
      </c>
      <c r="C168" s="35" t="s">
        <v>29</v>
      </c>
      <c r="D168" s="54" t="s">
        <v>452</v>
      </c>
      <c r="G168">
        <v>1.65</v>
      </c>
      <c r="I168" s="6">
        <v>60</v>
      </c>
    </row>
    <row r="169" spans="1:9" ht="15" x14ac:dyDescent="0.15">
      <c r="A169" s="54" t="s">
        <v>496</v>
      </c>
      <c r="B169" s="13" t="s">
        <v>540</v>
      </c>
      <c r="C169" s="35" t="s">
        <v>29</v>
      </c>
      <c r="D169" s="54" t="s">
        <v>433</v>
      </c>
      <c r="G169">
        <v>1.2</v>
      </c>
      <c r="I169" s="6">
        <v>60</v>
      </c>
    </row>
    <row r="170" spans="1:9" ht="15" x14ac:dyDescent="0.15">
      <c r="A170" s="54" t="s">
        <v>541</v>
      </c>
      <c r="B170" s="13" t="s">
        <v>551</v>
      </c>
      <c r="C170" s="35" t="s">
        <v>29</v>
      </c>
      <c r="D170" s="54" t="s">
        <v>561</v>
      </c>
      <c r="G170">
        <v>0.8</v>
      </c>
      <c r="I170" s="6">
        <v>60</v>
      </c>
    </row>
    <row r="171" spans="1:9" ht="15" x14ac:dyDescent="0.15">
      <c r="A171" s="54" t="s">
        <v>542</v>
      </c>
      <c r="B171" s="13" t="s">
        <v>552</v>
      </c>
      <c r="C171" s="35" t="s">
        <v>29</v>
      </c>
      <c r="D171" s="54" t="s">
        <v>562</v>
      </c>
      <c r="G171">
        <v>0.56999999999999995</v>
      </c>
      <c r="I171" s="6">
        <v>60</v>
      </c>
    </row>
    <row r="172" spans="1:9" ht="15" x14ac:dyDescent="0.15">
      <c r="A172" s="54" t="s">
        <v>543</v>
      </c>
      <c r="B172" s="13" t="s">
        <v>553</v>
      </c>
      <c r="C172" s="35" t="s">
        <v>313</v>
      </c>
      <c r="D172" s="54" t="s">
        <v>563</v>
      </c>
      <c r="G172">
        <v>1</v>
      </c>
      <c r="I172" s="6">
        <v>60</v>
      </c>
    </row>
    <row r="173" spans="1:9" ht="15" x14ac:dyDescent="0.15">
      <c r="A173" s="54" t="s">
        <v>544</v>
      </c>
      <c r="B173" s="13" t="s">
        <v>554</v>
      </c>
      <c r="C173" s="35" t="s">
        <v>29</v>
      </c>
      <c r="D173" s="54" t="s">
        <v>564</v>
      </c>
      <c r="G173">
        <v>0.9</v>
      </c>
      <c r="I173" s="6">
        <v>60</v>
      </c>
    </row>
    <row r="174" spans="1:9" ht="15" x14ac:dyDescent="0.15">
      <c r="A174" s="54" t="s">
        <v>545</v>
      </c>
      <c r="B174" s="13" t="s">
        <v>555</v>
      </c>
      <c r="C174" s="35" t="s">
        <v>29</v>
      </c>
      <c r="D174" s="54" t="s">
        <v>565</v>
      </c>
      <c r="G174">
        <v>0.62</v>
      </c>
      <c r="I174" s="6">
        <v>60</v>
      </c>
    </row>
    <row r="175" spans="1:9" ht="15" x14ac:dyDescent="0.15">
      <c r="A175" s="54" t="s">
        <v>546</v>
      </c>
      <c r="B175" s="13" t="s">
        <v>556</v>
      </c>
      <c r="C175" s="35" t="s">
        <v>29</v>
      </c>
      <c r="D175" s="54" t="s">
        <v>566</v>
      </c>
      <c r="G175">
        <v>0.7</v>
      </c>
      <c r="I175" s="6">
        <v>60</v>
      </c>
    </row>
    <row r="176" spans="1:9" ht="15" x14ac:dyDescent="0.15">
      <c r="A176" s="54" t="s">
        <v>547</v>
      </c>
      <c r="B176" s="13" t="s">
        <v>557</v>
      </c>
      <c r="C176" s="35" t="s">
        <v>29</v>
      </c>
      <c r="D176" s="54" t="s">
        <v>337</v>
      </c>
      <c r="G176">
        <v>0.75</v>
      </c>
      <c r="I176" s="6">
        <v>60</v>
      </c>
    </row>
    <row r="177" spans="1:9" ht="15" x14ac:dyDescent="0.15">
      <c r="A177" s="54" t="s">
        <v>548</v>
      </c>
      <c r="B177" s="13" t="s">
        <v>558</v>
      </c>
      <c r="C177" s="35" t="s">
        <v>29</v>
      </c>
      <c r="D177" s="54" t="s">
        <v>567</v>
      </c>
      <c r="G177">
        <v>1.5</v>
      </c>
      <c r="I177" s="6">
        <v>60</v>
      </c>
    </row>
    <row r="178" spans="1:9" ht="15" x14ac:dyDescent="0.15">
      <c r="A178" s="54" t="s">
        <v>549</v>
      </c>
      <c r="B178" s="13" t="s">
        <v>559</v>
      </c>
      <c r="C178" s="35" t="s">
        <v>29</v>
      </c>
      <c r="D178" s="54" t="s">
        <v>578</v>
      </c>
      <c r="G178">
        <v>1</v>
      </c>
      <c r="I178" s="6">
        <v>60</v>
      </c>
    </row>
    <row r="179" spans="1:9" ht="15" x14ac:dyDescent="0.15">
      <c r="A179" s="54" t="s">
        <v>550</v>
      </c>
      <c r="B179" s="13" t="s">
        <v>560</v>
      </c>
      <c r="C179" s="35" t="s">
        <v>29</v>
      </c>
      <c r="D179" s="54" t="s">
        <v>568</v>
      </c>
      <c r="G179">
        <v>1.2</v>
      </c>
      <c r="I179" s="6">
        <v>60</v>
      </c>
    </row>
    <row r="180" spans="1:9" ht="15" x14ac:dyDescent="0.15">
      <c r="A180" s="5" t="s">
        <v>573</v>
      </c>
      <c r="B180" s="13" t="s">
        <v>571</v>
      </c>
      <c r="C180" s="12" t="s">
        <v>29</v>
      </c>
      <c r="D180" s="3" t="s">
        <v>570</v>
      </c>
      <c r="G180" s="6">
        <v>1</v>
      </c>
      <c r="I180" s="6">
        <v>10</v>
      </c>
    </row>
    <row r="181" spans="1:9" ht="15" x14ac:dyDescent="0.15">
      <c r="A181" s="46" t="s">
        <v>574</v>
      </c>
      <c r="B181" s="13" t="s">
        <v>575</v>
      </c>
      <c r="C181" s="12" t="s">
        <v>29</v>
      </c>
      <c r="D181" s="3" t="s">
        <v>357</v>
      </c>
      <c r="G181">
        <v>3.5</v>
      </c>
      <c r="I181" s="6">
        <v>60</v>
      </c>
    </row>
    <row r="182" spans="1:9" ht="15" x14ac:dyDescent="0.15">
      <c r="A182" s="28" t="s">
        <v>579</v>
      </c>
      <c r="B182" s="13" t="s">
        <v>599</v>
      </c>
      <c r="C182" s="12" t="s">
        <v>29</v>
      </c>
      <c r="D182" s="3" t="s">
        <v>619</v>
      </c>
      <c r="G182">
        <v>1</v>
      </c>
      <c r="I182" s="6">
        <v>60</v>
      </c>
    </row>
    <row r="183" spans="1:9" ht="15" x14ac:dyDescent="0.15">
      <c r="A183" s="28" t="s">
        <v>580</v>
      </c>
      <c r="B183" s="13" t="s">
        <v>600</v>
      </c>
      <c r="C183" s="12" t="s">
        <v>29</v>
      </c>
      <c r="D183" s="3" t="s">
        <v>619</v>
      </c>
      <c r="G183">
        <v>1.05</v>
      </c>
      <c r="I183" s="6">
        <v>60</v>
      </c>
    </row>
    <row r="184" spans="1:9" ht="15" x14ac:dyDescent="0.15">
      <c r="A184" s="28" t="s">
        <v>581</v>
      </c>
      <c r="B184" s="13" t="s">
        <v>601</v>
      </c>
      <c r="C184" s="12" t="s">
        <v>29</v>
      </c>
      <c r="D184" s="3" t="s">
        <v>619</v>
      </c>
      <c r="G184">
        <v>1.1000000000000001</v>
      </c>
      <c r="I184" s="6">
        <v>60</v>
      </c>
    </row>
    <row r="185" spans="1:9" ht="15" x14ac:dyDescent="0.15">
      <c r="A185" s="28" t="s">
        <v>582</v>
      </c>
      <c r="B185" s="13" t="s">
        <v>602</v>
      </c>
      <c r="C185" s="12" t="s">
        <v>29</v>
      </c>
      <c r="D185" s="3" t="s">
        <v>619</v>
      </c>
      <c r="G185">
        <v>1.1499999999999999</v>
      </c>
      <c r="I185" s="6">
        <v>60</v>
      </c>
    </row>
    <row r="186" spans="1:9" ht="15" x14ac:dyDescent="0.15">
      <c r="A186" s="28" t="s">
        <v>583</v>
      </c>
      <c r="B186" s="13" t="s">
        <v>603</v>
      </c>
      <c r="C186" s="12" t="s">
        <v>29</v>
      </c>
      <c r="D186" s="3" t="s">
        <v>619</v>
      </c>
      <c r="G186">
        <v>1.2</v>
      </c>
      <c r="I186" s="6">
        <v>60</v>
      </c>
    </row>
    <row r="187" spans="1:9" ht="15" x14ac:dyDescent="0.15">
      <c r="A187" s="28" t="s">
        <v>584</v>
      </c>
      <c r="B187" s="13" t="s">
        <v>604</v>
      </c>
      <c r="C187" s="12" t="s">
        <v>29</v>
      </c>
      <c r="D187" s="3" t="s">
        <v>619</v>
      </c>
      <c r="G187">
        <v>1.25</v>
      </c>
      <c r="I187" s="6">
        <v>60</v>
      </c>
    </row>
    <row r="188" spans="1:9" ht="15" x14ac:dyDescent="0.15">
      <c r="A188" s="28" t="s">
        <v>585</v>
      </c>
      <c r="B188" s="13" t="s">
        <v>605</v>
      </c>
      <c r="C188" s="12" t="s">
        <v>29</v>
      </c>
      <c r="D188" s="3" t="s">
        <v>619</v>
      </c>
      <c r="G188">
        <v>1.3</v>
      </c>
      <c r="I188" s="6">
        <v>60</v>
      </c>
    </row>
    <row r="189" spans="1:9" ht="15" x14ac:dyDescent="0.15">
      <c r="A189" s="28" t="s">
        <v>586</v>
      </c>
      <c r="B189" s="13" t="s">
        <v>606</v>
      </c>
      <c r="C189" s="12" t="s">
        <v>29</v>
      </c>
      <c r="D189" s="3" t="s">
        <v>619</v>
      </c>
      <c r="G189">
        <v>1.35</v>
      </c>
      <c r="I189" s="6">
        <v>60</v>
      </c>
    </row>
    <row r="190" spans="1:9" ht="15" x14ac:dyDescent="0.15">
      <c r="A190" s="28" t="s">
        <v>587</v>
      </c>
      <c r="B190" s="13" t="s">
        <v>607</v>
      </c>
      <c r="C190" s="12" t="s">
        <v>29</v>
      </c>
      <c r="D190" s="3" t="s">
        <v>619</v>
      </c>
      <c r="G190">
        <v>1.4</v>
      </c>
      <c r="I190" s="6">
        <v>60</v>
      </c>
    </row>
    <row r="191" spans="1:9" ht="15" x14ac:dyDescent="0.15">
      <c r="A191" s="28" t="s">
        <v>588</v>
      </c>
      <c r="B191" s="13" t="s">
        <v>608</v>
      </c>
      <c r="C191" s="12" t="s">
        <v>29</v>
      </c>
      <c r="D191" s="3" t="s">
        <v>619</v>
      </c>
      <c r="G191">
        <v>1.45</v>
      </c>
      <c r="I191" s="6">
        <v>60</v>
      </c>
    </row>
    <row r="192" spans="1:9" ht="15" x14ac:dyDescent="0.15">
      <c r="A192" s="28" t="s">
        <v>589</v>
      </c>
      <c r="B192" s="13" t="s">
        <v>609</v>
      </c>
      <c r="C192" s="12" t="s">
        <v>29</v>
      </c>
      <c r="D192" s="3" t="s">
        <v>619</v>
      </c>
      <c r="G192">
        <v>1.5</v>
      </c>
      <c r="I192" s="6">
        <v>60</v>
      </c>
    </row>
    <row r="193" spans="1:9" ht="15" x14ac:dyDescent="0.15">
      <c r="A193" s="28" t="s">
        <v>590</v>
      </c>
      <c r="B193" s="13" t="s">
        <v>610</v>
      </c>
      <c r="C193" s="12" t="s">
        <v>29</v>
      </c>
      <c r="D193" s="3" t="s">
        <v>619</v>
      </c>
      <c r="G193">
        <v>1.55</v>
      </c>
      <c r="I193" s="6">
        <v>60</v>
      </c>
    </row>
    <row r="194" spans="1:9" ht="15" x14ac:dyDescent="0.15">
      <c r="A194" s="28" t="s">
        <v>591</v>
      </c>
      <c r="B194" s="13" t="s">
        <v>611</v>
      </c>
      <c r="C194" s="12" t="s">
        <v>29</v>
      </c>
      <c r="D194" s="3" t="s">
        <v>619</v>
      </c>
      <c r="G194">
        <v>1.6</v>
      </c>
      <c r="I194" s="6">
        <v>60</v>
      </c>
    </row>
    <row r="195" spans="1:9" ht="15" x14ac:dyDescent="0.15">
      <c r="A195" s="28" t="s">
        <v>592</v>
      </c>
      <c r="B195" s="13" t="s">
        <v>612</v>
      </c>
      <c r="C195" s="12" t="s">
        <v>29</v>
      </c>
      <c r="D195" s="3" t="s">
        <v>619</v>
      </c>
      <c r="G195">
        <v>1.65</v>
      </c>
      <c r="I195" s="6">
        <v>60</v>
      </c>
    </row>
    <row r="196" spans="1:9" ht="15" x14ac:dyDescent="0.15">
      <c r="A196" s="28" t="s">
        <v>593</v>
      </c>
      <c r="B196" s="13" t="s">
        <v>613</v>
      </c>
      <c r="C196" s="12" t="s">
        <v>29</v>
      </c>
      <c r="D196" s="3" t="s">
        <v>619</v>
      </c>
      <c r="G196">
        <v>1.7</v>
      </c>
      <c r="I196" s="6">
        <v>60</v>
      </c>
    </row>
    <row r="197" spans="1:9" ht="15" x14ac:dyDescent="0.15">
      <c r="A197" s="28" t="s">
        <v>594</v>
      </c>
      <c r="B197" s="13" t="s">
        <v>614</v>
      </c>
      <c r="C197" s="12" t="s">
        <v>29</v>
      </c>
      <c r="D197" s="3" t="s">
        <v>619</v>
      </c>
      <c r="G197">
        <v>1.75</v>
      </c>
      <c r="I197" s="6">
        <v>60</v>
      </c>
    </row>
    <row r="198" spans="1:9" ht="15" x14ac:dyDescent="0.15">
      <c r="A198" s="28" t="s">
        <v>595</v>
      </c>
      <c r="B198" s="13" t="s">
        <v>615</v>
      </c>
      <c r="C198" s="12" t="s">
        <v>29</v>
      </c>
      <c r="D198" s="3" t="s">
        <v>619</v>
      </c>
      <c r="G198">
        <v>1.8</v>
      </c>
      <c r="I198" s="6">
        <v>60</v>
      </c>
    </row>
    <row r="199" spans="1:9" ht="15" x14ac:dyDescent="0.15">
      <c r="A199" s="28" t="s">
        <v>596</v>
      </c>
      <c r="B199" s="13" t="s">
        <v>616</v>
      </c>
      <c r="C199" s="12" t="s">
        <v>29</v>
      </c>
      <c r="D199" s="3" t="s">
        <v>619</v>
      </c>
      <c r="G199">
        <v>1.85</v>
      </c>
      <c r="I199" s="6">
        <v>60</v>
      </c>
    </row>
    <row r="200" spans="1:9" ht="15" x14ac:dyDescent="0.15">
      <c r="A200" s="28" t="s">
        <v>597</v>
      </c>
      <c r="B200" s="13" t="s">
        <v>617</v>
      </c>
      <c r="C200" s="12" t="s">
        <v>29</v>
      </c>
      <c r="D200" s="3" t="s">
        <v>619</v>
      </c>
      <c r="G200">
        <v>1.9</v>
      </c>
      <c r="I200" s="6">
        <v>60</v>
      </c>
    </row>
    <row r="201" spans="1:9" ht="15" x14ac:dyDescent="0.15">
      <c r="A201" s="28" t="s">
        <v>598</v>
      </c>
      <c r="B201" s="13" t="s">
        <v>618</v>
      </c>
      <c r="C201" s="12" t="s">
        <v>29</v>
      </c>
      <c r="D201" s="3" t="s">
        <v>619</v>
      </c>
      <c r="G201">
        <v>1.95</v>
      </c>
      <c r="I201" s="6">
        <v>60</v>
      </c>
    </row>
    <row r="202" spans="1:9" ht="15" x14ac:dyDescent="0.15">
      <c r="A202" s="28" t="s">
        <v>620</v>
      </c>
      <c r="B202" s="13" t="s">
        <v>640</v>
      </c>
      <c r="C202" s="12" t="s">
        <v>29</v>
      </c>
      <c r="D202" s="3" t="s">
        <v>660</v>
      </c>
      <c r="G202">
        <v>1</v>
      </c>
      <c r="I202" s="6">
        <v>60</v>
      </c>
    </row>
    <row r="203" spans="1:9" ht="15" x14ac:dyDescent="0.15">
      <c r="A203" s="28" t="s">
        <v>621</v>
      </c>
      <c r="B203" s="13" t="s">
        <v>641</v>
      </c>
      <c r="C203" s="12" t="s">
        <v>29</v>
      </c>
      <c r="D203" s="3" t="s">
        <v>660</v>
      </c>
      <c r="G203">
        <v>1.05</v>
      </c>
      <c r="I203" s="6">
        <v>60</v>
      </c>
    </row>
    <row r="204" spans="1:9" ht="15" x14ac:dyDescent="0.15">
      <c r="A204" s="28" t="s">
        <v>622</v>
      </c>
      <c r="B204" s="13" t="s">
        <v>642</v>
      </c>
      <c r="C204" s="12" t="s">
        <v>29</v>
      </c>
      <c r="D204" s="3" t="s">
        <v>660</v>
      </c>
      <c r="G204">
        <v>1.1000000000000001</v>
      </c>
      <c r="I204" s="6">
        <v>60</v>
      </c>
    </row>
    <row r="205" spans="1:9" ht="15" x14ac:dyDescent="0.15">
      <c r="A205" s="28" t="s">
        <v>623</v>
      </c>
      <c r="B205" s="13" t="s">
        <v>643</v>
      </c>
      <c r="C205" s="12" t="s">
        <v>29</v>
      </c>
      <c r="D205" s="3" t="s">
        <v>660</v>
      </c>
      <c r="G205">
        <v>1.1499999999999999</v>
      </c>
      <c r="I205" s="6">
        <v>60</v>
      </c>
    </row>
    <row r="206" spans="1:9" ht="15" x14ac:dyDescent="0.15">
      <c r="A206" s="28" t="s">
        <v>624</v>
      </c>
      <c r="B206" s="13" t="s">
        <v>644</v>
      </c>
      <c r="C206" s="12" t="s">
        <v>29</v>
      </c>
      <c r="D206" s="3" t="s">
        <v>660</v>
      </c>
      <c r="G206">
        <v>1.2</v>
      </c>
      <c r="I206" s="6">
        <v>60</v>
      </c>
    </row>
    <row r="207" spans="1:9" ht="15" x14ac:dyDescent="0.15">
      <c r="A207" s="28" t="s">
        <v>625</v>
      </c>
      <c r="B207" s="13" t="s">
        <v>645</v>
      </c>
      <c r="C207" s="12" t="s">
        <v>29</v>
      </c>
      <c r="D207" s="3" t="s">
        <v>660</v>
      </c>
      <c r="G207">
        <v>1.25</v>
      </c>
      <c r="I207" s="6">
        <v>60</v>
      </c>
    </row>
    <row r="208" spans="1:9" ht="15" x14ac:dyDescent="0.15">
      <c r="A208" s="28" t="s">
        <v>626</v>
      </c>
      <c r="B208" s="13" t="s">
        <v>646</v>
      </c>
      <c r="C208" s="12" t="s">
        <v>29</v>
      </c>
      <c r="D208" s="3" t="s">
        <v>660</v>
      </c>
      <c r="G208">
        <v>1.3</v>
      </c>
      <c r="I208" s="6">
        <v>60</v>
      </c>
    </row>
    <row r="209" spans="1:9" ht="15" x14ac:dyDescent="0.15">
      <c r="A209" s="28" t="s">
        <v>627</v>
      </c>
      <c r="B209" s="13" t="s">
        <v>647</v>
      </c>
      <c r="C209" s="12" t="s">
        <v>29</v>
      </c>
      <c r="D209" s="3" t="s">
        <v>660</v>
      </c>
      <c r="G209">
        <v>1.35</v>
      </c>
      <c r="I209" s="6">
        <v>60</v>
      </c>
    </row>
    <row r="210" spans="1:9" ht="15" x14ac:dyDescent="0.15">
      <c r="A210" s="28" t="s">
        <v>628</v>
      </c>
      <c r="B210" s="13" t="s">
        <v>648</v>
      </c>
      <c r="C210" s="12" t="s">
        <v>29</v>
      </c>
      <c r="D210" s="3" t="s">
        <v>660</v>
      </c>
      <c r="G210">
        <v>1.4</v>
      </c>
      <c r="I210" s="6">
        <v>60</v>
      </c>
    </row>
    <row r="211" spans="1:9" ht="15" x14ac:dyDescent="0.15">
      <c r="A211" s="28" t="s">
        <v>629</v>
      </c>
      <c r="B211" s="13" t="s">
        <v>649</v>
      </c>
      <c r="C211" s="12" t="s">
        <v>29</v>
      </c>
      <c r="D211" s="3" t="s">
        <v>660</v>
      </c>
      <c r="G211">
        <v>1.45</v>
      </c>
      <c r="I211" s="6">
        <v>60</v>
      </c>
    </row>
    <row r="212" spans="1:9" ht="15" x14ac:dyDescent="0.15">
      <c r="A212" s="28" t="s">
        <v>630</v>
      </c>
      <c r="B212" s="13" t="s">
        <v>650</v>
      </c>
      <c r="C212" s="12" t="s">
        <v>29</v>
      </c>
      <c r="D212" s="3" t="s">
        <v>660</v>
      </c>
      <c r="G212">
        <v>1.5</v>
      </c>
      <c r="I212" s="6">
        <v>60</v>
      </c>
    </row>
    <row r="213" spans="1:9" ht="15" x14ac:dyDescent="0.15">
      <c r="A213" s="28" t="s">
        <v>631</v>
      </c>
      <c r="B213" s="13" t="s">
        <v>651</v>
      </c>
      <c r="C213" s="12" t="s">
        <v>29</v>
      </c>
      <c r="D213" s="3" t="s">
        <v>660</v>
      </c>
      <c r="G213">
        <v>1.55</v>
      </c>
      <c r="I213" s="6">
        <v>60</v>
      </c>
    </row>
    <row r="214" spans="1:9" ht="15" x14ac:dyDescent="0.15">
      <c r="A214" s="28" t="s">
        <v>632</v>
      </c>
      <c r="B214" s="13" t="s">
        <v>652</v>
      </c>
      <c r="C214" s="12" t="s">
        <v>29</v>
      </c>
      <c r="D214" s="3" t="s">
        <v>660</v>
      </c>
      <c r="G214">
        <v>1.6</v>
      </c>
      <c r="I214" s="6">
        <v>60</v>
      </c>
    </row>
    <row r="215" spans="1:9" ht="15" x14ac:dyDescent="0.15">
      <c r="A215" s="28" t="s">
        <v>633</v>
      </c>
      <c r="B215" s="13" t="s">
        <v>653</v>
      </c>
      <c r="C215" s="12" t="s">
        <v>29</v>
      </c>
      <c r="D215" s="3" t="s">
        <v>660</v>
      </c>
      <c r="G215">
        <v>1.65</v>
      </c>
      <c r="I215" s="6">
        <v>60</v>
      </c>
    </row>
    <row r="216" spans="1:9" ht="15" x14ac:dyDescent="0.15">
      <c r="A216" s="28" t="s">
        <v>634</v>
      </c>
      <c r="B216" s="13" t="s">
        <v>654</v>
      </c>
      <c r="C216" s="12" t="s">
        <v>29</v>
      </c>
      <c r="D216" s="3" t="s">
        <v>660</v>
      </c>
      <c r="G216">
        <v>1.7</v>
      </c>
      <c r="I216" s="6">
        <v>60</v>
      </c>
    </row>
    <row r="217" spans="1:9" ht="15" x14ac:dyDescent="0.15">
      <c r="A217" s="28" t="s">
        <v>635</v>
      </c>
      <c r="B217" s="13" t="s">
        <v>655</v>
      </c>
      <c r="C217" s="12" t="s">
        <v>29</v>
      </c>
      <c r="D217" s="3" t="s">
        <v>660</v>
      </c>
      <c r="G217">
        <v>1.75</v>
      </c>
      <c r="I217" s="6">
        <v>60</v>
      </c>
    </row>
    <row r="218" spans="1:9" ht="15" x14ac:dyDescent="0.15">
      <c r="A218" s="28" t="s">
        <v>636</v>
      </c>
      <c r="B218" s="13" t="s">
        <v>656</v>
      </c>
      <c r="C218" s="12" t="s">
        <v>29</v>
      </c>
      <c r="D218" s="3" t="s">
        <v>660</v>
      </c>
      <c r="G218">
        <v>1.8</v>
      </c>
      <c r="I218" s="6">
        <v>60</v>
      </c>
    </row>
    <row r="219" spans="1:9" ht="15" x14ac:dyDescent="0.15">
      <c r="A219" s="28" t="s">
        <v>637</v>
      </c>
      <c r="B219" s="13" t="s">
        <v>657</v>
      </c>
      <c r="C219" s="12" t="s">
        <v>29</v>
      </c>
      <c r="D219" s="3" t="s">
        <v>660</v>
      </c>
      <c r="G219">
        <v>1.85</v>
      </c>
      <c r="I219" s="6">
        <v>60</v>
      </c>
    </row>
    <row r="220" spans="1:9" ht="15" x14ac:dyDescent="0.15">
      <c r="A220" s="28" t="s">
        <v>638</v>
      </c>
      <c r="B220" s="13" t="s">
        <v>658</v>
      </c>
      <c r="C220" s="12" t="s">
        <v>29</v>
      </c>
      <c r="D220" s="3" t="s">
        <v>660</v>
      </c>
      <c r="G220">
        <v>1.9</v>
      </c>
      <c r="I220" s="6">
        <v>60</v>
      </c>
    </row>
    <row r="221" spans="1:9" ht="15" x14ac:dyDescent="0.15">
      <c r="A221" s="28" t="s">
        <v>639</v>
      </c>
      <c r="B221" s="13" t="s">
        <v>659</v>
      </c>
      <c r="C221" s="12" t="s">
        <v>29</v>
      </c>
      <c r="D221" s="3" t="s">
        <v>660</v>
      </c>
      <c r="G221">
        <v>1.95</v>
      </c>
      <c r="I221" s="6">
        <v>60</v>
      </c>
    </row>
    <row r="222" spans="1:9" ht="15" x14ac:dyDescent="0.15">
      <c r="A222" s="28" t="s">
        <v>664</v>
      </c>
      <c r="B222" s="13" t="s">
        <v>663</v>
      </c>
      <c r="C222" s="12" t="s">
        <v>29</v>
      </c>
      <c r="D222" s="62" t="s">
        <v>665</v>
      </c>
      <c r="G222">
        <v>4</v>
      </c>
      <c r="I222" s="6">
        <v>10</v>
      </c>
    </row>
    <row r="223" spans="1:9" s="45" customFormat="1" ht="15" x14ac:dyDescent="0.15">
      <c r="A223" s="61" t="s">
        <v>662</v>
      </c>
      <c r="B223" s="13" t="s">
        <v>666</v>
      </c>
      <c r="C223" s="46" t="s">
        <v>29</v>
      </c>
      <c r="D223" s="62" t="s">
        <v>665</v>
      </c>
      <c r="G223" s="63">
        <v>1.8</v>
      </c>
      <c r="I223" s="63">
        <v>10</v>
      </c>
    </row>
    <row r="224" spans="1:9" ht="15" x14ac:dyDescent="0.15">
      <c r="A224" s="28" t="s">
        <v>668</v>
      </c>
      <c r="B224" s="13" t="s">
        <v>669</v>
      </c>
      <c r="C224" s="46" t="s">
        <v>671</v>
      </c>
      <c r="D224" s="3" t="s">
        <v>670</v>
      </c>
      <c r="G224" s="63">
        <v>1</v>
      </c>
      <c r="H224" s="45"/>
      <c r="I224" s="63">
        <v>30</v>
      </c>
    </row>
    <row r="225" spans="1:12" ht="15" x14ac:dyDescent="0.15">
      <c r="A225" s="54" t="s">
        <v>677</v>
      </c>
      <c r="B225" s="13" t="s">
        <v>672</v>
      </c>
      <c r="C225" s="46" t="s">
        <v>29</v>
      </c>
      <c r="D225" s="3" t="s">
        <v>682</v>
      </c>
      <c r="G225">
        <v>1.1000000000000001</v>
      </c>
      <c r="I225" s="6">
        <v>60</v>
      </c>
    </row>
    <row r="226" spans="1:12" ht="15" x14ac:dyDescent="0.15">
      <c r="A226" s="54" t="s">
        <v>678</v>
      </c>
      <c r="B226" s="13" t="s">
        <v>673</v>
      </c>
      <c r="C226" s="46" t="s">
        <v>29</v>
      </c>
      <c r="D226" s="3" t="s">
        <v>682</v>
      </c>
      <c r="G226">
        <v>1.1499999999999999</v>
      </c>
      <c r="I226" s="6">
        <v>60</v>
      </c>
    </row>
    <row r="227" spans="1:12" ht="15" x14ac:dyDescent="0.15">
      <c r="A227" s="54" t="s">
        <v>679</v>
      </c>
      <c r="B227" s="13" t="s">
        <v>674</v>
      </c>
      <c r="C227" s="46" t="s">
        <v>29</v>
      </c>
      <c r="D227" s="3" t="s">
        <v>682</v>
      </c>
      <c r="G227">
        <v>1.2</v>
      </c>
      <c r="I227" s="6">
        <v>60</v>
      </c>
    </row>
    <row r="228" spans="1:12" ht="15" x14ac:dyDescent="0.15">
      <c r="A228" s="54" t="s">
        <v>680</v>
      </c>
      <c r="B228" s="13" t="s">
        <v>675</v>
      </c>
      <c r="C228" s="46" t="s">
        <v>29</v>
      </c>
      <c r="D228" s="3" t="s">
        <v>682</v>
      </c>
      <c r="G228">
        <v>1.25</v>
      </c>
      <c r="I228" s="6">
        <v>60</v>
      </c>
    </row>
    <row r="229" spans="1:12" ht="15" x14ac:dyDescent="0.15">
      <c r="A229" s="54" t="s">
        <v>681</v>
      </c>
      <c r="B229" s="13" t="s">
        <v>676</v>
      </c>
      <c r="C229" s="46" t="s">
        <v>29</v>
      </c>
      <c r="D229" s="3" t="s">
        <v>682</v>
      </c>
      <c r="G229">
        <v>1.5</v>
      </c>
      <c r="I229" s="6">
        <v>60</v>
      </c>
    </row>
    <row r="230" spans="1:12" ht="15" x14ac:dyDescent="0.15">
      <c r="A230" s="61" t="s">
        <v>685</v>
      </c>
      <c r="B230" s="13" t="s">
        <v>683</v>
      </c>
      <c r="C230" s="46" t="s">
        <v>29</v>
      </c>
      <c r="D230" s="3" t="s">
        <v>684</v>
      </c>
      <c r="G230">
        <v>0.9</v>
      </c>
      <c r="I230" s="6">
        <v>10</v>
      </c>
    </row>
    <row r="231" spans="1:12" ht="15" x14ac:dyDescent="0.15">
      <c r="A231" s="12" t="s">
        <v>687</v>
      </c>
      <c r="B231" s="13" t="s">
        <v>686</v>
      </c>
      <c r="C231" s="12" t="s">
        <v>29</v>
      </c>
      <c r="D231" s="36" t="s">
        <v>358</v>
      </c>
      <c r="E231" s="9"/>
      <c r="F231" s="9"/>
      <c r="G231" s="9">
        <v>0.8</v>
      </c>
      <c r="H231" s="9"/>
      <c r="I231" s="9">
        <v>35</v>
      </c>
      <c r="J231" s="9"/>
      <c r="K231" s="9"/>
      <c r="L231" s="9"/>
    </row>
  </sheetData>
  <phoneticPr fontId="10" type="noConversion"/>
  <conditionalFormatting sqref="D4:D7">
    <cfRule type="duplicateValues" dxfId="5" priority="6"/>
  </conditionalFormatting>
  <conditionalFormatting sqref="D14:D27">
    <cfRule type="duplicateValues" dxfId="4" priority="5"/>
  </conditionalFormatting>
  <conditionalFormatting sqref="D39:D62">
    <cfRule type="duplicateValues" dxfId="3" priority="4"/>
  </conditionalFormatting>
  <conditionalFormatting sqref="D63:D92">
    <cfRule type="duplicateValues" dxfId="2" priority="3"/>
  </conditionalFormatting>
  <conditionalFormatting sqref="D28">
    <cfRule type="duplicateValues" dxfId="1" priority="2"/>
  </conditionalFormatting>
  <conditionalFormatting sqref="D231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138</v>
      </c>
    </row>
    <row r="2" spans="1:1" ht="15" x14ac:dyDescent="0.15">
      <c r="A2" s="9" t="s">
        <v>139</v>
      </c>
    </row>
    <row r="3" spans="1:1" ht="15" x14ac:dyDescent="0.15">
      <c r="A3" s="38" t="s">
        <v>140</v>
      </c>
    </row>
    <row r="4" spans="1:1" ht="15" x14ac:dyDescent="0.15">
      <c r="A4" s="9" t="s">
        <v>141</v>
      </c>
    </row>
    <row r="5" spans="1:1" ht="15" x14ac:dyDescent="0.15">
      <c r="A5" s="9" t="s">
        <v>142</v>
      </c>
    </row>
    <row r="6" spans="1:1" ht="15" x14ac:dyDescent="0.15">
      <c r="A6" s="9" t="s">
        <v>143</v>
      </c>
    </row>
    <row r="7" spans="1:1" ht="15" x14ac:dyDescent="0.15">
      <c r="A7" s="9" t="s">
        <v>144</v>
      </c>
    </row>
    <row r="8" spans="1:1" ht="15" x14ac:dyDescent="0.15">
      <c r="A8" s="9" t="s">
        <v>145</v>
      </c>
    </row>
    <row r="9" spans="1:1" ht="15" x14ac:dyDescent="0.15">
      <c r="A9" s="9" t="s">
        <v>146</v>
      </c>
    </row>
    <row r="10" spans="1:1" ht="15" x14ac:dyDescent="0.15">
      <c r="A10" s="9" t="s">
        <v>147</v>
      </c>
    </row>
    <row r="11" spans="1:1" ht="15" x14ac:dyDescent="0.15">
      <c r="A11" s="9" t="s">
        <v>148</v>
      </c>
    </row>
    <row r="12" spans="1:1" ht="15" x14ac:dyDescent="0.15">
      <c r="A12" s="9" t="s">
        <v>149</v>
      </c>
    </row>
    <row r="13" spans="1:1" ht="15" x14ac:dyDescent="0.15">
      <c r="A13" s="9" t="s">
        <v>150</v>
      </c>
    </row>
    <row r="14" spans="1:1" ht="15" x14ac:dyDescent="0.15">
      <c r="A14" s="9" t="s">
        <v>151</v>
      </c>
    </row>
    <row r="15" spans="1:1" ht="15" x14ac:dyDescent="0.15">
      <c r="A15" s="9" t="s">
        <v>152</v>
      </c>
    </row>
    <row r="16" spans="1:1" ht="15" x14ac:dyDescent="0.15">
      <c r="A16" s="9" t="s">
        <v>153</v>
      </c>
    </row>
    <row r="17" spans="1:1" ht="15" x14ac:dyDescent="0.15">
      <c r="A17" s="9" t="s">
        <v>154</v>
      </c>
    </row>
    <row r="18" spans="1:1" ht="15" x14ac:dyDescent="0.15">
      <c r="A18" s="9" t="s">
        <v>155</v>
      </c>
    </row>
    <row r="19" spans="1:1" ht="15" x14ac:dyDescent="0.15">
      <c r="A19" s="9" t="s">
        <v>156</v>
      </c>
    </row>
    <row r="20" spans="1:1" ht="15" x14ac:dyDescent="0.15">
      <c r="A20" s="32" t="s">
        <v>157</v>
      </c>
    </row>
    <row r="21" spans="1:1" ht="15" x14ac:dyDescent="0.15">
      <c r="A21" s="9" t="s">
        <v>158</v>
      </c>
    </row>
    <row r="22" spans="1:1" ht="15" x14ac:dyDescent="0.15">
      <c r="A22" s="9" t="s">
        <v>159</v>
      </c>
    </row>
    <row r="23" spans="1:1" ht="15" x14ac:dyDescent="0.15">
      <c r="A23" s="9" t="s">
        <v>160</v>
      </c>
    </row>
    <row r="24" spans="1:1" ht="15" x14ac:dyDescent="0.15">
      <c r="A24" s="9" t="s">
        <v>161</v>
      </c>
    </row>
    <row r="25" spans="1:1" ht="15" x14ac:dyDescent="0.15">
      <c r="A25" s="9" t="s">
        <v>162</v>
      </c>
    </row>
    <row r="26" spans="1:1" ht="15" x14ac:dyDescent="0.15">
      <c r="A26" s="32" t="s">
        <v>163</v>
      </c>
    </row>
    <row r="27" spans="1:1" ht="15" x14ac:dyDescent="0.15">
      <c r="A27" s="9" t="s">
        <v>164</v>
      </c>
    </row>
    <row r="28" spans="1:1" ht="15" x14ac:dyDescent="0.15">
      <c r="A28" s="32" t="s">
        <v>165</v>
      </c>
    </row>
    <row r="29" spans="1:1" ht="15" x14ac:dyDescent="0.15">
      <c r="A29" s="9" t="s">
        <v>166</v>
      </c>
    </row>
    <row r="30" spans="1:1" ht="15" x14ac:dyDescent="0.15">
      <c r="A30" s="32" t="s">
        <v>167</v>
      </c>
    </row>
    <row r="31" spans="1:1" x14ac:dyDescent="0.15">
      <c r="A31" s="39" t="s">
        <v>168</v>
      </c>
    </row>
    <row r="32" spans="1:1" x14ac:dyDescent="0.15">
      <c r="A32" s="5" t="s">
        <v>169</v>
      </c>
    </row>
    <row r="33" spans="1:1" x14ac:dyDescent="0.15">
      <c r="A33" s="39" t="s">
        <v>170</v>
      </c>
    </row>
    <row r="34" spans="1:1" x14ac:dyDescent="0.15">
      <c r="A34" s="5" t="s">
        <v>171</v>
      </c>
    </row>
    <row r="35" spans="1:1" x14ac:dyDescent="0.15">
      <c r="A35" s="5" t="s">
        <v>172</v>
      </c>
    </row>
    <row r="36" spans="1:1" x14ac:dyDescent="0.15">
      <c r="A36" s="5" t="s">
        <v>173</v>
      </c>
    </row>
    <row r="37" spans="1:1" x14ac:dyDescent="0.15">
      <c r="A37" s="5" t="s">
        <v>174</v>
      </c>
    </row>
    <row r="38" spans="1:1" ht="15" x14ac:dyDescent="0.15">
      <c r="A38" s="9" t="s">
        <v>175</v>
      </c>
    </row>
    <row r="39" spans="1:1" ht="15" x14ac:dyDescent="0.15">
      <c r="A39" s="9" t="s">
        <v>176</v>
      </c>
    </row>
    <row r="40" spans="1:1" ht="15" x14ac:dyDescent="0.15">
      <c r="A40" s="9" t="s">
        <v>177</v>
      </c>
    </row>
    <row r="41" spans="1:1" ht="15" x14ac:dyDescent="0.15">
      <c r="A41" s="9" t="s">
        <v>178</v>
      </c>
    </row>
    <row r="42" spans="1:1" ht="15" x14ac:dyDescent="0.15">
      <c r="A42" s="9" t="s">
        <v>179</v>
      </c>
    </row>
    <row r="43" spans="1:1" ht="15" x14ac:dyDescent="0.15">
      <c r="A43" s="9" t="s">
        <v>180</v>
      </c>
    </row>
    <row r="44" spans="1:1" ht="15" x14ac:dyDescent="0.15">
      <c r="A44" s="9" t="s">
        <v>181</v>
      </c>
    </row>
    <row r="45" spans="1:1" ht="15" x14ac:dyDescent="0.15">
      <c r="A45" s="9" t="s">
        <v>182</v>
      </c>
    </row>
    <row r="46" spans="1:1" ht="15" x14ac:dyDescent="0.15">
      <c r="A46" s="9" t="s">
        <v>183</v>
      </c>
    </row>
    <row r="47" spans="1:1" ht="15" x14ac:dyDescent="0.15">
      <c r="A47" s="9" t="s">
        <v>184</v>
      </c>
    </row>
  </sheetData>
  <phoneticPr fontId="1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231"/>
  <sheetViews>
    <sheetView tabSelected="1" topLeftCell="A215" zoomScaleNormal="100" workbookViewId="0">
      <pane xSplit="1" topLeftCell="B1" activePane="topRight" state="frozen"/>
      <selection pane="topRight" activeCell="N240" sqref="N240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  <col min="21" max="21" width="18.25" style="60" customWidth="1"/>
    <col min="22" max="22" width="18.625" customWidth="1"/>
    <col min="26" max="26" width="9" style="1"/>
  </cols>
  <sheetData>
    <row r="1" spans="1:31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185</v>
      </c>
      <c r="P1" s="7" t="s">
        <v>186</v>
      </c>
      <c r="Q1" s="7" t="s">
        <v>186</v>
      </c>
      <c r="R1" s="7" t="s">
        <v>186</v>
      </c>
      <c r="S1" s="7" t="s">
        <v>186</v>
      </c>
      <c r="T1" s="7" t="s">
        <v>186</v>
      </c>
      <c r="U1" s="55" t="s">
        <v>186</v>
      </c>
      <c r="V1" s="7" t="s">
        <v>186</v>
      </c>
      <c r="W1" s="7" t="s">
        <v>186</v>
      </c>
      <c r="X1" s="7" t="s">
        <v>186</v>
      </c>
      <c r="Y1" s="7" t="s">
        <v>186</v>
      </c>
      <c r="Z1" s="11" t="s">
        <v>186</v>
      </c>
      <c r="AA1" s="7" t="s">
        <v>186</v>
      </c>
      <c r="AB1" s="7" t="s">
        <v>186</v>
      </c>
      <c r="AC1" s="7" t="s">
        <v>186</v>
      </c>
      <c r="AD1" s="7" t="s">
        <v>186</v>
      </c>
      <c r="AE1" s="5" t="s">
        <v>187</v>
      </c>
    </row>
    <row r="2" spans="1:31" x14ac:dyDescent="0.15">
      <c r="A2" t="s">
        <v>1</v>
      </c>
      <c r="B2" s="5" t="s">
        <v>3</v>
      </c>
      <c r="C2" s="37" t="s">
        <v>188</v>
      </c>
      <c r="D2" s="3" t="s">
        <v>350</v>
      </c>
      <c r="E2" s="6" t="s">
        <v>189</v>
      </c>
      <c r="F2" s="7" t="s">
        <v>190</v>
      </c>
      <c r="G2" s="40" t="s">
        <v>191</v>
      </c>
      <c r="H2" s="40" t="s">
        <v>192</v>
      </c>
      <c r="I2" s="40" t="s">
        <v>193</v>
      </c>
      <c r="J2" s="7" t="s">
        <v>194</v>
      </c>
      <c r="K2" s="20" t="s">
        <v>195</v>
      </c>
      <c r="L2" s="20" t="s">
        <v>354</v>
      </c>
      <c r="M2" s="21" t="s">
        <v>196</v>
      </c>
      <c r="N2" s="6" t="s">
        <v>197</v>
      </c>
      <c r="O2" s="22"/>
      <c r="P2" s="22"/>
      <c r="Q2" s="22"/>
      <c r="R2" s="16"/>
      <c r="S2" s="16"/>
      <c r="T2" s="16"/>
      <c r="U2" s="56"/>
      <c r="V2" s="16"/>
      <c r="W2" s="16"/>
      <c r="X2" s="16"/>
      <c r="Y2" s="16"/>
    </row>
    <row r="3" spans="1:31" ht="15" x14ac:dyDescent="0.15">
      <c r="B3" s="5" t="s">
        <v>13</v>
      </c>
      <c r="C3" s="8" t="s">
        <v>353</v>
      </c>
      <c r="D3" s="5" t="s">
        <v>352</v>
      </c>
      <c r="E3" s="9" t="s">
        <v>198</v>
      </c>
      <c r="F3" s="10" t="s">
        <v>199</v>
      </c>
      <c r="G3" s="1" t="s">
        <v>200</v>
      </c>
      <c r="H3" s="11" t="s">
        <v>201</v>
      </c>
      <c r="I3" s="11" t="s">
        <v>359</v>
      </c>
      <c r="J3" s="1" t="s">
        <v>202</v>
      </c>
      <c r="K3" s="23" t="s">
        <v>203</v>
      </c>
      <c r="L3" s="23" t="s">
        <v>355</v>
      </c>
      <c r="M3" s="20" t="s">
        <v>204</v>
      </c>
      <c r="N3" s="13" t="s">
        <v>205</v>
      </c>
      <c r="O3" s="10"/>
      <c r="P3" s="1" t="s">
        <v>206</v>
      </c>
      <c r="Q3" s="1" t="s">
        <v>207</v>
      </c>
      <c r="R3" s="1" t="s">
        <v>208</v>
      </c>
      <c r="S3" s="1" t="s">
        <v>209</v>
      </c>
      <c r="T3" s="1" t="s">
        <v>210</v>
      </c>
      <c r="U3" s="57" t="s">
        <v>211</v>
      </c>
      <c r="V3" s="1" t="s">
        <v>212</v>
      </c>
      <c r="W3" s="11" t="s">
        <v>213</v>
      </c>
      <c r="X3" s="11" t="s">
        <v>214</v>
      </c>
      <c r="Y3" s="11" t="s">
        <v>215</v>
      </c>
      <c r="Z3" s="11" t="s">
        <v>569</v>
      </c>
      <c r="AA3" s="30" t="s">
        <v>216</v>
      </c>
      <c r="AB3" s="30" t="s">
        <v>217</v>
      </c>
      <c r="AC3" s="30" t="s">
        <v>218</v>
      </c>
      <c r="AD3" s="30" t="s">
        <v>219</v>
      </c>
    </row>
    <row r="4" spans="1:31" s="1" customFormat="1" ht="105.75" customHeight="1" x14ac:dyDescent="0.15">
      <c r="A4" s="12" t="s">
        <v>24</v>
      </c>
      <c r="B4" s="13" t="s">
        <v>25</v>
      </c>
      <c r="C4" s="11" t="s">
        <v>220</v>
      </c>
      <c r="D4" s="11"/>
      <c r="G4" s="14">
        <v>15</v>
      </c>
      <c r="H4" s="15"/>
      <c r="I4" s="15"/>
      <c r="J4" s="14">
        <v>10</v>
      </c>
      <c r="K4" s="24">
        <v>5.8999999999999997E-2</v>
      </c>
      <c r="L4" s="24"/>
      <c r="M4" s="21" t="s">
        <v>221</v>
      </c>
      <c r="N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18">
        <v>1.2</v>
      </c>
      <c r="V4" s="27">
        <v>11</v>
      </c>
      <c r="W4" s="29">
        <v>0</v>
      </c>
      <c r="X4" s="27">
        <v>200</v>
      </c>
      <c r="Y4" s="27">
        <v>0</v>
      </c>
      <c r="Z4" s="27">
        <v>0</v>
      </c>
      <c r="AA4" s="27">
        <v>20</v>
      </c>
      <c r="AB4" s="27">
        <v>45</v>
      </c>
      <c r="AC4" s="27">
        <v>0</v>
      </c>
      <c r="AD4" s="27">
        <v>0</v>
      </c>
    </row>
    <row r="5" spans="1:31" ht="15" x14ac:dyDescent="0.15">
      <c r="A5" s="6" t="s">
        <v>27</v>
      </c>
      <c r="B5" s="13" t="s">
        <v>28</v>
      </c>
      <c r="C5" s="7" t="s">
        <v>222</v>
      </c>
      <c r="D5" s="7"/>
      <c r="F5" s="16"/>
      <c r="G5" s="14">
        <v>10</v>
      </c>
      <c r="H5" s="15"/>
      <c r="I5" s="15"/>
      <c r="J5" s="14">
        <v>10</v>
      </c>
      <c r="K5" s="24">
        <v>35</v>
      </c>
      <c r="L5" s="24"/>
      <c r="M5" s="21" t="s">
        <v>221</v>
      </c>
      <c r="N5" s="28"/>
      <c r="O5" s="26"/>
      <c r="P5" s="27">
        <v>325</v>
      </c>
      <c r="Q5" s="27">
        <v>8</v>
      </c>
      <c r="R5" s="27">
        <v>20000</v>
      </c>
      <c r="S5" s="27">
        <v>100</v>
      </c>
      <c r="T5" s="27">
        <v>350</v>
      </c>
      <c r="U5" s="18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0</v>
      </c>
      <c r="AA5" s="27">
        <v>10</v>
      </c>
      <c r="AB5" s="27">
        <v>100</v>
      </c>
      <c r="AC5" s="27">
        <v>0</v>
      </c>
      <c r="AD5" s="27">
        <v>0</v>
      </c>
    </row>
    <row r="6" spans="1:31" ht="15" x14ac:dyDescent="0.15">
      <c r="A6" s="6" t="s">
        <v>31</v>
      </c>
      <c r="B6" s="13" t="s">
        <v>32</v>
      </c>
      <c r="C6" s="11" t="s">
        <v>220</v>
      </c>
      <c r="D6" s="11" t="s">
        <v>351</v>
      </c>
      <c r="F6" s="16"/>
      <c r="G6" s="14">
        <v>10</v>
      </c>
      <c r="H6" s="15"/>
      <c r="I6" s="15"/>
      <c r="J6" s="14">
        <v>0</v>
      </c>
      <c r="K6" s="24">
        <v>0</v>
      </c>
      <c r="L6" s="24"/>
      <c r="M6" s="21"/>
      <c r="O6" s="26"/>
      <c r="P6" s="27">
        <v>35</v>
      </c>
      <c r="Q6" s="27">
        <f>Q4</f>
        <v>4.5</v>
      </c>
      <c r="R6" s="27">
        <v>2000</v>
      </c>
      <c r="S6" s="27">
        <v>100</v>
      </c>
      <c r="T6" s="27">
        <v>350</v>
      </c>
      <c r="U6" s="18">
        <v>1.2</v>
      </c>
      <c r="V6" s="27">
        <v>0</v>
      </c>
      <c r="W6" s="29">
        <v>0</v>
      </c>
      <c r="X6" s="27">
        <v>200</v>
      </c>
      <c r="Y6" s="27">
        <v>0</v>
      </c>
      <c r="Z6" s="27">
        <v>0</v>
      </c>
      <c r="AA6" s="27">
        <v>20</v>
      </c>
      <c r="AB6" s="27">
        <v>45</v>
      </c>
      <c r="AC6" s="27">
        <v>0</v>
      </c>
      <c r="AD6" s="27">
        <v>0</v>
      </c>
    </row>
    <row r="7" spans="1:31" ht="15" x14ac:dyDescent="0.15">
      <c r="A7" s="6" t="s">
        <v>33</v>
      </c>
      <c r="B7" s="13" t="s">
        <v>34</v>
      </c>
      <c r="C7" s="7" t="s">
        <v>222</v>
      </c>
      <c r="D7" s="11" t="s">
        <v>351</v>
      </c>
      <c r="F7" s="16"/>
      <c r="G7" s="14">
        <v>10</v>
      </c>
      <c r="H7" s="15"/>
      <c r="I7" s="15"/>
      <c r="J7" s="14">
        <v>0</v>
      </c>
      <c r="K7" s="24">
        <v>0</v>
      </c>
      <c r="L7" s="24"/>
      <c r="M7" s="21"/>
      <c r="O7" s="26"/>
      <c r="P7" s="27">
        <f>P5</f>
        <v>325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18">
        <v>1</v>
      </c>
      <c r="V7" s="27">
        <v>0</v>
      </c>
      <c r="W7" s="29">
        <v>0</v>
      </c>
      <c r="X7" s="27">
        <v>400</v>
      </c>
      <c r="Y7" s="27">
        <v>0</v>
      </c>
      <c r="Z7" s="27">
        <v>0</v>
      </c>
      <c r="AA7" s="27">
        <v>20</v>
      </c>
      <c r="AB7" s="27">
        <v>450</v>
      </c>
      <c r="AC7" s="27">
        <v>0</v>
      </c>
      <c r="AD7" s="27">
        <v>0</v>
      </c>
    </row>
    <row r="8" spans="1:31" ht="15" x14ac:dyDescent="0.15">
      <c r="A8" s="6" t="s">
        <v>572</v>
      </c>
      <c r="B8" s="13" t="s">
        <v>36</v>
      </c>
      <c r="C8" s="7" t="s">
        <v>222</v>
      </c>
      <c r="D8" s="7"/>
      <c r="F8" s="16"/>
      <c r="G8" s="14">
        <v>500</v>
      </c>
      <c r="H8" s="14"/>
      <c r="I8" s="14"/>
      <c r="J8" s="14">
        <v>500</v>
      </c>
      <c r="K8" s="24">
        <v>5.8999999999999997E-2</v>
      </c>
      <c r="L8" s="24"/>
      <c r="M8" s="21" t="s">
        <v>221</v>
      </c>
      <c r="N8" s="28" t="str">
        <f>"{'sylh1', '"&amp;A8&amp;"*1',10,270,10,13,'烧火棍*1' }"</f>
        <v>{'sylh1', '三眼灵猴*1',10,270,10,13,'烧火棍*1' }</v>
      </c>
      <c r="O8" s="26"/>
      <c r="P8" s="27">
        <f>P40*6</f>
        <v>108000</v>
      </c>
      <c r="Q8" s="27">
        <f t="shared" ref="Q8:R8" si="0">Q40*6</f>
        <v>72</v>
      </c>
      <c r="R8" s="27">
        <f t="shared" si="0"/>
        <v>720000</v>
      </c>
      <c r="S8" s="27">
        <v>100</v>
      </c>
      <c r="T8" s="27">
        <v>350</v>
      </c>
      <c r="U8" s="18">
        <v>1</v>
      </c>
      <c r="V8" s="27">
        <f>R8*0.005</f>
        <v>3600</v>
      </c>
      <c r="W8" s="29">
        <v>0</v>
      </c>
      <c r="X8" s="27">
        <v>200</v>
      </c>
      <c r="Y8" s="27">
        <v>50</v>
      </c>
      <c r="Z8" s="27">
        <v>0</v>
      </c>
      <c r="AA8" s="27">
        <v>20</v>
      </c>
      <c r="AB8" s="27">
        <v>150</v>
      </c>
      <c r="AC8" s="27">
        <v>0</v>
      </c>
      <c r="AD8" s="27">
        <v>0</v>
      </c>
    </row>
    <row r="9" spans="1:31" ht="15" x14ac:dyDescent="0.15">
      <c r="A9" s="6" t="s">
        <v>37</v>
      </c>
      <c r="B9" s="13" t="s">
        <v>38</v>
      </c>
      <c r="C9" s="7" t="s">
        <v>222</v>
      </c>
      <c r="D9" s="7"/>
      <c r="F9" s="16"/>
      <c r="G9" s="14">
        <v>500</v>
      </c>
      <c r="H9" s="14"/>
      <c r="I9" s="14"/>
      <c r="J9" s="14">
        <v>500</v>
      </c>
      <c r="K9" s="24">
        <v>5.8999999999999997E-2</v>
      </c>
      <c r="L9" s="24"/>
      <c r="M9" s="21" t="s">
        <v>221</v>
      </c>
      <c r="N9" s="28" t="str">
        <f>"{'yanhuang1', '"&amp;A9&amp;"*1',10,270,10,13,'赤炎甲*1' }"</f>
        <v>{'yanhuang1', '焰皇*1',10,270,10,13,'赤炎甲*1' }</v>
      </c>
      <c r="O9" s="26"/>
      <c r="P9" s="27">
        <f>P8*1.1</f>
        <v>118800.00000000001</v>
      </c>
      <c r="Q9" s="27">
        <f t="shared" ref="Q9:R9" si="1">Q8*1.1</f>
        <v>79.2</v>
      </c>
      <c r="R9" s="27">
        <f t="shared" si="1"/>
        <v>792000.00000000012</v>
      </c>
      <c r="S9" s="27">
        <v>100</v>
      </c>
      <c r="T9" s="27">
        <v>350</v>
      </c>
      <c r="U9" s="18">
        <v>1</v>
      </c>
      <c r="V9" s="27">
        <f t="shared" ref="V9:V72" si="2">R9*0.005</f>
        <v>3960.0000000000005</v>
      </c>
      <c r="W9" s="29">
        <v>0</v>
      </c>
      <c r="X9" s="27">
        <v>200</v>
      </c>
      <c r="Y9" s="27">
        <v>50</v>
      </c>
      <c r="Z9" s="27">
        <v>0</v>
      </c>
      <c r="AA9" s="27">
        <v>20</v>
      </c>
      <c r="AB9" s="27">
        <v>250</v>
      </c>
      <c r="AC9" s="27">
        <v>0</v>
      </c>
      <c r="AD9" s="27">
        <v>0</v>
      </c>
    </row>
    <row r="10" spans="1:31" ht="15" x14ac:dyDescent="0.15">
      <c r="A10" s="6" t="s">
        <v>40</v>
      </c>
      <c r="B10" s="13" t="s">
        <v>41</v>
      </c>
      <c r="C10" s="7" t="s">
        <v>222</v>
      </c>
      <c r="D10" s="7"/>
      <c r="F10" s="16"/>
      <c r="G10" s="14">
        <v>500</v>
      </c>
      <c r="H10" s="14"/>
      <c r="I10" s="14"/>
      <c r="J10" s="14">
        <v>500</v>
      </c>
      <c r="K10" s="24">
        <v>5.8999999999999997E-2</v>
      </c>
      <c r="L10" s="24"/>
      <c r="M10" s="21" t="s">
        <v>221</v>
      </c>
      <c r="N10" s="28" t="str">
        <f>"{'miyiyang1', '"&amp;A10&amp;"*1',10,270,10,13,'谜一样的箱子*1' }"</f>
        <v>{'miyiyang1', '灵魂*1',10,270,10,13,'谜一样的箱子*1' }</v>
      </c>
      <c r="O10" s="26"/>
      <c r="P10" s="27">
        <f>P16*2.5</f>
        <v>4000000</v>
      </c>
      <c r="Q10" s="27">
        <f>Q16*1.35</f>
        <v>264.60000000000002</v>
      </c>
      <c r="R10" s="27">
        <f>R16*1.35</f>
        <v>10125000</v>
      </c>
      <c r="S10" s="27">
        <v>100</v>
      </c>
      <c r="T10" s="27">
        <v>350</v>
      </c>
      <c r="U10" s="18">
        <v>1</v>
      </c>
      <c r="V10" s="27">
        <f t="shared" si="2"/>
        <v>50625</v>
      </c>
      <c r="W10" s="29">
        <v>0</v>
      </c>
      <c r="X10" s="27">
        <v>200</v>
      </c>
      <c r="Y10" s="27">
        <v>50</v>
      </c>
      <c r="Z10" s="27">
        <v>0</v>
      </c>
      <c r="AA10" s="27">
        <v>20</v>
      </c>
      <c r="AB10" s="27">
        <v>800</v>
      </c>
      <c r="AC10" s="27">
        <v>0</v>
      </c>
      <c r="AD10" s="27">
        <v>0</v>
      </c>
    </row>
    <row r="11" spans="1:31" ht="15" x14ac:dyDescent="0.15">
      <c r="A11" s="6" t="s">
        <v>43</v>
      </c>
      <c r="B11" s="13" t="s">
        <v>44</v>
      </c>
      <c r="C11" s="7" t="s">
        <v>222</v>
      </c>
      <c r="D11" s="7"/>
      <c r="F11" s="16"/>
      <c r="G11" s="14">
        <v>500</v>
      </c>
      <c r="H11" s="14"/>
      <c r="I11" s="14"/>
      <c r="J11" s="14">
        <v>500</v>
      </c>
      <c r="K11" s="24">
        <v>5.8999999999999997E-2</v>
      </c>
      <c r="L11" s="24"/>
      <c r="M11" s="21" t="s">
        <v>221</v>
      </c>
      <c r="N11" s="28" t="str">
        <f>"{'tianshu1', '"&amp;A11&amp;"*1',10,270,10,13,'谜一样的天书*1' }"</f>
        <v>{'tianshu1', '熊猫人*1',10,270,10,13,'谜一样的天书*1' }</v>
      </c>
      <c r="O11" s="26"/>
      <c r="P11" s="27">
        <f>P10*1.1</f>
        <v>4400000</v>
      </c>
      <c r="Q11" s="27">
        <f t="shared" ref="Q11:R11" si="3">Q10*1.1</f>
        <v>291.06000000000006</v>
      </c>
      <c r="R11" s="27">
        <f t="shared" si="3"/>
        <v>11137500</v>
      </c>
      <c r="S11" s="27">
        <v>100</v>
      </c>
      <c r="T11" s="27">
        <v>350</v>
      </c>
      <c r="U11" s="18">
        <v>1</v>
      </c>
      <c r="V11" s="27">
        <f t="shared" si="2"/>
        <v>55687.5</v>
      </c>
      <c r="W11" s="29">
        <v>0</v>
      </c>
      <c r="X11" s="27">
        <v>200</v>
      </c>
      <c r="Y11" s="27">
        <v>50</v>
      </c>
      <c r="Z11" s="27">
        <v>0</v>
      </c>
      <c r="AA11" s="27">
        <v>20</v>
      </c>
      <c r="AB11" s="27">
        <v>800</v>
      </c>
      <c r="AC11" s="27">
        <v>0</v>
      </c>
      <c r="AD11" s="27">
        <v>0</v>
      </c>
    </row>
    <row r="12" spans="1:31" ht="15" x14ac:dyDescent="0.15">
      <c r="A12" s="6" t="s">
        <v>45</v>
      </c>
      <c r="B12" s="13" t="s">
        <v>46</v>
      </c>
      <c r="C12" s="7" t="s">
        <v>222</v>
      </c>
      <c r="D12" s="7"/>
      <c r="F12" s="16"/>
      <c r="G12" s="14">
        <v>500</v>
      </c>
      <c r="H12" s="14"/>
      <c r="I12" s="14"/>
      <c r="J12" s="14">
        <v>500</v>
      </c>
      <c r="K12" s="24">
        <v>5.8999999999999997E-2</v>
      </c>
      <c r="L12" s="24"/>
      <c r="M12" s="21" t="s">
        <v>221</v>
      </c>
      <c r="N12" s="28" t="str">
        <f>"{'jingpo1', '"&amp;A12&amp;"*1',10,270,10,13,'圣龙精魄碎片一*1' }"</f>
        <v>{'jingpo1', '九幽地冥蟒*1',10,270,10,13,'圣龙精魄碎片一*1' }</v>
      </c>
      <c r="O12" s="26"/>
      <c r="P12" s="27">
        <f>P38*2</f>
        <v>76032000</v>
      </c>
      <c r="Q12" s="27">
        <f>Q38*1.5</f>
        <v>1020.0960000000001</v>
      </c>
      <c r="R12" s="27">
        <f>R38*1.5</f>
        <v>36432000.000000007</v>
      </c>
      <c r="S12" s="27">
        <v>100</v>
      </c>
      <c r="T12" s="27">
        <v>350</v>
      </c>
      <c r="U12" s="18">
        <v>1</v>
      </c>
      <c r="V12" s="27">
        <f t="shared" si="2"/>
        <v>182160.00000000003</v>
      </c>
      <c r="W12" s="29">
        <v>0</v>
      </c>
      <c r="X12" s="27">
        <v>200</v>
      </c>
      <c r="Y12" s="27">
        <v>50</v>
      </c>
      <c r="Z12" s="27">
        <v>0</v>
      </c>
      <c r="AA12" s="27">
        <v>20</v>
      </c>
      <c r="AB12" s="27">
        <v>1200</v>
      </c>
      <c r="AC12" s="27">
        <v>0</v>
      </c>
      <c r="AD12" s="27">
        <v>0</v>
      </c>
    </row>
    <row r="13" spans="1:31" ht="15" x14ac:dyDescent="0.15">
      <c r="A13" s="6" t="s">
        <v>48</v>
      </c>
      <c r="B13" s="13" t="s">
        <v>49</v>
      </c>
      <c r="C13" s="7" t="s">
        <v>222</v>
      </c>
      <c r="D13" s="7"/>
      <c r="F13" s="16"/>
      <c r="G13" s="14">
        <v>500</v>
      </c>
      <c r="H13" s="14"/>
      <c r="I13" s="14"/>
      <c r="J13" s="14">
        <v>500</v>
      </c>
      <c r="K13" s="24">
        <v>5.8999999999999997E-2</v>
      </c>
      <c r="L13" s="24"/>
      <c r="M13" s="21" t="s">
        <v>221</v>
      </c>
      <c r="N13" s="28" t="str">
        <f>"{'jingpo2', '"&amp;A13&amp;"*1',10,270,10,13,'圣龙精魄碎片二*1' }"</f>
        <v>{'jingpo2', '九幽雀*1',10,270,10,13,'圣龙精魄碎片二*1' }</v>
      </c>
      <c r="O13" s="26"/>
      <c r="P13" s="27">
        <f>P12</f>
        <v>76032000</v>
      </c>
      <c r="Q13" s="27">
        <f t="shared" ref="Q13:R13" si="4">Q12</f>
        <v>1020.0960000000001</v>
      </c>
      <c r="R13" s="27">
        <f t="shared" si="4"/>
        <v>36432000.000000007</v>
      </c>
      <c r="S13" s="27">
        <v>100</v>
      </c>
      <c r="T13" s="27">
        <v>350</v>
      </c>
      <c r="U13" s="18">
        <v>1</v>
      </c>
      <c r="V13" s="27">
        <f t="shared" si="2"/>
        <v>182160.00000000003</v>
      </c>
      <c r="W13" s="29">
        <v>0</v>
      </c>
      <c r="X13" s="27">
        <v>200</v>
      </c>
      <c r="Y13" s="27">
        <v>50</v>
      </c>
      <c r="Z13" s="27">
        <v>0</v>
      </c>
      <c r="AA13" s="27">
        <v>20</v>
      </c>
      <c r="AB13" s="27">
        <v>1200</v>
      </c>
      <c r="AC13" s="27">
        <v>0</v>
      </c>
      <c r="AD13" s="27">
        <v>0</v>
      </c>
    </row>
    <row r="14" spans="1:31" ht="15" x14ac:dyDescent="0.15">
      <c r="A14" s="6" t="s">
        <v>51</v>
      </c>
      <c r="B14" s="13" t="s">
        <v>52</v>
      </c>
      <c r="C14" s="7" t="s">
        <v>222</v>
      </c>
      <c r="D14" s="7"/>
      <c r="F14" s="16"/>
      <c r="G14" s="14">
        <v>500</v>
      </c>
      <c r="H14" s="14"/>
      <c r="I14" s="14"/>
      <c r="J14" s="14">
        <v>500</v>
      </c>
      <c r="K14" s="24">
        <v>5.8999999999999997E-2</v>
      </c>
      <c r="L14" s="24"/>
      <c r="M14" s="21" t="s">
        <v>221</v>
      </c>
      <c r="N14" s="28"/>
      <c r="O14" s="26"/>
      <c r="P14" s="29">
        <v>2200</v>
      </c>
      <c r="Q14" s="29">
        <v>4</v>
      </c>
      <c r="R14" s="29">
        <v>125000</v>
      </c>
      <c r="S14" s="27">
        <v>100</v>
      </c>
      <c r="T14" s="27">
        <v>350</v>
      </c>
      <c r="U14" s="18">
        <v>1.2</v>
      </c>
      <c r="V14" s="27">
        <f t="shared" si="2"/>
        <v>625</v>
      </c>
      <c r="W14" s="29">
        <v>0</v>
      </c>
      <c r="X14" s="27">
        <v>200</v>
      </c>
      <c r="Y14" s="27">
        <v>0</v>
      </c>
      <c r="Z14" s="27">
        <v>0</v>
      </c>
      <c r="AA14" s="27">
        <v>5</v>
      </c>
      <c r="AB14" s="27">
        <v>50</v>
      </c>
      <c r="AC14" s="27">
        <v>0</v>
      </c>
      <c r="AD14" s="27">
        <v>0</v>
      </c>
    </row>
    <row r="15" spans="1:31" ht="15" x14ac:dyDescent="0.15">
      <c r="A15" s="6" t="s">
        <v>53</v>
      </c>
      <c r="B15" s="13" t="s">
        <v>54</v>
      </c>
      <c r="C15" s="7" t="s">
        <v>222</v>
      </c>
      <c r="D15" s="7"/>
      <c r="F15" s="16"/>
      <c r="G15" s="14">
        <v>500</v>
      </c>
      <c r="H15" s="14"/>
      <c r="I15" s="14"/>
      <c r="J15" s="14">
        <v>500</v>
      </c>
      <c r="K15" s="24">
        <v>5.8999999999999997E-2</v>
      </c>
      <c r="L15" s="24"/>
      <c r="M15" s="21" t="s">
        <v>221</v>
      </c>
      <c r="N15" s="28"/>
      <c r="O15" s="26"/>
      <c r="P15" s="27">
        <v>40000</v>
      </c>
      <c r="Q15" s="27">
        <f>Q14*7</f>
        <v>28</v>
      </c>
      <c r="R15" s="27">
        <v>350000</v>
      </c>
      <c r="S15" s="27">
        <v>100</v>
      </c>
      <c r="T15" s="27">
        <v>350</v>
      </c>
      <c r="U15" s="18">
        <v>0.95</v>
      </c>
      <c r="V15" s="27">
        <f t="shared" si="2"/>
        <v>1750</v>
      </c>
      <c r="W15" s="29">
        <v>0</v>
      </c>
      <c r="X15" s="27">
        <v>200</v>
      </c>
      <c r="Y15" s="27">
        <v>50</v>
      </c>
      <c r="Z15" s="27">
        <v>0</v>
      </c>
      <c r="AA15" s="27">
        <v>10</v>
      </c>
      <c r="AB15" s="27">
        <v>100</v>
      </c>
      <c r="AC15" s="27">
        <v>0</v>
      </c>
      <c r="AD15" s="27">
        <v>0</v>
      </c>
    </row>
    <row r="16" spans="1:31" ht="15" x14ac:dyDescent="0.15">
      <c r="A16" s="6" t="s">
        <v>55</v>
      </c>
      <c r="B16" s="13" t="s">
        <v>56</v>
      </c>
      <c r="C16" s="7" t="s">
        <v>222</v>
      </c>
      <c r="D16" s="7"/>
      <c r="F16" s="16"/>
      <c r="G16" s="14">
        <v>500</v>
      </c>
      <c r="H16" s="14"/>
      <c r="I16" s="14"/>
      <c r="J16" s="14">
        <v>500</v>
      </c>
      <c r="K16" s="24">
        <v>5.8999999999999997E-2</v>
      </c>
      <c r="L16" s="24"/>
      <c r="M16" s="21" t="s">
        <v>221</v>
      </c>
      <c r="N16" s="28"/>
      <c r="O16" s="26"/>
      <c r="P16" s="27">
        <v>1600000</v>
      </c>
      <c r="Q16" s="27">
        <f>Q15*7</f>
        <v>196</v>
      </c>
      <c r="R16" s="27">
        <v>7500000</v>
      </c>
      <c r="S16" s="27">
        <v>100</v>
      </c>
      <c r="T16" s="27">
        <v>350</v>
      </c>
      <c r="U16" s="18">
        <v>0.9</v>
      </c>
      <c r="V16" s="27">
        <f t="shared" si="2"/>
        <v>37500</v>
      </c>
      <c r="W16" s="29">
        <v>0</v>
      </c>
      <c r="X16" s="27">
        <v>200</v>
      </c>
      <c r="Y16" s="27">
        <v>50</v>
      </c>
      <c r="Z16" s="27">
        <v>0</v>
      </c>
      <c r="AA16" s="27">
        <v>20</v>
      </c>
      <c r="AB16" s="27">
        <v>450</v>
      </c>
      <c r="AC16" s="27">
        <v>0</v>
      </c>
      <c r="AD16" s="27">
        <v>0</v>
      </c>
    </row>
    <row r="17" spans="1:30" ht="15" x14ac:dyDescent="0.15">
      <c r="A17" s="6" t="s">
        <v>57</v>
      </c>
      <c r="B17" s="13" t="s">
        <v>58</v>
      </c>
      <c r="C17" s="7" t="s">
        <v>222</v>
      </c>
      <c r="D17" s="7"/>
      <c r="F17" s="16"/>
      <c r="G17" s="14">
        <v>500</v>
      </c>
      <c r="H17" s="14"/>
      <c r="I17" s="14"/>
      <c r="J17" s="14">
        <v>500</v>
      </c>
      <c r="K17" s="24">
        <v>5.8999999999999997E-2</v>
      </c>
      <c r="L17" s="24"/>
      <c r="M17" s="21" t="s">
        <v>221</v>
      </c>
      <c r="N17" s="28"/>
      <c r="O17" s="26"/>
      <c r="P17" s="27">
        <f>P33*1.05</f>
        <v>36288000</v>
      </c>
      <c r="Q17" s="27">
        <f t="shared" ref="Q17:R17" si="5">Q33*1.05</f>
        <v>649.15200000000004</v>
      </c>
      <c r="R17" s="27">
        <f t="shared" si="5"/>
        <v>23184000</v>
      </c>
      <c r="S17" s="27">
        <v>100</v>
      </c>
      <c r="T17" s="27">
        <v>350</v>
      </c>
      <c r="U17" s="18">
        <v>0.85</v>
      </c>
      <c r="V17" s="27">
        <f t="shared" si="2"/>
        <v>115920</v>
      </c>
      <c r="W17" s="29">
        <v>0</v>
      </c>
      <c r="X17" s="27">
        <v>200</v>
      </c>
      <c r="Y17" s="27">
        <v>50</v>
      </c>
      <c r="Z17" s="27">
        <v>0</v>
      </c>
      <c r="AA17" s="27">
        <v>20</v>
      </c>
      <c r="AB17" s="27">
        <v>1200</v>
      </c>
      <c r="AC17" s="27">
        <v>0</v>
      </c>
      <c r="AD17" s="27">
        <v>0</v>
      </c>
    </row>
    <row r="18" spans="1:30" ht="15" x14ac:dyDescent="0.15">
      <c r="A18" s="6" t="s">
        <v>59</v>
      </c>
      <c r="B18" s="13" t="s">
        <v>60</v>
      </c>
      <c r="C18" s="7" t="s">
        <v>222</v>
      </c>
      <c r="D18" s="7"/>
      <c r="F18" s="16"/>
      <c r="G18" s="14">
        <v>500</v>
      </c>
      <c r="H18" s="14"/>
      <c r="I18" s="14"/>
      <c r="J18" s="14">
        <v>500</v>
      </c>
      <c r="K18" s="24">
        <v>5.8999999999999997E-2</v>
      </c>
      <c r="L18" s="24"/>
      <c r="M18" s="21" t="s">
        <v>221</v>
      </c>
      <c r="N18" s="28"/>
      <c r="O18" s="26"/>
      <c r="P18" s="27">
        <f>P17*1.9</f>
        <v>68947200</v>
      </c>
      <c r="Q18" s="27">
        <f t="shared" ref="Q18:R19" si="6">Q17*2</f>
        <v>1298.3040000000001</v>
      </c>
      <c r="R18" s="27">
        <f t="shared" si="6"/>
        <v>46368000</v>
      </c>
      <c r="S18" s="27">
        <v>100</v>
      </c>
      <c r="T18" s="27">
        <v>350</v>
      </c>
      <c r="U18" s="18">
        <v>0.8</v>
      </c>
      <c r="V18" s="27">
        <f t="shared" si="2"/>
        <v>231840</v>
      </c>
      <c r="W18" s="29">
        <v>0</v>
      </c>
      <c r="X18" s="27">
        <v>200</v>
      </c>
      <c r="Y18" s="27">
        <v>50</v>
      </c>
      <c r="Z18" s="27">
        <v>0</v>
      </c>
      <c r="AA18" s="27">
        <v>20</v>
      </c>
      <c r="AB18" s="27">
        <v>450</v>
      </c>
      <c r="AC18" s="27">
        <v>0</v>
      </c>
      <c r="AD18" s="27">
        <v>0</v>
      </c>
    </row>
    <row r="19" spans="1:30" ht="15" x14ac:dyDescent="0.15">
      <c r="A19" s="6" t="s">
        <v>61</v>
      </c>
      <c r="B19" s="13" t="s">
        <v>62</v>
      </c>
      <c r="C19" s="7" t="s">
        <v>222</v>
      </c>
      <c r="D19" s="7"/>
      <c r="F19" s="16"/>
      <c r="G19" s="14">
        <v>500</v>
      </c>
      <c r="H19" s="14"/>
      <c r="I19" s="14"/>
      <c r="J19" s="14">
        <v>500</v>
      </c>
      <c r="K19" s="24">
        <v>5.8999999999999997E-2</v>
      </c>
      <c r="L19" s="24"/>
      <c r="M19" s="21" t="s">
        <v>221</v>
      </c>
      <c r="N19" s="28"/>
      <c r="O19" s="26"/>
      <c r="P19" s="27">
        <f>P18*1.8</f>
        <v>124104960</v>
      </c>
      <c r="Q19" s="27">
        <f t="shared" si="6"/>
        <v>2596.6080000000002</v>
      </c>
      <c r="R19" s="27">
        <f t="shared" si="6"/>
        <v>92736000</v>
      </c>
      <c r="S19" s="27">
        <v>100</v>
      </c>
      <c r="T19" s="27">
        <v>350</v>
      </c>
      <c r="U19" s="18">
        <v>0.75</v>
      </c>
      <c r="V19" s="27">
        <f t="shared" si="2"/>
        <v>463680</v>
      </c>
      <c r="W19" s="29">
        <v>0</v>
      </c>
      <c r="X19" s="27">
        <v>200</v>
      </c>
      <c r="Y19" s="27">
        <v>50</v>
      </c>
      <c r="Z19" s="27">
        <v>0</v>
      </c>
      <c r="AA19" s="27">
        <v>20</v>
      </c>
      <c r="AB19" s="27">
        <v>450</v>
      </c>
      <c r="AC19" s="27">
        <v>0</v>
      </c>
      <c r="AD19" s="27">
        <v>0</v>
      </c>
    </row>
    <row r="20" spans="1:30" ht="15" x14ac:dyDescent="0.15">
      <c r="A20" s="6" t="s">
        <v>63</v>
      </c>
      <c r="B20" s="13" t="s">
        <v>64</v>
      </c>
      <c r="C20" s="7" t="s">
        <v>222</v>
      </c>
      <c r="D20" s="7"/>
      <c r="F20" s="16"/>
      <c r="G20" s="14">
        <v>500</v>
      </c>
      <c r="H20" s="14"/>
      <c r="I20" s="14"/>
      <c r="J20" s="14">
        <v>500</v>
      </c>
      <c r="K20" s="24">
        <v>5.8999999999999997E-2</v>
      </c>
      <c r="L20" s="24"/>
      <c r="M20" s="21" t="s">
        <v>221</v>
      </c>
      <c r="N20" s="28"/>
      <c r="O20" s="26"/>
      <c r="P20" s="27">
        <f>P19*1.7</f>
        <v>210978432</v>
      </c>
      <c r="Q20" s="27">
        <f t="shared" ref="Q20:R20" si="7">Q19*2</f>
        <v>5193.2160000000003</v>
      </c>
      <c r="R20" s="27">
        <f t="shared" si="7"/>
        <v>185472000</v>
      </c>
      <c r="S20" s="27">
        <v>100</v>
      </c>
      <c r="T20" s="27">
        <v>350</v>
      </c>
      <c r="U20" s="18">
        <v>0.7</v>
      </c>
      <c r="V20" s="27">
        <f t="shared" si="2"/>
        <v>927360</v>
      </c>
      <c r="W20" s="29">
        <v>0</v>
      </c>
      <c r="X20" s="27">
        <v>200</v>
      </c>
      <c r="Y20" s="27">
        <v>50</v>
      </c>
      <c r="Z20" s="27">
        <v>0</v>
      </c>
      <c r="AA20" s="27">
        <v>20</v>
      </c>
      <c r="AB20" s="27">
        <v>450</v>
      </c>
      <c r="AC20" s="27">
        <v>0</v>
      </c>
      <c r="AD20" s="27">
        <v>0</v>
      </c>
    </row>
    <row r="21" spans="1:30" ht="15" x14ac:dyDescent="0.15">
      <c r="A21" s="6" t="s">
        <v>65</v>
      </c>
      <c r="B21" s="13" t="s">
        <v>66</v>
      </c>
      <c r="C21" s="7" t="s">
        <v>222</v>
      </c>
      <c r="D21" s="7"/>
      <c r="F21" s="16"/>
      <c r="G21" s="14">
        <v>500</v>
      </c>
      <c r="H21" s="14"/>
      <c r="I21" s="14"/>
      <c r="J21" s="14">
        <v>500</v>
      </c>
      <c r="K21" s="24">
        <v>5.8999999999999997E-2</v>
      </c>
      <c r="L21" s="24"/>
      <c r="M21" s="21" t="s">
        <v>221</v>
      </c>
      <c r="N21" s="28"/>
      <c r="O21" s="26"/>
      <c r="P21" s="27">
        <f>P20*1.6</f>
        <v>337565491.20000005</v>
      </c>
      <c r="Q21" s="27">
        <f t="shared" ref="Q21:R21" si="8">Q20*1.8</f>
        <v>9347.7888000000003</v>
      </c>
      <c r="R21" s="27">
        <f t="shared" si="8"/>
        <v>333849600</v>
      </c>
      <c r="S21" s="27">
        <v>100</v>
      </c>
      <c r="T21" s="27">
        <v>350</v>
      </c>
      <c r="U21" s="18">
        <v>0.65</v>
      </c>
      <c r="V21" s="27">
        <f t="shared" si="2"/>
        <v>1669248</v>
      </c>
      <c r="W21" s="29">
        <v>0</v>
      </c>
      <c r="X21" s="27">
        <v>200</v>
      </c>
      <c r="Y21" s="27">
        <v>50</v>
      </c>
      <c r="Z21" s="27">
        <v>0</v>
      </c>
      <c r="AA21" s="27">
        <v>20</v>
      </c>
      <c r="AB21" s="27">
        <v>450</v>
      </c>
      <c r="AC21" s="27">
        <v>0</v>
      </c>
      <c r="AD21" s="27">
        <v>0</v>
      </c>
    </row>
    <row r="22" spans="1:30" ht="15" x14ac:dyDescent="0.15">
      <c r="A22" s="6" t="s">
        <v>67</v>
      </c>
      <c r="B22" s="13" t="s">
        <v>68</v>
      </c>
      <c r="C22" s="7" t="s">
        <v>222</v>
      </c>
      <c r="D22" s="7"/>
      <c r="F22" s="16"/>
      <c r="G22" s="14">
        <v>500</v>
      </c>
      <c r="H22" s="14"/>
      <c r="I22" s="14"/>
      <c r="J22" s="14">
        <v>500</v>
      </c>
      <c r="K22" s="24">
        <v>5.8999999999999997E-2</v>
      </c>
      <c r="L22" s="24"/>
      <c r="M22" s="21" t="s">
        <v>221</v>
      </c>
      <c r="N22" s="28"/>
      <c r="O22" s="26"/>
      <c r="P22" s="27">
        <f>P21*1.5</f>
        <v>506348236.80000007</v>
      </c>
      <c r="Q22" s="27">
        <f t="shared" ref="Q22:R22" si="9">Q21*1.6</f>
        <v>14956.462080000001</v>
      </c>
      <c r="R22" s="27">
        <f t="shared" si="9"/>
        <v>534159360</v>
      </c>
      <c r="S22" s="27">
        <v>100</v>
      </c>
      <c r="T22" s="27">
        <v>350</v>
      </c>
      <c r="U22" s="18">
        <v>0.6</v>
      </c>
      <c r="V22" s="27">
        <f t="shared" si="2"/>
        <v>2670796.8000000003</v>
      </c>
      <c r="W22" s="29">
        <v>0</v>
      </c>
      <c r="X22" s="27">
        <v>200</v>
      </c>
      <c r="Y22" s="27">
        <v>50</v>
      </c>
      <c r="Z22" s="27">
        <v>0</v>
      </c>
      <c r="AA22" s="27">
        <v>20</v>
      </c>
      <c r="AB22" s="27">
        <v>450</v>
      </c>
      <c r="AC22" s="27">
        <v>0</v>
      </c>
      <c r="AD22" s="27">
        <v>0</v>
      </c>
    </row>
    <row r="23" spans="1:30" ht="15" x14ac:dyDescent="0.15">
      <c r="A23" s="6" t="s">
        <v>69</v>
      </c>
      <c r="B23" s="13" t="s">
        <v>70</v>
      </c>
      <c r="C23" s="7" t="s">
        <v>222</v>
      </c>
      <c r="D23" s="7"/>
      <c r="F23" s="16"/>
      <c r="G23" s="14">
        <v>500</v>
      </c>
      <c r="H23" s="14"/>
      <c r="I23" s="14"/>
      <c r="J23" s="14">
        <v>500</v>
      </c>
      <c r="K23" s="24">
        <v>5.8999999999999997E-2</v>
      </c>
      <c r="L23" s="24"/>
      <c r="M23" s="21" t="s">
        <v>221</v>
      </c>
      <c r="N23" s="28"/>
      <c r="O23" s="26"/>
      <c r="P23" s="27">
        <f>P22*1.4</f>
        <v>708887531.5200001</v>
      </c>
      <c r="Q23" s="27">
        <f t="shared" ref="Q23:R23" si="10">Q22*1.5</f>
        <v>22434.693120000004</v>
      </c>
      <c r="R23" s="27">
        <f t="shared" si="10"/>
        <v>801239040</v>
      </c>
      <c r="S23" s="27">
        <v>100</v>
      </c>
      <c r="T23" s="27">
        <v>350</v>
      </c>
      <c r="U23" s="18">
        <v>0.55000000000000004</v>
      </c>
      <c r="V23" s="27">
        <f t="shared" si="2"/>
        <v>4006195.2000000002</v>
      </c>
      <c r="W23" s="29">
        <v>0</v>
      </c>
      <c r="X23" s="27">
        <v>200</v>
      </c>
      <c r="Y23" s="27">
        <v>50</v>
      </c>
      <c r="Z23" s="27">
        <v>0</v>
      </c>
      <c r="AA23" s="27">
        <v>20</v>
      </c>
      <c r="AB23" s="27">
        <v>450</v>
      </c>
      <c r="AC23" s="27">
        <v>0</v>
      </c>
      <c r="AD23" s="27">
        <v>0</v>
      </c>
    </row>
    <row r="24" spans="1:30" ht="15" x14ac:dyDescent="0.15">
      <c r="A24" s="6" t="s">
        <v>71</v>
      </c>
      <c r="B24" s="13" t="s">
        <v>72</v>
      </c>
      <c r="C24" s="7" t="s">
        <v>222</v>
      </c>
      <c r="D24" s="7"/>
      <c r="F24" s="16"/>
      <c r="G24" s="14">
        <v>500</v>
      </c>
      <c r="H24" s="14"/>
      <c r="I24" s="14"/>
      <c r="J24" s="14">
        <v>500</v>
      </c>
      <c r="K24" s="24">
        <v>5.8999999999999997E-2</v>
      </c>
      <c r="L24" s="24"/>
      <c r="M24" s="21" t="s">
        <v>221</v>
      </c>
      <c r="N24" s="28"/>
      <c r="O24" s="26"/>
      <c r="P24" s="27">
        <f>P23*1.3</f>
        <v>921553790.97600019</v>
      </c>
      <c r="Q24" s="27">
        <f t="shared" ref="Q24:R24" si="11">Q23*1.4</f>
        <v>31408.570368000004</v>
      </c>
      <c r="R24" s="27">
        <f t="shared" si="11"/>
        <v>1121734656</v>
      </c>
      <c r="S24" s="27">
        <v>100</v>
      </c>
      <c r="T24" s="27">
        <v>350</v>
      </c>
      <c r="U24" s="18">
        <v>0.5</v>
      </c>
      <c r="V24" s="27">
        <f t="shared" si="2"/>
        <v>5608673.2800000003</v>
      </c>
      <c r="W24" s="29">
        <v>0</v>
      </c>
      <c r="X24" s="27">
        <v>200</v>
      </c>
      <c r="Y24" s="27">
        <v>50</v>
      </c>
      <c r="Z24" s="27">
        <v>0</v>
      </c>
      <c r="AA24" s="27">
        <v>20</v>
      </c>
      <c r="AB24" s="27">
        <v>450</v>
      </c>
      <c r="AC24" s="27">
        <v>0</v>
      </c>
      <c r="AD24" s="27">
        <v>0</v>
      </c>
    </row>
    <row r="25" spans="1:30" ht="15" x14ac:dyDescent="0.15">
      <c r="A25" s="6" t="s">
        <v>73</v>
      </c>
      <c r="B25" s="13" t="s">
        <v>74</v>
      </c>
      <c r="C25" s="7" t="s">
        <v>222</v>
      </c>
      <c r="D25" s="7"/>
      <c r="F25" s="16"/>
      <c r="G25" s="14">
        <v>500</v>
      </c>
      <c r="H25" s="14"/>
      <c r="I25" s="14"/>
      <c r="J25" s="14">
        <v>500</v>
      </c>
      <c r="K25" s="24">
        <v>5.8999999999999997E-2</v>
      </c>
      <c r="L25" s="24"/>
      <c r="M25" s="21" t="s">
        <v>221</v>
      </c>
      <c r="N25" s="28"/>
      <c r="O25" s="26"/>
      <c r="P25" s="27">
        <f>P24*1.2</f>
        <v>1105864549.1712003</v>
      </c>
      <c r="Q25" s="27">
        <f t="shared" ref="Q25:R25" si="12">Q24*1.3</f>
        <v>40831.141478400008</v>
      </c>
      <c r="R25" s="27">
        <f t="shared" si="12"/>
        <v>1458255052.8</v>
      </c>
      <c r="S25" s="27">
        <v>100</v>
      </c>
      <c r="T25" s="27">
        <v>350</v>
      </c>
      <c r="U25" s="18">
        <v>0.45</v>
      </c>
      <c r="V25" s="27">
        <f t="shared" si="2"/>
        <v>7291275.2639999995</v>
      </c>
      <c r="W25" s="29">
        <v>0</v>
      </c>
      <c r="X25" s="27">
        <v>200</v>
      </c>
      <c r="Y25" s="27">
        <v>50</v>
      </c>
      <c r="Z25" s="27">
        <v>0</v>
      </c>
      <c r="AA25" s="27">
        <v>20</v>
      </c>
      <c r="AB25" s="27">
        <v>450</v>
      </c>
      <c r="AC25" s="27">
        <v>0</v>
      </c>
      <c r="AD25" s="27">
        <v>0</v>
      </c>
    </row>
    <row r="26" spans="1:30" ht="15" x14ac:dyDescent="0.15">
      <c r="A26" s="6" t="s">
        <v>75</v>
      </c>
      <c r="B26" s="13" t="s">
        <v>76</v>
      </c>
      <c r="C26" s="7" t="s">
        <v>222</v>
      </c>
      <c r="D26" s="7"/>
      <c r="F26" s="16"/>
      <c r="G26" s="14">
        <v>500</v>
      </c>
      <c r="H26" s="14"/>
      <c r="I26" s="14"/>
      <c r="J26" s="14">
        <v>500</v>
      </c>
      <c r="K26" s="24">
        <v>5.8999999999999997E-2</v>
      </c>
      <c r="L26" s="24"/>
      <c r="M26" s="21" t="s">
        <v>221</v>
      </c>
      <c r="N26" s="28"/>
      <c r="O26" s="26"/>
      <c r="P26" s="27">
        <f>P25*1.2</f>
        <v>1327037459.0054402</v>
      </c>
      <c r="Q26" s="27">
        <f t="shared" ref="Q26:R26" si="13">Q25*1.2</f>
        <v>48997.369774080005</v>
      </c>
      <c r="R26" s="27">
        <f t="shared" si="13"/>
        <v>1749906063.3599999</v>
      </c>
      <c r="S26" s="27">
        <v>100</v>
      </c>
      <c r="T26" s="27">
        <v>350</v>
      </c>
      <c r="U26" s="18">
        <v>0.39999999999999902</v>
      </c>
      <c r="V26" s="27">
        <f t="shared" si="2"/>
        <v>8749530.3168000001</v>
      </c>
      <c r="W26" s="29">
        <v>0</v>
      </c>
      <c r="X26" s="27">
        <v>200</v>
      </c>
      <c r="Y26" s="27">
        <v>50</v>
      </c>
      <c r="Z26" s="27">
        <v>0</v>
      </c>
      <c r="AA26" s="27">
        <v>20</v>
      </c>
      <c r="AB26" s="27">
        <v>450</v>
      </c>
      <c r="AC26" s="27">
        <v>0</v>
      </c>
      <c r="AD26" s="27">
        <v>0</v>
      </c>
    </row>
    <row r="27" spans="1:30" ht="15" x14ac:dyDescent="0.15">
      <c r="A27" s="6" t="s">
        <v>77</v>
      </c>
      <c r="B27" s="13" t="s">
        <v>78</v>
      </c>
      <c r="C27" s="7" t="s">
        <v>222</v>
      </c>
      <c r="D27" s="7"/>
      <c r="F27" s="16"/>
      <c r="G27" s="14">
        <v>500</v>
      </c>
      <c r="H27" s="14"/>
      <c r="I27" s="14"/>
      <c r="J27" s="14">
        <v>500</v>
      </c>
      <c r="K27" s="24">
        <v>5.8999999999999997E-2</v>
      </c>
      <c r="L27" s="24"/>
      <c r="M27" s="21" t="s">
        <v>221</v>
      </c>
      <c r="N27" s="28"/>
      <c r="O27" s="26"/>
      <c r="P27" s="27">
        <f>P26*1.1</f>
        <v>1459741204.9059844</v>
      </c>
      <c r="Q27" s="27">
        <f t="shared" ref="Q27:R28" si="14">Q26*1.1</f>
        <v>53897.106751488012</v>
      </c>
      <c r="R27" s="27">
        <f t="shared" si="14"/>
        <v>1924896669.6960001</v>
      </c>
      <c r="S27" s="27">
        <v>100</v>
      </c>
      <c r="T27" s="27">
        <v>350</v>
      </c>
      <c r="U27" s="18">
        <v>0.34999999999999898</v>
      </c>
      <c r="V27" s="27">
        <f t="shared" si="2"/>
        <v>9624483.3484800011</v>
      </c>
      <c r="W27" s="29">
        <v>0</v>
      </c>
      <c r="X27" s="27">
        <v>200</v>
      </c>
      <c r="Y27" s="27">
        <v>50</v>
      </c>
      <c r="Z27" s="27">
        <v>0</v>
      </c>
      <c r="AA27" s="27">
        <v>20</v>
      </c>
      <c r="AB27" s="27">
        <v>450</v>
      </c>
      <c r="AC27" s="27">
        <v>0</v>
      </c>
      <c r="AD27" s="27">
        <v>0</v>
      </c>
    </row>
    <row r="28" spans="1:30" ht="15" x14ac:dyDescent="0.15">
      <c r="A28" s="6" t="s">
        <v>344</v>
      </c>
      <c r="B28" s="13" t="s">
        <v>80</v>
      </c>
      <c r="C28" s="7" t="s">
        <v>222</v>
      </c>
      <c r="D28" s="7"/>
      <c r="F28" s="16"/>
      <c r="G28" s="14">
        <v>500</v>
      </c>
      <c r="H28" s="14"/>
      <c r="I28" s="14"/>
      <c r="J28" s="14">
        <v>500</v>
      </c>
      <c r="K28" s="24">
        <v>5.8999999999999997E-2</v>
      </c>
      <c r="L28" s="24"/>
      <c r="M28" s="21" t="s">
        <v>221</v>
      </c>
      <c r="N28" s="28"/>
      <c r="O28" s="26"/>
      <c r="P28" s="27">
        <f>P27*1.1</f>
        <v>1605715325.3965831</v>
      </c>
      <c r="Q28" s="27">
        <f t="shared" si="14"/>
        <v>59286.817426636815</v>
      </c>
      <c r="R28" s="27">
        <f t="shared" si="14"/>
        <v>2117386336.6656003</v>
      </c>
      <c r="S28" s="27">
        <v>100</v>
      </c>
      <c r="T28" s="27">
        <v>350</v>
      </c>
      <c r="U28" s="18">
        <v>0.34999999999999898</v>
      </c>
      <c r="V28" s="27">
        <f t="shared" si="2"/>
        <v>10586931.683328001</v>
      </c>
      <c r="W28" s="29">
        <v>0</v>
      </c>
      <c r="X28" s="27">
        <v>200</v>
      </c>
      <c r="Y28" s="27">
        <v>50</v>
      </c>
      <c r="Z28" s="27">
        <v>0</v>
      </c>
      <c r="AA28" s="27">
        <v>20</v>
      </c>
      <c r="AB28" s="27">
        <v>450</v>
      </c>
      <c r="AC28" s="27">
        <v>0</v>
      </c>
      <c r="AD28" s="27">
        <v>0</v>
      </c>
    </row>
    <row r="29" spans="1:30" ht="15" x14ac:dyDescent="0.15">
      <c r="A29" s="6" t="s">
        <v>79</v>
      </c>
      <c r="B29" s="13" t="s">
        <v>82</v>
      </c>
      <c r="C29" s="7" t="s">
        <v>222</v>
      </c>
      <c r="D29" s="7"/>
      <c r="F29" s="16"/>
      <c r="G29" s="14">
        <v>500</v>
      </c>
      <c r="H29" s="14"/>
      <c r="I29" s="14"/>
      <c r="J29" s="14">
        <v>500</v>
      </c>
      <c r="K29" s="24">
        <v>5.8999999999999997E-2</v>
      </c>
      <c r="L29" s="24"/>
      <c r="M29" s="21" t="s">
        <v>221</v>
      </c>
      <c r="N29" s="28"/>
      <c r="O29" s="26"/>
      <c r="P29" s="27">
        <v>320000</v>
      </c>
      <c r="Q29" s="27">
        <f>Q15*2.5</f>
        <v>70</v>
      </c>
      <c r="R29" s="27">
        <v>2500000</v>
      </c>
      <c r="S29" s="27">
        <v>100</v>
      </c>
      <c r="T29" s="27">
        <v>350</v>
      </c>
      <c r="U29" s="18">
        <v>1</v>
      </c>
      <c r="V29" s="27">
        <f t="shared" si="2"/>
        <v>12500</v>
      </c>
      <c r="W29" s="29">
        <v>0</v>
      </c>
      <c r="X29" s="27">
        <v>200</v>
      </c>
      <c r="Y29" s="27">
        <v>50</v>
      </c>
      <c r="Z29" s="27">
        <v>0</v>
      </c>
      <c r="AA29" s="27">
        <v>20</v>
      </c>
      <c r="AB29" s="27">
        <v>250</v>
      </c>
      <c r="AC29" s="27">
        <v>0</v>
      </c>
      <c r="AD29" s="27">
        <v>0</v>
      </c>
    </row>
    <row r="30" spans="1:30" ht="15" x14ac:dyDescent="0.15">
      <c r="A30" s="6" t="s">
        <v>81</v>
      </c>
      <c r="B30" s="13" t="s">
        <v>84</v>
      </c>
      <c r="C30" s="7" t="s">
        <v>222</v>
      </c>
      <c r="D30" s="7"/>
      <c r="F30" s="16"/>
      <c r="G30" s="14">
        <v>500</v>
      </c>
      <c r="H30" s="14"/>
      <c r="I30" s="14"/>
      <c r="J30" s="14">
        <v>500</v>
      </c>
      <c r="K30" s="24">
        <v>5.8999999999999997E-2</v>
      </c>
      <c r="L30" s="24"/>
      <c r="M30" s="21" t="s">
        <v>221</v>
      </c>
      <c r="N30" s="28"/>
      <c r="O30" s="26"/>
      <c r="P30" s="27">
        <v>1280000</v>
      </c>
      <c r="Q30" s="27">
        <f>Q29*2</f>
        <v>140</v>
      </c>
      <c r="R30" s="27">
        <f>R29*2</f>
        <v>5000000</v>
      </c>
      <c r="S30" s="27">
        <v>100</v>
      </c>
      <c r="T30" s="27">
        <v>350</v>
      </c>
      <c r="U30" s="18">
        <v>1</v>
      </c>
      <c r="V30" s="27">
        <f t="shared" si="2"/>
        <v>25000</v>
      </c>
      <c r="W30" s="29">
        <v>0</v>
      </c>
      <c r="X30" s="27">
        <v>200</v>
      </c>
      <c r="Y30" s="27">
        <v>50</v>
      </c>
      <c r="Z30" s="27">
        <v>0</v>
      </c>
      <c r="AA30" s="27">
        <v>20</v>
      </c>
      <c r="AB30" s="27">
        <v>450</v>
      </c>
      <c r="AC30" s="27">
        <v>0</v>
      </c>
      <c r="AD30" s="27">
        <v>0</v>
      </c>
    </row>
    <row r="31" spans="1:30" ht="15" x14ac:dyDescent="0.15">
      <c r="A31" s="6" t="s">
        <v>83</v>
      </c>
      <c r="B31" s="13" t="s">
        <v>86</v>
      </c>
      <c r="C31" s="7" t="s">
        <v>222</v>
      </c>
      <c r="D31" s="7"/>
      <c r="F31" s="16"/>
      <c r="G31" s="14">
        <v>500</v>
      </c>
      <c r="H31" s="14"/>
      <c r="I31" s="14"/>
      <c r="J31" s="14">
        <v>500</v>
      </c>
      <c r="K31" s="24">
        <v>5.8999999999999997E-2</v>
      </c>
      <c r="L31" s="24"/>
      <c r="M31" s="21" t="s">
        <v>221</v>
      </c>
      <c r="N31" s="28"/>
      <c r="O31" s="26"/>
      <c r="P31" s="27">
        <f>P30*3.6</f>
        <v>4608000</v>
      </c>
      <c r="Q31" s="27">
        <f>Q30*2</f>
        <v>280</v>
      </c>
      <c r="R31" s="27">
        <f>R30*2</f>
        <v>10000000</v>
      </c>
      <c r="S31" s="27">
        <v>100</v>
      </c>
      <c r="T31" s="27">
        <v>350</v>
      </c>
      <c r="U31" s="18">
        <v>1</v>
      </c>
      <c r="V31" s="27">
        <f t="shared" si="2"/>
        <v>50000</v>
      </c>
      <c r="W31" s="29">
        <v>0</v>
      </c>
      <c r="X31" s="27">
        <v>200</v>
      </c>
      <c r="Y31" s="27">
        <v>50</v>
      </c>
      <c r="Z31" s="27">
        <v>0</v>
      </c>
      <c r="AA31" s="27">
        <v>20</v>
      </c>
      <c r="AB31" s="27">
        <v>650</v>
      </c>
      <c r="AC31" s="27">
        <v>0</v>
      </c>
      <c r="AD31" s="27">
        <v>0</v>
      </c>
    </row>
    <row r="32" spans="1:30" ht="15" x14ac:dyDescent="0.15">
      <c r="A32" s="6" t="s">
        <v>85</v>
      </c>
      <c r="B32" s="13" t="s">
        <v>88</v>
      </c>
      <c r="C32" s="7" t="s">
        <v>222</v>
      </c>
      <c r="D32" s="7"/>
      <c r="F32" s="16"/>
      <c r="G32" s="14">
        <v>500</v>
      </c>
      <c r="H32" s="14"/>
      <c r="I32" s="14"/>
      <c r="J32" s="14">
        <v>500</v>
      </c>
      <c r="K32" s="24">
        <v>5.8999999999999997E-2</v>
      </c>
      <c r="L32" s="24"/>
      <c r="M32" s="21" t="s">
        <v>221</v>
      </c>
      <c r="N32" s="28"/>
      <c r="O32" s="26"/>
      <c r="P32" s="27">
        <f>P31*3</f>
        <v>13824000</v>
      </c>
      <c r="Q32" s="27">
        <f>Q31*1.6</f>
        <v>448</v>
      </c>
      <c r="R32" s="27">
        <f>R31*1.6</f>
        <v>16000000</v>
      </c>
      <c r="S32" s="27">
        <v>100</v>
      </c>
      <c r="T32" s="27">
        <v>350</v>
      </c>
      <c r="U32" s="18">
        <v>1</v>
      </c>
      <c r="V32" s="27">
        <f t="shared" si="2"/>
        <v>80000</v>
      </c>
      <c r="W32" s="29">
        <v>0</v>
      </c>
      <c r="X32" s="27">
        <v>200</v>
      </c>
      <c r="Y32" s="27">
        <v>50</v>
      </c>
      <c r="Z32" s="27">
        <v>0</v>
      </c>
      <c r="AA32" s="27">
        <v>20</v>
      </c>
      <c r="AB32" s="27">
        <v>750</v>
      </c>
      <c r="AC32" s="27">
        <v>0</v>
      </c>
      <c r="AD32" s="27">
        <v>0</v>
      </c>
    </row>
    <row r="33" spans="1:30" ht="15" x14ac:dyDescent="0.15">
      <c r="A33" s="6" t="s">
        <v>87</v>
      </c>
      <c r="B33" s="13" t="s">
        <v>90</v>
      </c>
      <c r="C33" s="7" t="s">
        <v>222</v>
      </c>
      <c r="D33" s="7"/>
      <c r="F33" s="16"/>
      <c r="G33" s="14">
        <v>500</v>
      </c>
      <c r="H33" s="14"/>
      <c r="I33" s="14"/>
      <c r="J33" s="14">
        <v>500</v>
      </c>
      <c r="K33" s="24">
        <v>5.8999999999999997E-2</v>
      </c>
      <c r="L33" s="24"/>
      <c r="M33" s="21" t="s">
        <v>221</v>
      </c>
      <c r="N33" s="28"/>
      <c r="O33" s="26"/>
      <c r="P33" s="27">
        <f>P32*2.5</f>
        <v>34560000</v>
      </c>
      <c r="Q33" s="27">
        <f>Q32*1.38</f>
        <v>618.24</v>
      </c>
      <c r="R33" s="27">
        <f>R32*1.38</f>
        <v>22080000</v>
      </c>
      <c r="S33" s="27">
        <v>100</v>
      </c>
      <c r="T33" s="27">
        <v>350</v>
      </c>
      <c r="U33" s="18">
        <v>1</v>
      </c>
      <c r="V33" s="27">
        <f t="shared" si="2"/>
        <v>110400</v>
      </c>
      <c r="W33" s="29">
        <v>0</v>
      </c>
      <c r="X33" s="27">
        <v>200</v>
      </c>
      <c r="Y33" s="27">
        <v>50</v>
      </c>
      <c r="Z33" s="27">
        <v>0</v>
      </c>
      <c r="AA33" s="27">
        <v>20</v>
      </c>
      <c r="AB33" s="27">
        <v>950</v>
      </c>
      <c r="AC33" s="27">
        <v>0</v>
      </c>
      <c r="AD33" s="27">
        <v>0</v>
      </c>
    </row>
    <row r="34" spans="1:30" ht="15" x14ac:dyDescent="0.15">
      <c r="A34" s="6" t="s">
        <v>89</v>
      </c>
      <c r="B34" s="13" t="s">
        <v>92</v>
      </c>
      <c r="C34" s="7" t="s">
        <v>222</v>
      </c>
      <c r="D34" s="7"/>
      <c r="F34" s="16"/>
      <c r="G34" s="14">
        <v>500</v>
      </c>
      <c r="H34" s="14"/>
      <c r="I34" s="14"/>
      <c r="J34" s="14">
        <v>500</v>
      </c>
      <c r="K34" s="24">
        <v>5.8999999999999997E-2</v>
      </c>
      <c r="L34" s="24"/>
      <c r="M34" s="21" t="s">
        <v>221</v>
      </c>
      <c r="N34" s="28"/>
      <c r="O34" s="26"/>
      <c r="P34" s="27">
        <f>P29*1.1</f>
        <v>352000</v>
      </c>
      <c r="Q34" s="27">
        <f t="shared" ref="Q34:R34" si="15">Q29*1.1</f>
        <v>77</v>
      </c>
      <c r="R34" s="27">
        <f t="shared" si="15"/>
        <v>2750000</v>
      </c>
      <c r="S34" s="27">
        <v>100</v>
      </c>
      <c r="T34" s="27">
        <v>350</v>
      </c>
      <c r="U34" s="18">
        <v>1</v>
      </c>
      <c r="V34" s="27">
        <f t="shared" si="2"/>
        <v>13750</v>
      </c>
      <c r="W34" s="29">
        <v>0</v>
      </c>
      <c r="X34" s="27">
        <v>200</v>
      </c>
      <c r="Y34" s="27">
        <v>50</v>
      </c>
      <c r="Z34" s="27">
        <v>0</v>
      </c>
      <c r="AA34" s="27">
        <v>20</v>
      </c>
      <c r="AB34" s="27">
        <v>250</v>
      </c>
      <c r="AC34" s="27">
        <v>0</v>
      </c>
      <c r="AD34" s="27">
        <v>0</v>
      </c>
    </row>
    <row r="35" spans="1:30" ht="15" x14ac:dyDescent="0.15">
      <c r="A35" s="6" t="s">
        <v>91</v>
      </c>
      <c r="B35" s="13" t="s">
        <v>94</v>
      </c>
      <c r="C35" s="7" t="s">
        <v>222</v>
      </c>
      <c r="D35" s="7"/>
      <c r="F35" s="16"/>
      <c r="G35" s="14">
        <v>500</v>
      </c>
      <c r="H35" s="14"/>
      <c r="I35" s="14"/>
      <c r="J35" s="14">
        <v>500</v>
      </c>
      <c r="K35" s="24">
        <v>5.8999999999999997E-2</v>
      </c>
      <c r="L35" s="24"/>
      <c r="M35" s="21" t="s">
        <v>221</v>
      </c>
      <c r="N35" s="28"/>
      <c r="O35" s="26"/>
      <c r="P35" s="27">
        <f>P30*1.1</f>
        <v>1408000</v>
      </c>
      <c r="Q35" s="27">
        <f t="shared" ref="P35:R38" si="16">Q30*1.1</f>
        <v>154</v>
      </c>
      <c r="R35" s="27">
        <f t="shared" si="16"/>
        <v>5500000</v>
      </c>
      <c r="S35" s="27">
        <v>100</v>
      </c>
      <c r="T35" s="27">
        <v>350</v>
      </c>
      <c r="U35" s="18">
        <v>1</v>
      </c>
      <c r="V35" s="27">
        <f t="shared" si="2"/>
        <v>27500</v>
      </c>
      <c r="W35" s="29">
        <v>0</v>
      </c>
      <c r="X35" s="27">
        <v>200</v>
      </c>
      <c r="Y35" s="27">
        <v>50</v>
      </c>
      <c r="Z35" s="27">
        <v>0</v>
      </c>
      <c r="AA35" s="27">
        <v>20</v>
      </c>
      <c r="AB35" s="27">
        <v>450</v>
      </c>
      <c r="AC35" s="27">
        <v>0</v>
      </c>
      <c r="AD35" s="27">
        <v>0</v>
      </c>
    </row>
    <row r="36" spans="1:30" ht="15" x14ac:dyDescent="0.15">
      <c r="A36" s="6" t="s">
        <v>93</v>
      </c>
      <c r="B36" s="13" t="s">
        <v>96</v>
      </c>
      <c r="C36" s="7" t="s">
        <v>222</v>
      </c>
      <c r="D36" s="7"/>
      <c r="F36" s="16"/>
      <c r="G36" s="14">
        <v>500</v>
      </c>
      <c r="H36" s="14"/>
      <c r="I36" s="14"/>
      <c r="J36" s="14">
        <v>500</v>
      </c>
      <c r="K36" s="24">
        <v>5.8999999999999997E-2</v>
      </c>
      <c r="L36" s="24"/>
      <c r="M36" s="21" t="s">
        <v>221</v>
      </c>
      <c r="N36" s="28"/>
      <c r="O36" s="26"/>
      <c r="P36" s="27">
        <f t="shared" si="16"/>
        <v>5068800</v>
      </c>
      <c r="Q36" s="27">
        <f t="shared" si="16"/>
        <v>308</v>
      </c>
      <c r="R36" s="27">
        <f t="shared" si="16"/>
        <v>11000000</v>
      </c>
      <c r="S36" s="27">
        <v>100</v>
      </c>
      <c r="T36" s="27">
        <v>350</v>
      </c>
      <c r="U36" s="18">
        <v>1</v>
      </c>
      <c r="V36" s="27">
        <f t="shared" si="2"/>
        <v>55000</v>
      </c>
      <c r="W36" s="29">
        <v>0</v>
      </c>
      <c r="X36" s="27">
        <v>200</v>
      </c>
      <c r="Y36" s="27">
        <v>50</v>
      </c>
      <c r="Z36" s="27">
        <v>0</v>
      </c>
      <c r="AA36" s="27">
        <v>20</v>
      </c>
      <c r="AB36" s="27">
        <v>650</v>
      </c>
      <c r="AC36" s="27">
        <v>0</v>
      </c>
      <c r="AD36" s="27">
        <v>0</v>
      </c>
    </row>
    <row r="37" spans="1:30" ht="15" x14ac:dyDescent="0.15">
      <c r="A37" s="6" t="s">
        <v>95</v>
      </c>
      <c r="B37" s="13" t="s">
        <v>98</v>
      </c>
      <c r="C37" s="7" t="s">
        <v>222</v>
      </c>
      <c r="D37" s="7"/>
      <c r="F37" s="16"/>
      <c r="G37" s="14">
        <v>500</v>
      </c>
      <c r="H37" s="14"/>
      <c r="I37" s="14"/>
      <c r="J37" s="14">
        <v>500</v>
      </c>
      <c r="K37" s="24">
        <v>5.8999999999999997E-2</v>
      </c>
      <c r="L37" s="24"/>
      <c r="M37" s="21" t="s">
        <v>221</v>
      </c>
      <c r="N37" s="28"/>
      <c r="O37" s="26"/>
      <c r="P37" s="27">
        <f t="shared" si="16"/>
        <v>15206400.000000002</v>
      </c>
      <c r="Q37" s="27">
        <f t="shared" si="16"/>
        <v>492.80000000000007</v>
      </c>
      <c r="R37" s="27">
        <f t="shared" si="16"/>
        <v>17600000</v>
      </c>
      <c r="S37" s="27">
        <v>100</v>
      </c>
      <c r="T37" s="27">
        <v>350</v>
      </c>
      <c r="U37" s="18">
        <v>1</v>
      </c>
      <c r="V37" s="27">
        <f t="shared" si="2"/>
        <v>88000</v>
      </c>
      <c r="W37" s="29">
        <v>0</v>
      </c>
      <c r="X37" s="27">
        <v>200</v>
      </c>
      <c r="Y37" s="27">
        <v>50</v>
      </c>
      <c r="Z37" s="27">
        <v>0</v>
      </c>
      <c r="AA37" s="27">
        <v>20</v>
      </c>
      <c r="AB37" s="27">
        <v>750</v>
      </c>
      <c r="AC37" s="27">
        <v>0</v>
      </c>
      <c r="AD37" s="27">
        <v>0</v>
      </c>
    </row>
    <row r="38" spans="1:30" ht="15" x14ac:dyDescent="0.15">
      <c r="A38" s="6" t="s">
        <v>97</v>
      </c>
      <c r="B38" s="13" t="s">
        <v>100</v>
      </c>
      <c r="C38" s="7" t="s">
        <v>222</v>
      </c>
      <c r="D38" s="7"/>
      <c r="F38" s="16"/>
      <c r="G38" s="14">
        <v>500</v>
      </c>
      <c r="H38" s="14"/>
      <c r="I38" s="14"/>
      <c r="J38" s="14">
        <v>500</v>
      </c>
      <c r="K38" s="24">
        <v>5.8999999999999997E-2</v>
      </c>
      <c r="L38" s="24"/>
      <c r="M38" s="21" t="s">
        <v>221</v>
      </c>
      <c r="N38" s="28"/>
      <c r="O38" s="26"/>
      <c r="P38" s="27">
        <f t="shared" si="16"/>
        <v>38016000</v>
      </c>
      <c r="Q38" s="27">
        <f t="shared" si="16"/>
        <v>680.06400000000008</v>
      </c>
      <c r="R38" s="27">
        <f t="shared" si="16"/>
        <v>24288000.000000004</v>
      </c>
      <c r="S38" s="27">
        <v>100</v>
      </c>
      <c r="T38" s="27">
        <v>350</v>
      </c>
      <c r="U38" s="18">
        <v>1</v>
      </c>
      <c r="V38" s="27">
        <f t="shared" si="2"/>
        <v>121440.00000000001</v>
      </c>
      <c r="W38" s="29">
        <v>0</v>
      </c>
      <c r="X38" s="27">
        <v>200</v>
      </c>
      <c r="Y38" s="27">
        <v>50</v>
      </c>
      <c r="Z38" s="27">
        <v>0</v>
      </c>
      <c r="AA38" s="27">
        <v>20</v>
      </c>
      <c r="AB38" s="27">
        <v>950</v>
      </c>
      <c r="AC38" s="27">
        <v>0</v>
      </c>
      <c r="AD38" s="27">
        <v>0</v>
      </c>
    </row>
    <row r="39" spans="1:30" ht="15" x14ac:dyDescent="0.15">
      <c r="A39" s="12" t="s">
        <v>99</v>
      </c>
      <c r="B39" s="13" t="s">
        <v>102</v>
      </c>
      <c r="C39" s="7" t="s">
        <v>220</v>
      </c>
      <c r="D39" s="7"/>
      <c r="E39" s="1"/>
      <c r="F39" s="1"/>
      <c r="G39" s="14">
        <v>10</v>
      </c>
      <c r="H39" s="14"/>
      <c r="I39" s="14"/>
      <c r="J39" s="14">
        <v>750</v>
      </c>
      <c r="K39" s="24">
        <v>5.8999999999999997E-2</v>
      </c>
      <c r="L39" s="24"/>
      <c r="M39" s="21" t="s">
        <v>221</v>
      </c>
      <c r="N39" s="1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18">
        <v>1.2</v>
      </c>
      <c r="V39" s="27">
        <f t="shared" si="2"/>
        <v>15</v>
      </c>
      <c r="W39" s="29">
        <v>0</v>
      </c>
      <c r="X39" s="27">
        <v>200</v>
      </c>
      <c r="Y39" s="27">
        <v>10</v>
      </c>
      <c r="Z39" s="27">
        <v>0</v>
      </c>
      <c r="AA39" s="15">
        <v>10</v>
      </c>
      <c r="AB39" s="15">
        <v>50</v>
      </c>
      <c r="AC39" s="15">
        <v>0</v>
      </c>
      <c r="AD39" s="15">
        <v>0</v>
      </c>
    </row>
    <row r="40" spans="1:30" ht="15" x14ac:dyDescent="0.15">
      <c r="A40" s="12" t="s">
        <v>101</v>
      </c>
      <c r="B40" s="13" t="s">
        <v>105</v>
      </c>
      <c r="C40" s="7" t="s">
        <v>220</v>
      </c>
      <c r="D40" s="7"/>
      <c r="E40" s="1"/>
      <c r="F40" s="1"/>
      <c r="G40" s="14">
        <v>1000</v>
      </c>
      <c r="H40" s="14"/>
      <c r="I40" s="14"/>
      <c r="J40" s="14">
        <v>500</v>
      </c>
      <c r="K40" s="24">
        <v>5.8999999999999997E-2</v>
      </c>
      <c r="L40" s="24"/>
      <c r="M40" s="21" t="s">
        <v>221</v>
      </c>
      <c r="N40" s="1"/>
      <c r="O40" s="26"/>
      <c r="P40" s="27">
        <v>18000</v>
      </c>
      <c r="Q40" s="27">
        <v>12</v>
      </c>
      <c r="R40" s="27">
        <v>120000</v>
      </c>
      <c r="S40" s="27">
        <v>100</v>
      </c>
      <c r="T40" s="27">
        <v>360</v>
      </c>
      <c r="U40" s="18">
        <v>1.1000000000000001</v>
      </c>
      <c r="V40" s="27">
        <f t="shared" si="2"/>
        <v>600</v>
      </c>
      <c r="W40" s="29">
        <v>0</v>
      </c>
      <c r="X40" s="27">
        <v>200</v>
      </c>
      <c r="Y40" s="27">
        <v>30</v>
      </c>
      <c r="Z40" s="27">
        <v>0</v>
      </c>
      <c r="AA40" s="15">
        <v>10</v>
      </c>
      <c r="AB40" s="15">
        <v>50</v>
      </c>
      <c r="AC40" s="15">
        <v>0</v>
      </c>
      <c r="AD40" s="15">
        <v>0</v>
      </c>
    </row>
    <row r="41" spans="1:30" ht="15" x14ac:dyDescent="0.15">
      <c r="A41" s="12" t="s">
        <v>104</v>
      </c>
      <c r="B41" s="13" t="s">
        <v>107</v>
      </c>
      <c r="C41" s="7" t="s">
        <v>220</v>
      </c>
      <c r="D41" s="7"/>
      <c r="E41" s="1"/>
      <c r="F41" s="1"/>
      <c r="G41" s="14">
        <v>2500</v>
      </c>
      <c r="H41" s="14"/>
      <c r="I41" s="14"/>
      <c r="J41" s="14">
        <v>500</v>
      </c>
      <c r="K41" s="24">
        <v>5.8999999999999997E-2</v>
      </c>
      <c r="L41" s="24"/>
      <c r="M41" s="21" t="s">
        <v>221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</v>
      </c>
      <c r="T41" s="27">
        <v>370</v>
      </c>
      <c r="U41" s="18">
        <v>1</v>
      </c>
      <c r="V41" s="27">
        <f t="shared" si="2"/>
        <v>6000</v>
      </c>
      <c r="W41" s="29">
        <v>0</v>
      </c>
      <c r="X41" s="27">
        <v>200</v>
      </c>
      <c r="Y41" s="27">
        <v>50</v>
      </c>
      <c r="Z41" s="27">
        <v>0</v>
      </c>
      <c r="AA41" s="15">
        <v>15</v>
      </c>
      <c r="AB41" s="15">
        <v>100</v>
      </c>
      <c r="AC41" s="15">
        <v>0</v>
      </c>
      <c r="AD41" s="15">
        <v>0</v>
      </c>
    </row>
    <row r="42" spans="1:30" ht="15" x14ac:dyDescent="0.15">
      <c r="A42" s="12" t="s">
        <v>106</v>
      </c>
      <c r="B42" s="13" t="s">
        <v>109</v>
      </c>
      <c r="C42" s="7" t="s">
        <v>220</v>
      </c>
      <c r="D42" s="7"/>
      <c r="E42" s="1"/>
      <c r="F42" s="1"/>
      <c r="G42" s="14">
        <v>7500</v>
      </c>
      <c r="H42" s="14"/>
      <c r="I42" s="14"/>
      <c r="J42" s="14">
        <v>500</v>
      </c>
      <c r="K42" s="24">
        <v>5.8999999999999997E-2</v>
      </c>
      <c r="L42" s="24"/>
      <c r="M42" s="21" t="s">
        <v>221</v>
      </c>
      <c r="N42" s="1"/>
      <c r="O42" s="26"/>
      <c r="P42" s="27">
        <v>2000000</v>
      </c>
      <c r="Q42" s="27">
        <v>100</v>
      </c>
      <c r="R42" s="27">
        <v>7000000</v>
      </c>
      <c r="S42" s="27">
        <v>100</v>
      </c>
      <c r="T42" s="27">
        <v>380</v>
      </c>
      <c r="U42" s="18">
        <v>1</v>
      </c>
      <c r="V42" s="27">
        <f t="shared" si="2"/>
        <v>35000</v>
      </c>
      <c r="W42" s="29">
        <v>0</v>
      </c>
      <c r="X42" s="27">
        <v>200</v>
      </c>
      <c r="Y42" s="27">
        <v>70</v>
      </c>
      <c r="Z42" s="27">
        <v>0</v>
      </c>
      <c r="AA42" s="15">
        <v>20</v>
      </c>
      <c r="AB42" s="15">
        <v>300</v>
      </c>
      <c r="AC42" s="15">
        <v>0</v>
      </c>
      <c r="AD42" s="15">
        <v>0</v>
      </c>
    </row>
    <row r="43" spans="1:30" ht="15" x14ac:dyDescent="0.15">
      <c r="A43" s="12" t="s">
        <v>108</v>
      </c>
      <c r="B43" s="13" t="s">
        <v>112</v>
      </c>
      <c r="C43" s="7" t="s">
        <v>220</v>
      </c>
      <c r="D43" s="7"/>
      <c r="E43" s="1"/>
      <c r="F43" s="1"/>
      <c r="G43" s="15"/>
      <c r="H43" s="17">
        <v>1.5</v>
      </c>
      <c r="I43" s="15"/>
      <c r="J43" s="14">
        <v>500</v>
      </c>
      <c r="K43" s="24">
        <v>5.8999999999999997E-2</v>
      </c>
      <c r="L43" s="24"/>
      <c r="M43" s="21" t="s">
        <v>221</v>
      </c>
      <c r="N43" s="1"/>
      <c r="O43" s="26"/>
      <c r="P43" s="27">
        <f>P42*2</f>
        <v>4000000</v>
      </c>
      <c r="Q43" s="27">
        <f t="shared" ref="Q43:R43" si="17">Q42*2</f>
        <v>200</v>
      </c>
      <c r="R43" s="27">
        <f t="shared" si="17"/>
        <v>14000000</v>
      </c>
      <c r="S43" s="27">
        <v>100</v>
      </c>
      <c r="T43" s="27">
        <v>390</v>
      </c>
      <c r="U43" s="18">
        <v>1</v>
      </c>
      <c r="V43" s="27">
        <f t="shared" si="2"/>
        <v>70000</v>
      </c>
      <c r="W43" s="29">
        <v>0</v>
      </c>
      <c r="X43" s="27">
        <v>200</v>
      </c>
      <c r="Y43" s="27">
        <v>90</v>
      </c>
      <c r="Z43" s="27">
        <v>0</v>
      </c>
      <c r="AA43" s="27">
        <v>20</v>
      </c>
      <c r="AB43" s="27">
        <v>500</v>
      </c>
      <c r="AC43" s="15">
        <v>0</v>
      </c>
      <c r="AD43" s="15">
        <v>0</v>
      </c>
    </row>
    <row r="44" spans="1:30" ht="14.25" customHeight="1" x14ac:dyDescent="0.15">
      <c r="A44" s="12" t="s">
        <v>111</v>
      </c>
      <c r="B44" s="13" t="s">
        <v>114</v>
      </c>
      <c r="C44" s="7" t="s">
        <v>220</v>
      </c>
      <c r="D44" s="7"/>
      <c r="E44" s="1"/>
      <c r="F44" s="1"/>
      <c r="G44" s="15"/>
      <c r="H44" s="18">
        <v>5</v>
      </c>
      <c r="I44" s="14"/>
      <c r="J44" s="14">
        <v>500</v>
      </c>
      <c r="K44" s="24">
        <v>5.8999999999999997E-2</v>
      </c>
      <c r="L44" s="24"/>
      <c r="M44" s="21" t="s">
        <v>221</v>
      </c>
      <c r="N44" s="1"/>
      <c r="O44" s="26"/>
      <c r="P44" s="27">
        <f>P47*2</f>
        <v>16000000</v>
      </c>
      <c r="Q44" s="27">
        <f t="shared" ref="Q44:R44" si="18">Q47*2</f>
        <v>800</v>
      </c>
      <c r="R44" s="27">
        <f t="shared" si="18"/>
        <v>56000000</v>
      </c>
      <c r="S44" s="27">
        <v>100</v>
      </c>
      <c r="T44" s="27">
        <v>400</v>
      </c>
      <c r="U44" s="18">
        <v>0.9</v>
      </c>
      <c r="V44" s="27">
        <f t="shared" si="2"/>
        <v>280000</v>
      </c>
      <c r="W44" s="29">
        <v>0</v>
      </c>
      <c r="X44" s="27">
        <v>200</v>
      </c>
      <c r="Y44" s="27">
        <v>150</v>
      </c>
      <c r="Z44" s="27">
        <v>0</v>
      </c>
      <c r="AA44" s="27">
        <v>20</v>
      </c>
      <c r="AB44" s="27">
        <v>1000</v>
      </c>
      <c r="AC44" s="15">
        <v>0</v>
      </c>
      <c r="AD44" s="15">
        <v>0</v>
      </c>
    </row>
    <row r="45" spans="1:30" ht="14.25" customHeight="1" x14ac:dyDescent="0.15">
      <c r="A45" s="12" t="s">
        <v>113</v>
      </c>
      <c r="B45" s="13" t="s">
        <v>116</v>
      </c>
      <c r="C45" s="7" t="s">
        <v>220</v>
      </c>
      <c r="D45" s="7"/>
      <c r="E45" s="1"/>
      <c r="F45" s="1"/>
      <c r="G45" s="15"/>
      <c r="H45" s="18">
        <v>10</v>
      </c>
      <c r="I45" s="14"/>
      <c r="J45" s="14">
        <v>500</v>
      </c>
      <c r="K45" s="24">
        <v>5.8999999999999997E-2</v>
      </c>
      <c r="L45" s="24"/>
      <c r="M45" s="21" t="s">
        <v>221</v>
      </c>
      <c r="N45" s="1"/>
      <c r="O45" s="26"/>
      <c r="P45" s="27">
        <f>P48*2</f>
        <v>64000000</v>
      </c>
      <c r="Q45" s="27">
        <f t="shared" ref="Q45:R45" si="19">Q48*2</f>
        <v>3200</v>
      </c>
      <c r="R45" s="27">
        <f t="shared" si="19"/>
        <v>224000000</v>
      </c>
      <c r="S45" s="27">
        <v>100</v>
      </c>
      <c r="T45" s="27">
        <v>410</v>
      </c>
      <c r="U45" s="18">
        <v>0.9</v>
      </c>
      <c r="V45" s="27">
        <f t="shared" si="2"/>
        <v>1120000</v>
      </c>
      <c r="W45" s="29">
        <v>0</v>
      </c>
      <c r="X45" s="27">
        <v>200</v>
      </c>
      <c r="Y45" s="27">
        <v>150</v>
      </c>
      <c r="Z45" s="27">
        <v>0</v>
      </c>
      <c r="AA45" s="27">
        <v>20</v>
      </c>
      <c r="AB45" s="27">
        <v>1500</v>
      </c>
      <c r="AC45" s="15">
        <v>0</v>
      </c>
      <c r="AD45" s="15">
        <v>0</v>
      </c>
    </row>
    <row r="46" spans="1:30" ht="15" x14ac:dyDescent="0.15">
      <c r="A46" s="12" t="s">
        <v>115</v>
      </c>
      <c r="B46" s="13" t="s">
        <v>118</v>
      </c>
      <c r="C46" s="7" t="s">
        <v>220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5.8999999999999997E-2</v>
      </c>
      <c r="L46" s="24"/>
      <c r="M46" s="21" t="s">
        <v>221</v>
      </c>
      <c r="N46" s="1"/>
      <c r="O46" s="26"/>
      <c r="P46" s="27">
        <f>P49*3</f>
        <v>384000000</v>
      </c>
      <c r="Q46" s="27">
        <f t="shared" ref="Q46:R46" si="20">Q49*3</f>
        <v>19200</v>
      </c>
      <c r="R46" s="27">
        <f t="shared" si="20"/>
        <v>1344000000</v>
      </c>
      <c r="S46" s="27">
        <v>100</v>
      </c>
      <c r="T46" s="27">
        <v>420</v>
      </c>
      <c r="U46" s="18">
        <v>0.9</v>
      </c>
      <c r="V46" s="27">
        <f t="shared" si="2"/>
        <v>6720000</v>
      </c>
      <c r="W46" s="29">
        <v>0</v>
      </c>
      <c r="X46" s="27">
        <v>200</v>
      </c>
      <c r="Y46" s="27">
        <v>150</v>
      </c>
      <c r="Z46" s="27">
        <v>0</v>
      </c>
      <c r="AA46" s="27">
        <v>20</v>
      </c>
      <c r="AB46" s="27">
        <v>2500</v>
      </c>
      <c r="AC46" s="15">
        <v>0</v>
      </c>
      <c r="AD46" s="15">
        <v>0</v>
      </c>
    </row>
    <row r="47" spans="1:30" ht="15" x14ac:dyDescent="0.15">
      <c r="A47" s="12" t="s">
        <v>117</v>
      </c>
      <c r="B47" s="13" t="s">
        <v>121</v>
      </c>
      <c r="C47" s="7" t="s">
        <v>220</v>
      </c>
      <c r="D47" s="7"/>
      <c r="E47" s="1"/>
      <c r="F47" s="1"/>
      <c r="G47" s="15"/>
      <c r="H47" s="14"/>
      <c r="I47" s="14">
        <v>10</v>
      </c>
      <c r="J47" s="14">
        <v>500</v>
      </c>
      <c r="K47" s="24">
        <v>5.8999999999999997E-2</v>
      </c>
      <c r="L47" s="24"/>
      <c r="M47" s="21" t="s">
        <v>221</v>
      </c>
      <c r="N47" s="1"/>
      <c r="O47" s="26"/>
      <c r="P47" s="27">
        <f>P43*2</f>
        <v>8000000</v>
      </c>
      <c r="Q47" s="27">
        <f t="shared" ref="Q47:R47" si="21">Q43*2</f>
        <v>400</v>
      </c>
      <c r="R47" s="27">
        <f t="shared" si="21"/>
        <v>28000000</v>
      </c>
      <c r="S47" s="27">
        <v>100</v>
      </c>
      <c r="T47" s="27">
        <v>370</v>
      </c>
      <c r="U47" s="18">
        <v>1</v>
      </c>
      <c r="V47" s="27">
        <f t="shared" si="2"/>
        <v>140000</v>
      </c>
      <c r="W47" s="29">
        <v>0</v>
      </c>
      <c r="X47" s="27">
        <v>200</v>
      </c>
      <c r="Y47" s="27">
        <v>100</v>
      </c>
      <c r="Z47" s="27">
        <v>0</v>
      </c>
      <c r="AA47" s="27">
        <v>20</v>
      </c>
      <c r="AB47" s="27">
        <v>750</v>
      </c>
      <c r="AC47" s="27">
        <v>0</v>
      </c>
      <c r="AD47" s="27">
        <v>0</v>
      </c>
    </row>
    <row r="48" spans="1:30" ht="15" x14ac:dyDescent="0.15">
      <c r="A48" s="12" t="s">
        <v>120</v>
      </c>
      <c r="B48" s="13" t="s">
        <v>123</v>
      </c>
      <c r="C48" s="7" t="s">
        <v>220</v>
      </c>
      <c r="D48" s="7"/>
      <c r="E48" s="1"/>
      <c r="F48" s="1"/>
      <c r="G48" s="15"/>
      <c r="H48" s="14"/>
      <c r="I48" s="14">
        <v>25</v>
      </c>
      <c r="J48" s="14">
        <v>500</v>
      </c>
      <c r="K48" s="24">
        <v>5.8999999999999997E-2</v>
      </c>
      <c r="L48" s="24"/>
      <c r="M48" s="21" t="s">
        <v>221</v>
      </c>
      <c r="N48" s="1"/>
      <c r="O48" s="26"/>
      <c r="P48" s="27">
        <f>P44*2</f>
        <v>32000000</v>
      </c>
      <c r="Q48" s="27">
        <f t="shared" ref="Q48:R48" si="22">Q44*2</f>
        <v>1600</v>
      </c>
      <c r="R48" s="27">
        <f t="shared" si="22"/>
        <v>112000000</v>
      </c>
      <c r="S48" s="27">
        <v>100</v>
      </c>
      <c r="T48" s="27">
        <v>400</v>
      </c>
      <c r="U48" s="18">
        <v>0.9</v>
      </c>
      <c r="V48" s="27">
        <f t="shared" si="2"/>
        <v>560000</v>
      </c>
      <c r="W48" s="29">
        <v>0</v>
      </c>
      <c r="X48" s="27">
        <v>200</v>
      </c>
      <c r="Y48" s="27">
        <v>150</v>
      </c>
      <c r="Z48" s="27">
        <v>0</v>
      </c>
      <c r="AA48" s="27">
        <v>20</v>
      </c>
      <c r="AB48" s="27">
        <v>1250</v>
      </c>
      <c r="AC48" s="27">
        <v>0</v>
      </c>
      <c r="AD48" s="27">
        <v>0</v>
      </c>
    </row>
    <row r="49" spans="1:30" ht="14.25" customHeight="1" x14ac:dyDescent="0.15">
      <c r="A49" s="12" t="s">
        <v>122</v>
      </c>
      <c r="B49" s="13" t="s">
        <v>124</v>
      </c>
      <c r="C49" s="7" t="s">
        <v>220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5.8999999999999997E-2</v>
      </c>
      <c r="L49" s="24"/>
      <c r="M49" s="21" t="s">
        <v>221</v>
      </c>
      <c r="N49" s="1"/>
      <c r="O49" s="26"/>
      <c r="P49" s="27">
        <f>P45*2</f>
        <v>128000000</v>
      </c>
      <c r="Q49" s="27">
        <f t="shared" ref="Q49:R49" si="23">Q45*2</f>
        <v>6400</v>
      </c>
      <c r="R49" s="27">
        <f t="shared" si="23"/>
        <v>448000000</v>
      </c>
      <c r="S49" s="27">
        <v>100</v>
      </c>
      <c r="T49" s="27">
        <v>445</v>
      </c>
      <c r="U49" s="18">
        <v>0.9</v>
      </c>
      <c r="V49" s="27">
        <f t="shared" si="2"/>
        <v>2240000</v>
      </c>
      <c r="W49" s="29">
        <v>0</v>
      </c>
      <c r="X49" s="27">
        <v>200</v>
      </c>
      <c r="Y49" s="27">
        <v>200</v>
      </c>
      <c r="Z49" s="27">
        <v>0</v>
      </c>
      <c r="AA49" s="27">
        <v>20</v>
      </c>
      <c r="AB49" s="27">
        <v>2000</v>
      </c>
      <c r="AC49" s="27">
        <v>0</v>
      </c>
      <c r="AD49" s="27">
        <v>0</v>
      </c>
    </row>
    <row r="50" spans="1:30" ht="37.5" customHeight="1" x14ac:dyDescent="0.15">
      <c r="A50" s="12" t="s">
        <v>223</v>
      </c>
      <c r="B50" s="13" t="s">
        <v>125</v>
      </c>
      <c r="C50" s="7" t="s">
        <v>222</v>
      </c>
      <c r="D50" s="7"/>
      <c r="E50" s="1"/>
      <c r="F50" s="1"/>
      <c r="G50" s="15"/>
      <c r="H50" s="14"/>
      <c r="I50" s="14"/>
      <c r="J50" s="14">
        <v>500</v>
      </c>
      <c r="K50" s="24">
        <v>5.8999999999999997E-2</v>
      </c>
      <c r="L50" s="24"/>
      <c r="M50" s="21" t="s">
        <v>221</v>
      </c>
      <c r="N50" s="25"/>
      <c r="O50" s="26"/>
      <c r="P50" s="27">
        <v>0</v>
      </c>
      <c r="Q50" s="27">
        <v>25</v>
      </c>
      <c r="R50" s="27">
        <v>100000000</v>
      </c>
      <c r="S50" s="27">
        <v>100</v>
      </c>
      <c r="T50" s="27">
        <v>0</v>
      </c>
      <c r="U50" s="18">
        <v>0.9</v>
      </c>
      <c r="V50" s="27">
        <v>0</v>
      </c>
      <c r="W50" s="29">
        <v>0</v>
      </c>
      <c r="X50" s="27">
        <v>200</v>
      </c>
      <c r="Y50" s="27">
        <v>200</v>
      </c>
      <c r="Z50" s="27">
        <v>0</v>
      </c>
      <c r="AA50" s="27">
        <v>20</v>
      </c>
      <c r="AB50" s="27">
        <v>2000</v>
      </c>
      <c r="AC50" s="27">
        <v>0</v>
      </c>
      <c r="AD50" s="27">
        <v>0</v>
      </c>
    </row>
    <row r="51" spans="1:30" ht="14.25" customHeight="1" x14ac:dyDescent="0.15">
      <c r="A51" s="12" t="s">
        <v>228</v>
      </c>
      <c r="B51" s="13" t="s">
        <v>126</v>
      </c>
      <c r="C51" s="7" t="s">
        <v>222</v>
      </c>
      <c r="D51" s="7"/>
      <c r="E51" s="1"/>
      <c r="F51" s="1"/>
      <c r="G51" s="15"/>
      <c r="H51" s="14"/>
      <c r="I51" s="14"/>
      <c r="J51" s="14">
        <v>500</v>
      </c>
      <c r="K51" s="24">
        <v>5.8999999999999997E-2</v>
      </c>
      <c r="L51" s="24"/>
      <c r="M51" s="21" t="s">
        <v>221</v>
      </c>
      <c r="N51" s="1"/>
      <c r="O51" s="26"/>
      <c r="P51" s="27">
        <f>P50*5</f>
        <v>0</v>
      </c>
      <c r="Q51" s="27">
        <v>500</v>
      </c>
      <c r="R51" s="27">
        <v>100000000</v>
      </c>
      <c r="S51" s="27">
        <v>100</v>
      </c>
      <c r="T51" s="27">
        <v>0</v>
      </c>
      <c r="U51" s="18">
        <v>0.9</v>
      </c>
      <c r="V51" s="27">
        <v>0</v>
      </c>
      <c r="W51" s="29">
        <v>0</v>
      </c>
      <c r="X51" s="27">
        <v>200</v>
      </c>
      <c r="Y51" s="27">
        <v>200</v>
      </c>
      <c r="Z51" s="27">
        <v>0</v>
      </c>
      <c r="AA51" s="27">
        <v>20</v>
      </c>
      <c r="AB51" s="27">
        <v>2000</v>
      </c>
      <c r="AC51" s="27">
        <v>0</v>
      </c>
      <c r="AD51" s="27">
        <v>0</v>
      </c>
    </row>
    <row r="52" spans="1:30" ht="14.25" customHeight="1" x14ac:dyDescent="0.15">
      <c r="A52" s="12" t="s">
        <v>225</v>
      </c>
      <c r="B52" s="13" t="s">
        <v>127</v>
      </c>
      <c r="C52" s="7" t="s">
        <v>222</v>
      </c>
      <c r="D52" s="7"/>
      <c r="E52" s="1"/>
      <c r="F52" s="1"/>
      <c r="G52" s="15"/>
      <c r="H52" s="14"/>
      <c r="I52" s="14"/>
      <c r="J52" s="14">
        <v>500</v>
      </c>
      <c r="K52" s="24">
        <v>5.8999999999999997E-2</v>
      </c>
      <c r="L52" s="24"/>
      <c r="M52" s="21" t="s">
        <v>221</v>
      </c>
      <c r="N52" s="1"/>
      <c r="O52" s="26"/>
      <c r="P52" s="27">
        <f t="shared" ref="P52:P54" si="24">P51*3</f>
        <v>0</v>
      </c>
      <c r="Q52" s="27">
        <v>2000</v>
      </c>
      <c r="R52" s="27">
        <f>R51*4</f>
        <v>400000000</v>
      </c>
      <c r="S52" s="27">
        <v>100</v>
      </c>
      <c r="T52" s="27">
        <v>0</v>
      </c>
      <c r="U52" s="18">
        <v>0.9</v>
      </c>
      <c r="V52" s="27">
        <v>0</v>
      </c>
      <c r="W52" s="29">
        <v>0</v>
      </c>
      <c r="X52" s="27">
        <v>200</v>
      </c>
      <c r="Y52" s="27">
        <v>200</v>
      </c>
      <c r="Z52" s="27">
        <v>0</v>
      </c>
      <c r="AA52" s="27">
        <v>20</v>
      </c>
      <c r="AB52" s="27">
        <v>2000</v>
      </c>
      <c r="AC52" s="27">
        <v>0</v>
      </c>
      <c r="AD52" s="27">
        <v>0</v>
      </c>
    </row>
    <row r="53" spans="1:30" ht="14.25" customHeight="1" x14ac:dyDescent="0.15">
      <c r="A53" s="12" t="s">
        <v>226</v>
      </c>
      <c r="B53" s="13" t="s">
        <v>128</v>
      </c>
      <c r="C53" s="7" t="s">
        <v>222</v>
      </c>
      <c r="D53" s="7"/>
      <c r="E53" s="1"/>
      <c r="F53" s="1"/>
      <c r="G53" s="15"/>
      <c r="H53" s="14"/>
      <c r="I53" s="14"/>
      <c r="J53" s="14">
        <v>500</v>
      </c>
      <c r="K53" s="24">
        <v>5.8999999999999997E-2</v>
      </c>
      <c r="L53" s="24"/>
      <c r="M53" s="21" t="s">
        <v>221</v>
      </c>
      <c r="N53" s="1"/>
      <c r="O53" s="26"/>
      <c r="P53" s="27">
        <f t="shared" si="24"/>
        <v>0</v>
      </c>
      <c r="Q53" s="27">
        <v>4000</v>
      </c>
      <c r="R53" s="27">
        <f>R52*3</f>
        <v>1200000000</v>
      </c>
      <c r="S53" s="27">
        <v>100</v>
      </c>
      <c r="T53" s="27">
        <v>0</v>
      </c>
      <c r="U53" s="18">
        <v>0.9</v>
      </c>
      <c r="V53" s="27">
        <v>0</v>
      </c>
      <c r="W53" s="29">
        <v>0</v>
      </c>
      <c r="X53" s="27">
        <v>200</v>
      </c>
      <c r="Y53" s="27">
        <v>200</v>
      </c>
      <c r="Z53" s="27">
        <v>0</v>
      </c>
      <c r="AA53" s="27">
        <v>20</v>
      </c>
      <c r="AB53" s="27">
        <v>2000</v>
      </c>
      <c r="AC53" s="27">
        <v>0</v>
      </c>
      <c r="AD53" s="27">
        <v>0</v>
      </c>
    </row>
    <row r="54" spans="1:30" ht="14.25" customHeight="1" x14ac:dyDescent="0.15">
      <c r="A54" s="12" t="s">
        <v>227</v>
      </c>
      <c r="B54" s="13" t="s">
        <v>129</v>
      </c>
      <c r="C54" s="7" t="s">
        <v>222</v>
      </c>
      <c r="D54" s="7"/>
      <c r="E54" s="1"/>
      <c r="F54" s="1"/>
      <c r="G54" s="15"/>
      <c r="H54" s="14"/>
      <c r="I54" s="14"/>
      <c r="J54" s="14">
        <v>500</v>
      </c>
      <c r="K54" s="24">
        <v>5.8999999999999997E-2</v>
      </c>
      <c r="L54" s="24"/>
      <c r="M54" s="21" t="s">
        <v>221</v>
      </c>
      <c r="N54" s="1"/>
      <c r="O54" s="26"/>
      <c r="P54" s="27">
        <f t="shared" si="24"/>
        <v>0</v>
      </c>
      <c r="Q54" s="27">
        <v>8000</v>
      </c>
      <c r="R54" s="27">
        <f>R53*3</f>
        <v>3600000000</v>
      </c>
      <c r="S54" s="27">
        <v>100</v>
      </c>
      <c r="T54" s="27">
        <v>0</v>
      </c>
      <c r="U54" s="18">
        <v>0.9</v>
      </c>
      <c r="V54" s="27">
        <v>0</v>
      </c>
      <c r="W54" s="29">
        <v>0</v>
      </c>
      <c r="X54" s="27">
        <v>200</v>
      </c>
      <c r="Y54" s="27">
        <v>200</v>
      </c>
      <c r="Z54" s="27">
        <v>0</v>
      </c>
      <c r="AA54" s="27">
        <v>20</v>
      </c>
      <c r="AB54" s="27">
        <v>2000</v>
      </c>
      <c r="AC54" s="27">
        <v>0</v>
      </c>
      <c r="AD54" s="27">
        <v>0</v>
      </c>
    </row>
    <row r="55" spans="1:30" ht="14.25" customHeight="1" x14ac:dyDescent="0.15">
      <c r="A55" s="12" t="s">
        <v>229</v>
      </c>
      <c r="B55" s="13" t="s">
        <v>130</v>
      </c>
      <c r="C55" s="7" t="s">
        <v>220</v>
      </c>
      <c r="D55" s="7"/>
      <c r="E55" s="1"/>
      <c r="F55" s="1"/>
      <c r="G55" s="15"/>
      <c r="H55" s="14"/>
      <c r="I55" s="14"/>
      <c r="J55" s="14">
        <v>500</v>
      </c>
      <c r="K55" s="24">
        <v>5.8999999999999997E-2</v>
      </c>
      <c r="L55" s="24"/>
      <c r="M55" s="21" t="s">
        <v>221</v>
      </c>
      <c r="N55" s="1"/>
      <c r="O55" s="26"/>
      <c r="P55" s="27">
        <f>P40*1.2</f>
        <v>21600</v>
      </c>
      <c r="Q55" s="27">
        <f t="shared" ref="Q55:R55" si="25">Q40*1.2</f>
        <v>14.399999999999999</v>
      </c>
      <c r="R55" s="27">
        <f t="shared" si="25"/>
        <v>144000</v>
      </c>
      <c r="S55" s="27">
        <v>100</v>
      </c>
      <c r="T55" s="27">
        <f t="shared" ref="T55:AD55" si="26">T40</f>
        <v>360</v>
      </c>
      <c r="U55" s="18">
        <f t="shared" si="26"/>
        <v>1.1000000000000001</v>
      </c>
      <c r="V55" s="27">
        <f t="shared" si="2"/>
        <v>720</v>
      </c>
      <c r="W55" s="27">
        <f t="shared" si="26"/>
        <v>0</v>
      </c>
      <c r="X55" s="27">
        <f t="shared" si="26"/>
        <v>200</v>
      </c>
      <c r="Y55" s="27">
        <f t="shared" si="26"/>
        <v>30</v>
      </c>
      <c r="Z55" s="27">
        <v>0</v>
      </c>
      <c r="AA55" s="27">
        <f t="shared" si="26"/>
        <v>10</v>
      </c>
      <c r="AB55" s="27">
        <f t="shared" si="26"/>
        <v>50</v>
      </c>
      <c r="AC55" s="27">
        <f t="shared" si="26"/>
        <v>0</v>
      </c>
      <c r="AD55" s="27">
        <f t="shared" si="26"/>
        <v>0</v>
      </c>
    </row>
    <row r="56" spans="1:30" ht="14.25" customHeight="1" x14ac:dyDescent="0.15">
      <c r="A56" s="12" t="s">
        <v>230</v>
      </c>
      <c r="B56" s="13" t="s">
        <v>131</v>
      </c>
      <c r="C56" s="7" t="s">
        <v>220</v>
      </c>
      <c r="D56" s="7"/>
      <c r="E56" s="1"/>
      <c r="F56" s="1"/>
      <c r="G56" s="15"/>
      <c r="H56" s="14"/>
      <c r="I56" s="14"/>
      <c r="J56" s="14">
        <v>500</v>
      </c>
      <c r="K56" s="24">
        <v>5.8999999999999997E-2</v>
      </c>
      <c r="L56" s="24"/>
      <c r="M56" s="21" t="s">
        <v>221</v>
      </c>
      <c r="N56" s="1"/>
      <c r="O56" s="26"/>
      <c r="P56" s="27">
        <f>P47*1.2</f>
        <v>9600000</v>
      </c>
      <c r="Q56" s="27">
        <f t="shared" ref="Q56:R56" si="27">Q47*1.2</f>
        <v>480</v>
      </c>
      <c r="R56" s="27">
        <f t="shared" si="27"/>
        <v>33600000</v>
      </c>
      <c r="S56" s="27">
        <v>100</v>
      </c>
      <c r="T56" s="27">
        <f t="shared" ref="T56:AD56" si="28">T43</f>
        <v>390</v>
      </c>
      <c r="U56" s="18">
        <f t="shared" si="28"/>
        <v>1</v>
      </c>
      <c r="V56" s="27">
        <f t="shared" si="2"/>
        <v>168000</v>
      </c>
      <c r="W56" s="27">
        <f t="shared" si="28"/>
        <v>0</v>
      </c>
      <c r="X56" s="27">
        <f t="shared" si="28"/>
        <v>200</v>
      </c>
      <c r="Y56" s="27">
        <f t="shared" si="28"/>
        <v>90</v>
      </c>
      <c r="Z56" s="27">
        <v>0</v>
      </c>
      <c r="AA56" s="27">
        <f t="shared" si="28"/>
        <v>20</v>
      </c>
      <c r="AB56" s="27">
        <f t="shared" si="28"/>
        <v>500</v>
      </c>
      <c r="AC56" s="27">
        <f t="shared" si="28"/>
        <v>0</v>
      </c>
      <c r="AD56" s="27">
        <f t="shared" si="28"/>
        <v>0</v>
      </c>
    </row>
    <row r="57" spans="1:30" ht="14.25" customHeight="1" x14ac:dyDescent="0.15">
      <c r="A57" s="12" t="s">
        <v>231</v>
      </c>
      <c r="B57" s="13" t="s">
        <v>132</v>
      </c>
      <c r="C57" s="7" t="s">
        <v>220</v>
      </c>
      <c r="D57" s="7"/>
      <c r="E57" s="1"/>
      <c r="F57" s="1"/>
      <c r="G57" s="15"/>
      <c r="H57" s="14"/>
      <c r="I57" s="14"/>
      <c r="J57" s="14">
        <v>500</v>
      </c>
      <c r="K57" s="24">
        <v>5.8999999999999997E-2</v>
      </c>
      <c r="L57" s="24"/>
      <c r="M57" s="21" t="s">
        <v>221</v>
      </c>
      <c r="N57" s="1"/>
      <c r="O57" s="26"/>
      <c r="P57" s="27">
        <f>P49*1.2</f>
        <v>153600000</v>
      </c>
      <c r="Q57" s="27">
        <f>Q49*1.2</f>
        <v>7680</v>
      </c>
      <c r="R57" s="27">
        <f t="shared" ref="R57" si="29">R49*1.2</f>
        <v>537600000</v>
      </c>
      <c r="S57" s="27">
        <v>100</v>
      </c>
      <c r="T57" s="27">
        <f t="shared" ref="T57:AD57" si="30">T49</f>
        <v>445</v>
      </c>
      <c r="U57" s="18">
        <f t="shared" si="30"/>
        <v>0.9</v>
      </c>
      <c r="V57" s="27">
        <f t="shared" si="2"/>
        <v>2688000</v>
      </c>
      <c r="W57" s="27">
        <f t="shared" si="30"/>
        <v>0</v>
      </c>
      <c r="X57" s="27">
        <f t="shared" si="30"/>
        <v>200</v>
      </c>
      <c r="Y57" s="27">
        <f t="shared" si="30"/>
        <v>200</v>
      </c>
      <c r="Z57" s="27">
        <v>0</v>
      </c>
      <c r="AA57" s="27">
        <f t="shared" si="30"/>
        <v>20</v>
      </c>
      <c r="AB57" s="27">
        <f t="shared" si="30"/>
        <v>2000</v>
      </c>
      <c r="AC57" s="27">
        <f t="shared" si="30"/>
        <v>0</v>
      </c>
      <c r="AD57" s="27">
        <f t="shared" si="30"/>
        <v>0</v>
      </c>
    </row>
    <row r="58" spans="1:30" ht="14.25" customHeight="1" x14ac:dyDescent="0.15">
      <c r="A58" s="12" t="s">
        <v>232</v>
      </c>
      <c r="B58" s="13" t="s">
        <v>133</v>
      </c>
      <c r="C58" s="7" t="s">
        <v>220</v>
      </c>
      <c r="D58" s="7"/>
      <c r="E58" s="1"/>
      <c r="F58" s="1"/>
      <c r="G58" s="15"/>
      <c r="H58" s="14"/>
      <c r="I58" s="14"/>
      <c r="J58" s="14">
        <v>500</v>
      </c>
      <c r="K58" s="24">
        <v>5.8999999999999997E-2</v>
      </c>
      <c r="L58" s="24"/>
      <c r="M58" s="21" t="s">
        <v>221</v>
      </c>
      <c r="N58" s="1"/>
      <c r="O58" s="26"/>
      <c r="P58" s="27">
        <f>P46*1.5</f>
        <v>576000000</v>
      </c>
      <c r="Q58" s="27">
        <f>Q46*2</f>
        <v>38400</v>
      </c>
      <c r="R58" s="27">
        <f t="shared" ref="R58" si="31">R46*2</f>
        <v>2688000000</v>
      </c>
      <c r="S58" s="27">
        <v>100</v>
      </c>
      <c r="T58" s="27">
        <f t="shared" ref="T58:AD58" si="32">T46</f>
        <v>420</v>
      </c>
      <c r="U58" s="18">
        <f t="shared" si="32"/>
        <v>0.9</v>
      </c>
      <c r="V58" s="27">
        <f t="shared" si="2"/>
        <v>13440000</v>
      </c>
      <c r="W58" s="27">
        <f t="shared" si="32"/>
        <v>0</v>
      </c>
      <c r="X58" s="27">
        <f t="shared" si="32"/>
        <v>200</v>
      </c>
      <c r="Y58" s="27">
        <f t="shared" si="32"/>
        <v>150</v>
      </c>
      <c r="Z58" s="27">
        <v>0</v>
      </c>
      <c r="AA58" s="27">
        <f t="shared" si="32"/>
        <v>20</v>
      </c>
      <c r="AB58" s="27">
        <f t="shared" si="32"/>
        <v>2500</v>
      </c>
      <c r="AC58" s="27">
        <f t="shared" si="32"/>
        <v>0</v>
      </c>
      <c r="AD58" s="27">
        <f t="shared" si="32"/>
        <v>0</v>
      </c>
    </row>
    <row r="59" spans="1:30" ht="14.25" customHeight="1" x14ac:dyDescent="0.15">
      <c r="A59" s="12" t="s">
        <v>236</v>
      </c>
      <c r="B59" s="13" t="s">
        <v>134</v>
      </c>
      <c r="C59" s="7" t="s">
        <v>222</v>
      </c>
      <c r="D59" s="7"/>
      <c r="E59" s="1"/>
      <c r="F59" s="1"/>
      <c r="G59" s="15"/>
      <c r="H59" s="14"/>
      <c r="I59" s="14"/>
      <c r="J59" s="14">
        <v>500</v>
      </c>
      <c r="K59" s="24">
        <v>5.8999999999999997E-2</v>
      </c>
      <c r="L59" s="24"/>
      <c r="M59" s="21" t="s">
        <v>221</v>
      </c>
      <c r="N59" s="28" t="str">
        <f>"{'sylz1', '"&amp;A59&amp;"*1',10,270,10,13,'三眼赤痕*1' }"</f>
        <v>{'sylz1', '三眼老祖*1',10,270,10,13,'三眼赤痕*1' }</v>
      </c>
      <c r="O59" s="26"/>
      <c r="P59" s="27">
        <f>P58*3</f>
        <v>1728000000</v>
      </c>
      <c r="Q59" s="27">
        <f t="shared" ref="Q59" si="33">Q58*5</f>
        <v>192000</v>
      </c>
      <c r="R59" s="27">
        <f>R58*4</f>
        <v>10752000000</v>
      </c>
      <c r="S59" s="27">
        <v>100</v>
      </c>
      <c r="T59" s="27">
        <v>420</v>
      </c>
      <c r="U59" s="18">
        <v>0.9</v>
      </c>
      <c r="V59" s="27">
        <f t="shared" si="2"/>
        <v>53760000</v>
      </c>
      <c r="W59" s="27">
        <v>0</v>
      </c>
      <c r="X59" s="27">
        <v>200</v>
      </c>
      <c r="Y59" s="27">
        <v>150</v>
      </c>
      <c r="Z59" s="27">
        <v>0</v>
      </c>
      <c r="AA59" s="27">
        <v>20</v>
      </c>
      <c r="AB59" s="27">
        <v>2500</v>
      </c>
      <c r="AC59" s="27">
        <v>5</v>
      </c>
      <c r="AD59" s="27">
        <v>2500</v>
      </c>
    </row>
    <row r="60" spans="1:30" ht="14.25" customHeight="1" x14ac:dyDescent="0.15">
      <c r="A60" s="12" t="s">
        <v>237</v>
      </c>
      <c r="B60" s="13" t="s">
        <v>135</v>
      </c>
      <c r="C60" s="7" t="s">
        <v>222</v>
      </c>
      <c r="D60" s="7"/>
      <c r="E60" s="1"/>
      <c r="F60" s="1"/>
      <c r="G60" s="15"/>
      <c r="H60" s="14"/>
      <c r="I60" s="14"/>
      <c r="J60" s="14">
        <v>500</v>
      </c>
      <c r="K60" s="24">
        <v>5.8999999999999997E-2</v>
      </c>
      <c r="L60" s="24"/>
      <c r="M60" s="21" t="s">
        <v>221</v>
      </c>
      <c r="N60" s="28" t="str">
        <f>"{'bhhl1', '"&amp;A60&amp;"*1',10,270,10,13,'火龙气息*1' }"</f>
        <v>{'bhhl1', '八荒火龙*1',10,270,10,13,'火龙气息*1' }</v>
      </c>
      <c r="O60" s="26"/>
      <c r="P60" s="27">
        <f>P59*1.1</f>
        <v>1900800000.0000002</v>
      </c>
      <c r="Q60" s="27">
        <f t="shared" ref="Q60:R60" si="34">Q59*1.1</f>
        <v>211200.00000000003</v>
      </c>
      <c r="R60" s="27">
        <f t="shared" si="34"/>
        <v>11827200000.000002</v>
      </c>
      <c r="S60" s="27">
        <v>100</v>
      </c>
      <c r="T60" s="27">
        <v>420</v>
      </c>
      <c r="U60" s="18">
        <v>0.9</v>
      </c>
      <c r="V60" s="27">
        <f t="shared" si="2"/>
        <v>59136000.000000007</v>
      </c>
      <c r="W60" s="27">
        <v>0</v>
      </c>
      <c r="X60" s="27">
        <v>200</v>
      </c>
      <c r="Y60" s="27">
        <v>150</v>
      </c>
      <c r="Z60" s="27">
        <v>0</v>
      </c>
      <c r="AA60" s="27">
        <v>20</v>
      </c>
      <c r="AB60" s="27">
        <v>2500</v>
      </c>
      <c r="AC60" s="27">
        <v>5</v>
      </c>
      <c r="AD60" s="27">
        <v>2500</v>
      </c>
    </row>
    <row r="61" spans="1:30" ht="14.25" customHeight="1" x14ac:dyDescent="0.15">
      <c r="A61" s="12" t="s">
        <v>238</v>
      </c>
      <c r="B61" s="13" t="s">
        <v>136</v>
      </c>
      <c r="C61" s="7" t="s">
        <v>222</v>
      </c>
      <c r="D61" s="7"/>
      <c r="E61" s="1"/>
      <c r="F61" s="1"/>
      <c r="G61" s="15"/>
      <c r="H61" s="14"/>
      <c r="I61" s="14"/>
      <c r="J61" s="14">
        <v>500</v>
      </c>
      <c r="K61" s="24">
        <v>5.8999999999999997E-2</v>
      </c>
      <c r="L61" s="24"/>
      <c r="M61" s="21" t="s">
        <v>221</v>
      </c>
      <c r="N61" s="28" t="str">
        <f>"{'yijie1', '"&amp;A61&amp;"*1',10,270,10,13,'地魂融血丹*1' }"</f>
        <v>{'yijie1', '一姐*1',10,270,10,13,'地魂融血丹*1' }</v>
      </c>
      <c r="O61" s="26"/>
      <c r="P61" s="27">
        <f>P59*1.5</f>
        <v>2592000000</v>
      </c>
      <c r="Q61" s="27">
        <f t="shared" ref="Q61:R61" si="35">Q59*1.5</f>
        <v>288000</v>
      </c>
      <c r="R61" s="27">
        <f t="shared" si="35"/>
        <v>16128000000</v>
      </c>
      <c r="S61" s="27">
        <v>100</v>
      </c>
      <c r="T61" s="27">
        <v>420</v>
      </c>
      <c r="U61" s="18">
        <v>0.9</v>
      </c>
      <c r="V61" s="27">
        <f t="shared" si="2"/>
        <v>80640000</v>
      </c>
      <c r="W61" s="27">
        <v>0</v>
      </c>
      <c r="X61" s="27">
        <v>200</v>
      </c>
      <c r="Y61" s="27">
        <v>150</v>
      </c>
      <c r="Z61" s="27">
        <v>0</v>
      </c>
      <c r="AA61" s="27">
        <v>20</v>
      </c>
      <c r="AB61" s="27">
        <v>2500</v>
      </c>
      <c r="AC61" s="27">
        <v>5</v>
      </c>
      <c r="AD61" s="27">
        <v>2500</v>
      </c>
    </row>
    <row r="62" spans="1:30" ht="14.25" customHeight="1" x14ac:dyDescent="0.15">
      <c r="A62" s="12" t="s">
        <v>239</v>
      </c>
      <c r="B62" s="13" t="s">
        <v>256</v>
      </c>
      <c r="C62" s="7" t="s">
        <v>222</v>
      </c>
      <c r="D62" s="7"/>
      <c r="E62" s="1"/>
      <c r="F62" s="1"/>
      <c r="G62" s="15"/>
      <c r="H62" s="14"/>
      <c r="I62" s="14"/>
      <c r="J62" s="14">
        <v>500</v>
      </c>
      <c r="K62" s="24">
        <v>5.8999999999999997E-2</v>
      </c>
      <c r="L62" s="24"/>
      <c r="M62" s="21" t="s">
        <v>221</v>
      </c>
      <c r="N62" s="28" t="str">
        <f>"{'yandi1', '"&amp;A62&amp;"*1',10,270,10,13,'天魂融血丹*1' }"</f>
        <v>{'yandi1', '炎帝*1',10,270,10,13,'天魂融血丹*1' }</v>
      </c>
      <c r="O62" s="26"/>
      <c r="P62" s="27">
        <f>P61*1.1</f>
        <v>2851200000</v>
      </c>
      <c r="Q62" s="27">
        <f>Q61*1.1</f>
        <v>316800</v>
      </c>
      <c r="R62" s="27">
        <f>R61*1.1</f>
        <v>17740800000</v>
      </c>
      <c r="S62" s="27">
        <v>100</v>
      </c>
      <c r="T62" s="27">
        <v>420</v>
      </c>
      <c r="U62" s="18">
        <v>0.9</v>
      </c>
      <c r="V62" s="27">
        <f t="shared" si="2"/>
        <v>88704000</v>
      </c>
      <c r="W62" s="27">
        <v>0</v>
      </c>
      <c r="X62" s="27">
        <v>200</v>
      </c>
      <c r="Y62" s="27">
        <v>150</v>
      </c>
      <c r="Z62" s="27">
        <v>0</v>
      </c>
      <c r="AA62" s="27">
        <v>20</v>
      </c>
      <c r="AB62" s="27">
        <v>2500</v>
      </c>
      <c r="AC62" s="27">
        <v>5</v>
      </c>
      <c r="AD62" s="27">
        <v>2500</v>
      </c>
    </row>
    <row r="63" spans="1:30" ht="15" x14ac:dyDescent="0.15">
      <c r="A63" s="12" t="s">
        <v>298</v>
      </c>
      <c r="B63" s="13" t="s">
        <v>257</v>
      </c>
      <c r="C63" s="16" t="s">
        <v>220</v>
      </c>
      <c r="D63" s="16"/>
      <c r="E63" s="4"/>
      <c r="F63" s="4">
        <v>1</v>
      </c>
      <c r="G63" s="14"/>
      <c r="H63" s="14"/>
      <c r="I63" s="14"/>
      <c r="J63" s="14">
        <v>500</v>
      </c>
      <c r="K63" s="24">
        <v>5.8999999999999997E-2</v>
      </c>
      <c r="L63" s="24"/>
      <c r="M63" s="21" t="s">
        <v>221</v>
      </c>
      <c r="N63" s="26"/>
      <c r="O63" s="5"/>
      <c r="P63" s="41">
        <v>25000</v>
      </c>
      <c r="Q63" s="41">
        <v>16.875</v>
      </c>
      <c r="R63" s="41">
        <v>171875</v>
      </c>
      <c r="S63" s="27">
        <v>100</v>
      </c>
      <c r="T63" s="41">
        <v>350</v>
      </c>
      <c r="U63" s="57">
        <v>1</v>
      </c>
      <c r="V63" s="27">
        <f t="shared" si="2"/>
        <v>859.375</v>
      </c>
      <c r="W63" s="41">
        <v>0</v>
      </c>
      <c r="X63" s="1">
        <v>210</v>
      </c>
      <c r="Y63" s="1">
        <v>50</v>
      </c>
      <c r="Z63" s="27">
        <v>0</v>
      </c>
      <c r="AA63" s="1">
        <v>20</v>
      </c>
      <c r="AB63" s="1">
        <v>100</v>
      </c>
      <c r="AC63" s="1">
        <v>0</v>
      </c>
      <c r="AD63" s="1">
        <v>0</v>
      </c>
    </row>
    <row r="64" spans="1:30" ht="15" x14ac:dyDescent="0.15">
      <c r="A64" s="12" t="s">
        <v>243</v>
      </c>
      <c r="B64" s="13" t="s">
        <v>258</v>
      </c>
      <c r="C64" s="16" t="s">
        <v>220</v>
      </c>
      <c r="D64" s="16"/>
      <c r="E64" s="1"/>
      <c r="F64" s="1">
        <v>2</v>
      </c>
      <c r="G64" s="14"/>
      <c r="H64" s="14">
        <v>1</v>
      </c>
      <c r="I64" s="14"/>
      <c r="J64" s="14">
        <v>500</v>
      </c>
      <c r="K64" s="24">
        <v>0.35</v>
      </c>
      <c r="L64" s="24"/>
      <c r="M64" s="21" t="s">
        <v>221</v>
      </c>
      <c r="N64" s="26"/>
      <c r="O64" s="5"/>
      <c r="P64" s="41">
        <f>P63*10</f>
        <v>250000</v>
      </c>
      <c r="Q64" s="41">
        <f>Q63*2.5</f>
        <v>42.1875</v>
      </c>
      <c r="R64" s="41">
        <f>R63*10</f>
        <v>1718750</v>
      </c>
      <c r="S64" s="27">
        <v>100</v>
      </c>
      <c r="T64" s="41">
        <v>360</v>
      </c>
      <c r="U64" s="57">
        <v>1</v>
      </c>
      <c r="V64" s="27">
        <f t="shared" si="2"/>
        <v>8593.75</v>
      </c>
      <c r="W64" s="41">
        <v>0</v>
      </c>
      <c r="X64" s="1">
        <v>220</v>
      </c>
      <c r="Y64" s="1">
        <v>50</v>
      </c>
      <c r="Z64" s="27">
        <v>0</v>
      </c>
      <c r="AA64" s="1">
        <v>20</v>
      </c>
      <c r="AB64" s="1">
        <v>200</v>
      </c>
      <c r="AC64" s="1">
        <v>0</v>
      </c>
      <c r="AD64" s="1">
        <v>0</v>
      </c>
    </row>
    <row r="65" spans="1:30" ht="15" x14ac:dyDescent="0.15">
      <c r="A65" s="12" t="s">
        <v>304</v>
      </c>
      <c r="B65" s="13" t="s">
        <v>259</v>
      </c>
      <c r="C65" s="16" t="s">
        <v>220</v>
      </c>
      <c r="D65" s="16"/>
      <c r="E65" s="1"/>
      <c r="F65" s="4">
        <v>3</v>
      </c>
      <c r="G65" s="14"/>
      <c r="H65" s="14">
        <v>2</v>
      </c>
      <c r="I65" s="14"/>
      <c r="J65" s="14">
        <v>500</v>
      </c>
      <c r="K65" s="24">
        <v>0.4</v>
      </c>
      <c r="L65" s="24"/>
      <c r="M65" s="21" t="s">
        <v>221</v>
      </c>
      <c r="N65" s="26"/>
      <c r="O65" s="5"/>
      <c r="P65" s="41">
        <f>P64*5</f>
        <v>1250000</v>
      </c>
      <c r="Q65" s="41">
        <f>Q64*2.5</f>
        <v>105.46875</v>
      </c>
      <c r="R65" s="41">
        <f>R64*2.5</f>
        <v>4296875</v>
      </c>
      <c r="S65" s="27">
        <v>100</v>
      </c>
      <c r="T65" s="41">
        <v>370</v>
      </c>
      <c r="U65" s="57">
        <v>1</v>
      </c>
      <c r="V65" s="27">
        <f t="shared" si="2"/>
        <v>21484.375</v>
      </c>
      <c r="W65" s="41">
        <v>0</v>
      </c>
      <c r="X65" s="1">
        <v>230</v>
      </c>
      <c r="Y65" s="1">
        <v>50</v>
      </c>
      <c r="Z65" s="27">
        <v>0</v>
      </c>
      <c r="AA65" s="1">
        <v>20</v>
      </c>
      <c r="AB65" s="1">
        <v>300</v>
      </c>
      <c r="AC65" s="1">
        <v>0</v>
      </c>
      <c r="AD65" s="1">
        <v>0</v>
      </c>
    </row>
    <row r="66" spans="1:30" ht="15" x14ac:dyDescent="0.15">
      <c r="A66" s="12" t="s">
        <v>305</v>
      </c>
      <c r="B66" s="13" t="s">
        <v>260</v>
      </c>
      <c r="C66" s="16" t="s">
        <v>220</v>
      </c>
      <c r="D66" s="16"/>
      <c r="E66" s="1"/>
      <c r="F66" s="1">
        <v>4</v>
      </c>
      <c r="G66" s="14"/>
      <c r="H66" s="14">
        <v>3</v>
      </c>
      <c r="I66" s="14"/>
      <c r="J66" s="14">
        <v>500</v>
      </c>
      <c r="K66" s="24">
        <v>0.45</v>
      </c>
      <c r="L66" s="24"/>
      <c r="M66" s="21" t="s">
        <v>221</v>
      </c>
      <c r="N66" s="26"/>
      <c r="O66" s="5"/>
      <c r="P66" s="41">
        <f>P65*2.5</f>
        <v>3125000</v>
      </c>
      <c r="Q66" s="41">
        <f t="shared" ref="Q66:R67" si="36">Q65*2.5</f>
        <v>263.671875</v>
      </c>
      <c r="R66" s="41">
        <f t="shared" si="36"/>
        <v>10742187.5</v>
      </c>
      <c r="S66" s="27">
        <v>100</v>
      </c>
      <c r="T66" s="41">
        <v>380</v>
      </c>
      <c r="U66" s="57">
        <v>1</v>
      </c>
      <c r="V66" s="27">
        <f t="shared" si="2"/>
        <v>53710.9375</v>
      </c>
      <c r="W66" s="41">
        <v>0</v>
      </c>
      <c r="X66" s="1">
        <v>240</v>
      </c>
      <c r="Y66" s="1">
        <v>50</v>
      </c>
      <c r="Z66" s="27">
        <v>0</v>
      </c>
      <c r="AA66" s="1">
        <v>20</v>
      </c>
      <c r="AB66" s="1">
        <v>400</v>
      </c>
      <c r="AC66" s="1">
        <v>0</v>
      </c>
      <c r="AD66" s="1">
        <v>0</v>
      </c>
    </row>
    <row r="67" spans="1:30" ht="15" x14ac:dyDescent="0.15">
      <c r="A67" s="12" t="s">
        <v>244</v>
      </c>
      <c r="B67" s="13" t="s">
        <v>261</v>
      </c>
      <c r="C67" s="16" t="s">
        <v>220</v>
      </c>
      <c r="D67" s="16"/>
      <c r="E67" s="1"/>
      <c r="F67" s="4">
        <v>5</v>
      </c>
      <c r="G67" s="14"/>
      <c r="H67" s="14">
        <v>4</v>
      </c>
      <c r="I67" s="14"/>
      <c r="J67" s="14">
        <v>500</v>
      </c>
      <c r="K67" s="24">
        <v>0.5</v>
      </c>
      <c r="L67" s="24"/>
      <c r="M67" s="21" t="s">
        <v>221</v>
      </c>
      <c r="N67" s="26"/>
      <c r="O67" s="5"/>
      <c r="P67" s="41">
        <f>P66*2.5</f>
        <v>7812500</v>
      </c>
      <c r="Q67" s="41">
        <f t="shared" si="36"/>
        <v>659.1796875</v>
      </c>
      <c r="R67" s="41">
        <f t="shared" si="36"/>
        <v>26855468.75</v>
      </c>
      <c r="S67" s="27">
        <v>100</v>
      </c>
      <c r="T67" s="41">
        <v>390</v>
      </c>
      <c r="U67" s="57">
        <v>1</v>
      </c>
      <c r="V67" s="27">
        <f t="shared" si="2"/>
        <v>134277.34375</v>
      </c>
      <c r="W67" s="41">
        <v>0</v>
      </c>
      <c r="X67" s="1">
        <v>250</v>
      </c>
      <c r="Y67" s="1">
        <v>50</v>
      </c>
      <c r="Z67" s="27">
        <v>0</v>
      </c>
      <c r="AA67" s="1">
        <v>20</v>
      </c>
      <c r="AB67" s="1">
        <v>500</v>
      </c>
      <c r="AC67" s="1">
        <v>0</v>
      </c>
      <c r="AD67" s="1">
        <v>0</v>
      </c>
    </row>
    <row r="68" spans="1:30" ht="15" x14ac:dyDescent="0.15">
      <c r="A68" s="12" t="s">
        <v>300</v>
      </c>
      <c r="B68" s="13" t="s">
        <v>262</v>
      </c>
      <c r="C68" s="16" t="s">
        <v>220</v>
      </c>
      <c r="D68" s="16"/>
      <c r="E68" s="1"/>
      <c r="F68" s="1">
        <v>6</v>
      </c>
      <c r="G68" s="14"/>
      <c r="H68" s="14">
        <v>5</v>
      </c>
      <c r="I68" s="14"/>
      <c r="J68" s="14">
        <v>500</v>
      </c>
      <c r="K68" s="24">
        <v>0.55000000000000004</v>
      </c>
      <c r="L68" s="24"/>
      <c r="M68" s="21" t="s">
        <v>221</v>
      </c>
      <c r="N68" s="26"/>
      <c r="O68" s="5"/>
      <c r="P68" s="41">
        <f>P67*2</f>
        <v>15625000</v>
      </c>
      <c r="Q68" s="41">
        <f t="shared" ref="Q68:R68" si="37">Q67*1.8</f>
        <v>1186.5234375</v>
      </c>
      <c r="R68" s="41">
        <f t="shared" si="37"/>
        <v>48339843.75</v>
      </c>
      <c r="S68" s="27">
        <v>100</v>
      </c>
      <c r="T68" s="41">
        <v>400</v>
      </c>
      <c r="U68" s="57">
        <v>0.9</v>
      </c>
      <c r="V68" s="27">
        <f t="shared" si="2"/>
        <v>241699.21875</v>
      </c>
      <c r="W68" s="41">
        <v>0</v>
      </c>
      <c r="X68" s="1">
        <v>260</v>
      </c>
      <c r="Y68" s="1">
        <v>150</v>
      </c>
      <c r="Z68" s="27">
        <v>0</v>
      </c>
      <c r="AA68" s="1">
        <v>20</v>
      </c>
      <c r="AB68" s="1">
        <v>750</v>
      </c>
      <c r="AC68" s="1">
        <v>5</v>
      </c>
      <c r="AD68" s="1">
        <v>0</v>
      </c>
    </row>
    <row r="69" spans="1:30" ht="15" x14ac:dyDescent="0.15">
      <c r="A69" s="12" t="s">
        <v>245</v>
      </c>
      <c r="B69" s="13" t="s">
        <v>263</v>
      </c>
      <c r="C69" s="16" t="s">
        <v>220</v>
      </c>
      <c r="D69" s="16"/>
      <c r="E69" s="1"/>
      <c r="F69" s="4">
        <v>7</v>
      </c>
      <c r="G69" s="14"/>
      <c r="H69" s="14">
        <v>6</v>
      </c>
      <c r="I69" s="14"/>
      <c r="J69" s="14">
        <v>500</v>
      </c>
      <c r="K69" s="24">
        <v>0.6</v>
      </c>
      <c r="L69" s="24"/>
      <c r="M69" s="21" t="s">
        <v>221</v>
      </c>
      <c r="N69" s="26"/>
      <c r="O69" s="5"/>
      <c r="P69" s="41">
        <f>P68*1.5</f>
        <v>23437500</v>
      </c>
      <c r="Q69" s="41">
        <f>Q68*1.8</f>
        <v>2135.7421875</v>
      </c>
      <c r="R69" s="41">
        <f>R68*1.8</f>
        <v>87011718.75</v>
      </c>
      <c r="S69" s="27">
        <v>100</v>
      </c>
      <c r="T69" s="41">
        <v>410</v>
      </c>
      <c r="U69" s="57">
        <v>0.9</v>
      </c>
      <c r="V69" s="27">
        <f t="shared" si="2"/>
        <v>435058.59375</v>
      </c>
      <c r="W69" s="41">
        <v>0</v>
      </c>
      <c r="X69" s="1">
        <v>270</v>
      </c>
      <c r="Y69" s="1">
        <v>150</v>
      </c>
      <c r="Z69" s="27">
        <v>0</v>
      </c>
      <c r="AA69" s="1">
        <v>20</v>
      </c>
      <c r="AB69" s="1">
        <v>1000</v>
      </c>
      <c r="AC69" s="1">
        <v>5</v>
      </c>
      <c r="AD69" s="1">
        <v>0</v>
      </c>
    </row>
    <row r="70" spans="1:30" ht="15" x14ac:dyDescent="0.15">
      <c r="A70" s="12" t="s">
        <v>246</v>
      </c>
      <c r="B70" s="13" t="s">
        <v>264</v>
      </c>
      <c r="C70" s="16" t="s">
        <v>220</v>
      </c>
      <c r="D70" s="16"/>
      <c r="E70" s="1"/>
      <c r="F70" s="1">
        <v>8</v>
      </c>
      <c r="G70" s="14"/>
      <c r="H70" s="14">
        <v>7</v>
      </c>
      <c r="I70" s="14"/>
      <c r="J70" s="14">
        <v>500</v>
      </c>
      <c r="K70" s="24">
        <v>0.65</v>
      </c>
      <c r="L70" s="24"/>
      <c r="M70" s="21" t="s">
        <v>221</v>
      </c>
      <c r="N70" s="26"/>
      <c r="O70" s="5"/>
      <c r="P70" s="41">
        <f>P69*1.5</f>
        <v>35156250</v>
      </c>
      <c r="Q70" s="41">
        <f t="shared" ref="Q70:R72" si="38">Q69*1.5</f>
        <v>3203.61328125</v>
      </c>
      <c r="R70" s="41">
        <f t="shared" si="38"/>
        <v>130517578.125</v>
      </c>
      <c r="S70" s="27">
        <v>100</v>
      </c>
      <c r="T70" s="41">
        <v>420</v>
      </c>
      <c r="U70" s="57">
        <v>0.9</v>
      </c>
      <c r="V70" s="27">
        <f t="shared" si="2"/>
        <v>652587.890625</v>
      </c>
      <c r="W70" s="41">
        <v>0</v>
      </c>
      <c r="X70" s="1">
        <v>280</v>
      </c>
      <c r="Y70" s="1">
        <v>150</v>
      </c>
      <c r="Z70" s="27">
        <v>0</v>
      </c>
      <c r="AA70" s="1">
        <v>20</v>
      </c>
      <c r="AB70" s="1">
        <v>1250</v>
      </c>
      <c r="AC70" s="1">
        <v>5</v>
      </c>
      <c r="AD70" s="1">
        <v>0</v>
      </c>
    </row>
    <row r="71" spans="1:30" ht="15" x14ac:dyDescent="0.15">
      <c r="A71" s="12" t="s">
        <v>247</v>
      </c>
      <c r="B71" s="13" t="s">
        <v>265</v>
      </c>
      <c r="C71" s="16" t="s">
        <v>220</v>
      </c>
      <c r="D71" s="16"/>
      <c r="E71" s="1"/>
      <c r="F71" s="4">
        <v>9</v>
      </c>
      <c r="G71" s="14"/>
      <c r="H71" s="14">
        <v>8</v>
      </c>
      <c r="I71" s="14"/>
      <c r="J71" s="14">
        <v>500</v>
      </c>
      <c r="K71" s="24">
        <v>0.7</v>
      </c>
      <c r="L71" s="24"/>
      <c r="M71" s="21" t="s">
        <v>221</v>
      </c>
      <c r="N71" s="26"/>
      <c r="O71" s="5"/>
      <c r="P71" s="41">
        <f>P70*1.5</f>
        <v>52734375</v>
      </c>
      <c r="Q71" s="41">
        <f t="shared" si="38"/>
        <v>4805.419921875</v>
      </c>
      <c r="R71" s="41">
        <f t="shared" si="38"/>
        <v>195776367.1875</v>
      </c>
      <c r="S71" s="27">
        <v>100</v>
      </c>
      <c r="T71" s="41">
        <v>430</v>
      </c>
      <c r="U71" s="57">
        <v>0.9</v>
      </c>
      <c r="V71" s="27">
        <f t="shared" si="2"/>
        <v>978881.8359375</v>
      </c>
      <c r="W71" s="41">
        <v>0</v>
      </c>
      <c r="X71" s="1">
        <v>290</v>
      </c>
      <c r="Y71" s="1">
        <v>150</v>
      </c>
      <c r="Z71" s="27">
        <v>0</v>
      </c>
      <c r="AA71" s="1">
        <v>20</v>
      </c>
      <c r="AB71" s="1">
        <v>1500</v>
      </c>
      <c r="AC71" s="1">
        <v>5</v>
      </c>
      <c r="AD71" s="1">
        <v>0</v>
      </c>
    </row>
    <row r="72" spans="1:30" ht="15" x14ac:dyDescent="0.15">
      <c r="A72" s="12" t="s">
        <v>308</v>
      </c>
      <c r="B72" s="13" t="s">
        <v>266</v>
      </c>
      <c r="C72" s="16" t="s">
        <v>220</v>
      </c>
      <c r="D72" s="16"/>
      <c r="E72" s="1"/>
      <c r="F72" s="1">
        <v>10</v>
      </c>
      <c r="G72" s="14"/>
      <c r="H72" s="14">
        <v>9</v>
      </c>
      <c r="I72" s="14"/>
      <c r="J72" s="14">
        <v>500</v>
      </c>
      <c r="K72" s="24">
        <v>0.75</v>
      </c>
      <c r="L72" s="24"/>
      <c r="M72" s="21" t="s">
        <v>221</v>
      </c>
      <c r="N72" s="26"/>
      <c r="O72" s="5"/>
      <c r="P72" s="41">
        <f>P71*1.4</f>
        <v>73828125</v>
      </c>
      <c r="Q72" s="41">
        <f t="shared" si="38"/>
        <v>7208.1298828125</v>
      </c>
      <c r="R72" s="41">
        <f t="shared" si="38"/>
        <v>293664550.78125</v>
      </c>
      <c r="S72" s="27">
        <v>100</v>
      </c>
      <c r="T72" s="41">
        <v>440</v>
      </c>
      <c r="U72" s="57">
        <v>0.9</v>
      </c>
      <c r="V72" s="27">
        <f t="shared" si="2"/>
        <v>1468322.75390625</v>
      </c>
      <c r="W72" s="41">
        <v>0</v>
      </c>
      <c r="X72" s="1">
        <v>300</v>
      </c>
      <c r="Y72" s="1">
        <v>150</v>
      </c>
      <c r="Z72" s="27">
        <v>0</v>
      </c>
      <c r="AA72" s="1">
        <v>20</v>
      </c>
      <c r="AB72" s="1">
        <v>1750</v>
      </c>
      <c r="AC72" s="1">
        <v>5</v>
      </c>
      <c r="AD72" s="1">
        <v>0</v>
      </c>
    </row>
    <row r="73" spans="1:30" ht="15" x14ac:dyDescent="0.15">
      <c r="A73" s="12" t="s">
        <v>302</v>
      </c>
      <c r="B73" s="13" t="s">
        <v>267</v>
      </c>
      <c r="C73" s="16" t="s">
        <v>220</v>
      </c>
      <c r="D73" s="16"/>
      <c r="E73" s="1"/>
      <c r="F73" s="4">
        <v>11</v>
      </c>
      <c r="G73" s="14"/>
      <c r="H73" s="14">
        <v>10</v>
      </c>
      <c r="I73" s="14"/>
      <c r="J73" s="14">
        <v>500</v>
      </c>
      <c r="K73" s="24">
        <v>0.8</v>
      </c>
      <c r="L73" s="24"/>
      <c r="M73" s="21" t="s">
        <v>221</v>
      </c>
      <c r="N73" s="26"/>
      <c r="O73" s="5"/>
      <c r="P73" s="41">
        <f>P72*2</f>
        <v>147656250</v>
      </c>
      <c r="Q73" s="41">
        <f t="shared" ref="Q73:R73" si="39">Q72*1.5</f>
        <v>10812.19482421875</v>
      </c>
      <c r="R73" s="41">
        <f t="shared" si="39"/>
        <v>440496826.171875</v>
      </c>
      <c r="S73" s="27">
        <v>100</v>
      </c>
      <c r="T73" s="41">
        <v>450</v>
      </c>
      <c r="U73" s="57">
        <v>0.8</v>
      </c>
      <c r="V73" s="27">
        <f t="shared" ref="V73:V136" si="40">R73*0.005</f>
        <v>2202484.130859375</v>
      </c>
      <c r="W73" s="41">
        <v>0</v>
      </c>
      <c r="X73" s="1">
        <v>310</v>
      </c>
      <c r="Y73" s="1">
        <v>250</v>
      </c>
      <c r="Z73" s="27">
        <v>0</v>
      </c>
      <c r="AA73" s="1">
        <v>20</v>
      </c>
      <c r="AB73" s="1">
        <v>2250</v>
      </c>
      <c r="AC73" s="1">
        <v>10</v>
      </c>
      <c r="AD73" s="1">
        <v>100</v>
      </c>
    </row>
    <row r="74" spans="1:30" ht="15" x14ac:dyDescent="0.15">
      <c r="A74" s="12" t="s">
        <v>248</v>
      </c>
      <c r="B74" s="13" t="s">
        <v>268</v>
      </c>
      <c r="C74" s="16" t="s">
        <v>220</v>
      </c>
      <c r="D74" s="16"/>
      <c r="E74" s="1"/>
      <c r="F74" s="1">
        <v>12</v>
      </c>
      <c r="G74" s="14"/>
      <c r="H74" s="14">
        <v>11</v>
      </c>
      <c r="I74" s="14"/>
      <c r="J74" s="14">
        <v>500</v>
      </c>
      <c r="K74" s="24">
        <v>0.85</v>
      </c>
      <c r="L74" s="24"/>
      <c r="M74" s="21" t="s">
        <v>221</v>
      </c>
      <c r="N74" s="26"/>
      <c r="O74" s="5"/>
      <c r="P74" s="41">
        <f t="shared" ref="P74:R74" si="41">P73*1.3</f>
        <v>191953125</v>
      </c>
      <c r="Q74" s="41">
        <f t="shared" si="41"/>
        <v>14055.853271484375</v>
      </c>
      <c r="R74" s="41">
        <f t="shared" si="41"/>
        <v>572645874.0234375</v>
      </c>
      <c r="S74" s="27">
        <v>100</v>
      </c>
      <c r="T74" s="41">
        <v>460</v>
      </c>
      <c r="U74" s="57">
        <v>0.8</v>
      </c>
      <c r="V74" s="27">
        <f t="shared" si="40"/>
        <v>2863229.3701171875</v>
      </c>
      <c r="W74" s="41">
        <v>0</v>
      </c>
      <c r="X74" s="1">
        <v>320</v>
      </c>
      <c r="Y74" s="1">
        <v>250</v>
      </c>
      <c r="Z74" s="27">
        <v>0</v>
      </c>
      <c r="AA74" s="1">
        <v>20</v>
      </c>
      <c r="AB74" s="1">
        <v>2750</v>
      </c>
      <c r="AC74" s="1">
        <v>10</v>
      </c>
      <c r="AD74" s="1">
        <v>100</v>
      </c>
    </row>
    <row r="75" spans="1:30" ht="15" x14ac:dyDescent="0.15">
      <c r="A75" s="12" t="s">
        <v>249</v>
      </c>
      <c r="B75" s="13" t="s">
        <v>269</v>
      </c>
      <c r="C75" s="16" t="s">
        <v>220</v>
      </c>
      <c r="D75" s="16"/>
      <c r="E75" s="1"/>
      <c r="F75" s="4">
        <v>13</v>
      </c>
      <c r="G75" s="14"/>
      <c r="H75" s="14">
        <v>12</v>
      </c>
      <c r="I75" s="14"/>
      <c r="J75" s="14">
        <v>500</v>
      </c>
      <c r="K75" s="24">
        <v>0.9</v>
      </c>
      <c r="L75" s="24"/>
      <c r="M75" s="21" t="s">
        <v>221</v>
      </c>
      <c r="N75" s="26"/>
      <c r="O75" s="5"/>
      <c r="P75" s="41">
        <f t="shared" ref="P75:R77" si="42">P74*1.2</f>
        <v>230343750</v>
      </c>
      <c r="Q75" s="41">
        <f t="shared" si="42"/>
        <v>16867.02392578125</v>
      </c>
      <c r="R75" s="41">
        <f t="shared" si="42"/>
        <v>687175048.828125</v>
      </c>
      <c r="S75" s="27">
        <v>100</v>
      </c>
      <c r="T75" s="41">
        <v>470</v>
      </c>
      <c r="U75" s="57">
        <v>0.8</v>
      </c>
      <c r="V75" s="27">
        <f t="shared" si="40"/>
        <v>3435875.244140625</v>
      </c>
      <c r="W75" s="41">
        <v>0</v>
      </c>
      <c r="X75" s="1">
        <v>330</v>
      </c>
      <c r="Y75" s="1">
        <v>250</v>
      </c>
      <c r="Z75" s="27">
        <v>0</v>
      </c>
      <c r="AA75" s="1">
        <v>20</v>
      </c>
      <c r="AB75" s="1">
        <v>3250</v>
      </c>
      <c r="AC75" s="1">
        <v>10</v>
      </c>
      <c r="AD75" s="1">
        <v>100</v>
      </c>
    </row>
    <row r="76" spans="1:30" ht="14.25" customHeight="1" x14ac:dyDescent="0.15">
      <c r="A76" s="12" t="s">
        <v>250</v>
      </c>
      <c r="B76" s="13" t="s">
        <v>270</v>
      </c>
      <c r="C76" s="16" t="s">
        <v>220</v>
      </c>
      <c r="D76" s="16"/>
      <c r="E76" s="1"/>
      <c r="F76" s="1">
        <v>14</v>
      </c>
      <c r="G76" s="14"/>
      <c r="H76" s="14">
        <v>13</v>
      </c>
      <c r="I76" s="14"/>
      <c r="J76" s="14">
        <v>500</v>
      </c>
      <c r="K76" s="24">
        <v>0.95000000000000095</v>
      </c>
      <c r="L76" s="24"/>
      <c r="M76" s="21" t="s">
        <v>221</v>
      </c>
      <c r="N76" s="26"/>
      <c r="O76" s="5"/>
      <c r="P76" s="41">
        <f t="shared" si="42"/>
        <v>276412500</v>
      </c>
      <c r="Q76" s="41">
        <f t="shared" si="42"/>
        <v>20240.4287109375</v>
      </c>
      <c r="R76" s="41">
        <f t="shared" si="42"/>
        <v>824610058.59375</v>
      </c>
      <c r="S76" s="27">
        <v>100</v>
      </c>
      <c r="T76" s="41">
        <v>480</v>
      </c>
      <c r="U76" s="57">
        <v>0.8</v>
      </c>
      <c r="V76" s="27">
        <f t="shared" si="40"/>
        <v>4123050.29296875</v>
      </c>
      <c r="W76" s="41">
        <v>0</v>
      </c>
      <c r="X76" s="1">
        <v>340</v>
      </c>
      <c r="Y76" s="1">
        <v>250</v>
      </c>
      <c r="Z76" s="27">
        <v>0</v>
      </c>
      <c r="AA76" s="1">
        <v>20</v>
      </c>
      <c r="AB76" s="1">
        <v>3750</v>
      </c>
      <c r="AC76" s="1">
        <v>10</v>
      </c>
      <c r="AD76" s="1">
        <v>100</v>
      </c>
    </row>
    <row r="77" spans="1:30" ht="15" x14ac:dyDescent="0.15">
      <c r="A77" s="12" t="s">
        <v>309</v>
      </c>
      <c r="B77" s="13" t="s">
        <v>271</v>
      </c>
      <c r="C77" s="16" t="s">
        <v>220</v>
      </c>
      <c r="D77" s="16"/>
      <c r="E77" s="1"/>
      <c r="F77" s="4">
        <v>15</v>
      </c>
      <c r="G77" s="14"/>
      <c r="H77" s="14">
        <v>14</v>
      </c>
      <c r="I77" s="14"/>
      <c r="J77" s="14">
        <v>500</v>
      </c>
      <c r="K77" s="24">
        <v>1</v>
      </c>
      <c r="L77" s="24"/>
      <c r="M77" s="21" t="s">
        <v>221</v>
      </c>
      <c r="N77" s="26"/>
      <c r="O77" s="5"/>
      <c r="P77" s="41">
        <f t="shared" si="42"/>
        <v>331695000</v>
      </c>
      <c r="Q77" s="41">
        <f t="shared" si="42"/>
        <v>24288.514453125001</v>
      </c>
      <c r="R77" s="41">
        <f t="shared" si="42"/>
        <v>989532070.3125</v>
      </c>
      <c r="S77" s="27">
        <v>100</v>
      </c>
      <c r="T77" s="41">
        <v>490</v>
      </c>
      <c r="U77" s="57">
        <v>0.8</v>
      </c>
      <c r="V77" s="27">
        <f t="shared" si="40"/>
        <v>4947660.3515625</v>
      </c>
      <c r="W77" s="41">
        <v>0</v>
      </c>
      <c r="X77" s="1">
        <v>350</v>
      </c>
      <c r="Y77" s="1">
        <v>250</v>
      </c>
      <c r="Z77" s="27">
        <v>0</v>
      </c>
      <c r="AA77" s="1">
        <v>20</v>
      </c>
      <c r="AB77" s="1">
        <v>4250</v>
      </c>
      <c r="AC77" s="1">
        <v>10</v>
      </c>
      <c r="AD77" s="1">
        <v>100</v>
      </c>
    </row>
    <row r="78" spans="1:30" ht="15" x14ac:dyDescent="0.15">
      <c r="A78" s="12" t="s">
        <v>251</v>
      </c>
      <c r="B78" s="13" t="s">
        <v>272</v>
      </c>
      <c r="C78" s="16" t="s">
        <v>220</v>
      </c>
      <c r="D78" s="16"/>
      <c r="E78" s="1"/>
      <c r="F78" s="1">
        <v>16</v>
      </c>
      <c r="G78" s="14"/>
      <c r="H78" s="14">
        <v>15</v>
      </c>
      <c r="I78" s="14"/>
      <c r="J78" s="14">
        <v>500</v>
      </c>
      <c r="K78" s="24">
        <v>1.05</v>
      </c>
      <c r="L78" s="24"/>
      <c r="M78" s="21" t="s">
        <v>221</v>
      </c>
      <c r="N78" s="26"/>
      <c r="O78" s="5"/>
      <c r="P78" s="41">
        <f>P77*2</f>
        <v>663390000</v>
      </c>
      <c r="Q78" s="41">
        <f t="shared" ref="Q78:R78" si="43">Q77*1.5</f>
        <v>36432.771679687503</v>
      </c>
      <c r="R78" s="41">
        <f t="shared" si="43"/>
        <v>1484298105.46875</v>
      </c>
      <c r="S78" s="27">
        <v>100</v>
      </c>
      <c r="T78" s="41">
        <v>500</v>
      </c>
      <c r="U78" s="57">
        <v>0.7</v>
      </c>
      <c r="V78" s="27">
        <f t="shared" si="40"/>
        <v>7421490.52734375</v>
      </c>
      <c r="W78" s="41">
        <v>0</v>
      </c>
      <c r="X78" s="1">
        <v>360</v>
      </c>
      <c r="Y78" s="1">
        <v>350</v>
      </c>
      <c r="Z78" s="27">
        <v>0</v>
      </c>
      <c r="AA78" s="1">
        <v>20</v>
      </c>
      <c r="AB78" s="1">
        <v>5000</v>
      </c>
      <c r="AC78" s="1">
        <v>15</v>
      </c>
      <c r="AD78" s="1">
        <v>200</v>
      </c>
    </row>
    <row r="79" spans="1:30" ht="15" x14ac:dyDescent="0.15">
      <c r="A79" s="12" t="s">
        <v>252</v>
      </c>
      <c r="B79" s="13" t="s">
        <v>273</v>
      </c>
      <c r="C79" s="16" t="s">
        <v>220</v>
      </c>
      <c r="D79" s="16"/>
      <c r="E79" s="1"/>
      <c r="F79" s="4">
        <v>17</v>
      </c>
      <c r="G79" s="14"/>
      <c r="H79" s="14">
        <v>16</v>
      </c>
      <c r="I79" s="14"/>
      <c r="J79" s="14">
        <v>500</v>
      </c>
      <c r="K79" s="24">
        <v>1.1000000000000001</v>
      </c>
      <c r="L79" s="24"/>
      <c r="M79" s="21" t="s">
        <v>221</v>
      </c>
      <c r="N79" s="26"/>
      <c r="O79" s="5"/>
      <c r="P79" s="41">
        <f>P78*1.3</f>
        <v>862407000</v>
      </c>
      <c r="Q79" s="41">
        <f>Q78*1.3</f>
        <v>47362.603183593754</v>
      </c>
      <c r="R79" s="41">
        <f>R78*1.3</f>
        <v>1929587537.109375</v>
      </c>
      <c r="S79" s="27">
        <v>100</v>
      </c>
      <c r="T79" s="41">
        <v>510</v>
      </c>
      <c r="U79" s="57">
        <v>0.7</v>
      </c>
      <c r="V79" s="27">
        <f t="shared" si="40"/>
        <v>9647937.685546875</v>
      </c>
      <c r="W79" s="41">
        <v>0</v>
      </c>
      <c r="X79" s="1">
        <v>370</v>
      </c>
      <c r="Y79" s="1">
        <v>350</v>
      </c>
      <c r="Z79" s="27">
        <v>0</v>
      </c>
      <c r="AA79" s="1">
        <v>20</v>
      </c>
      <c r="AB79" s="1">
        <v>5750</v>
      </c>
      <c r="AC79" s="1">
        <v>15</v>
      </c>
      <c r="AD79" s="1">
        <v>200</v>
      </c>
    </row>
    <row r="80" spans="1:30" ht="15" x14ac:dyDescent="0.15">
      <c r="A80" s="12" t="s">
        <v>311</v>
      </c>
      <c r="B80" s="13" t="s">
        <v>274</v>
      </c>
      <c r="C80" s="16" t="s">
        <v>220</v>
      </c>
      <c r="D80" s="16"/>
      <c r="E80" s="1"/>
      <c r="F80" s="1">
        <v>18</v>
      </c>
      <c r="G80" s="14"/>
      <c r="H80" s="14">
        <v>17</v>
      </c>
      <c r="I80" s="14"/>
      <c r="J80" s="14">
        <v>500</v>
      </c>
      <c r="K80" s="24">
        <v>1.1499999999999999</v>
      </c>
      <c r="L80" s="24"/>
      <c r="M80" s="21" t="s">
        <v>221</v>
      </c>
      <c r="N80" s="26"/>
      <c r="O80" s="5"/>
      <c r="P80" s="41">
        <f t="shared" ref="P80:R82" si="44">P79*1.2</f>
        <v>1034888400</v>
      </c>
      <c r="Q80" s="41">
        <f t="shared" si="44"/>
        <v>56835.123820312503</v>
      </c>
      <c r="R80" s="41">
        <f t="shared" si="44"/>
        <v>2315505044.53125</v>
      </c>
      <c r="S80" s="27">
        <v>100</v>
      </c>
      <c r="T80" s="41">
        <v>520</v>
      </c>
      <c r="U80" s="57">
        <v>0.7</v>
      </c>
      <c r="V80" s="27">
        <f t="shared" si="40"/>
        <v>11577525.22265625</v>
      </c>
      <c r="W80" s="41">
        <v>0</v>
      </c>
      <c r="X80" s="1">
        <v>380</v>
      </c>
      <c r="Y80" s="1">
        <v>350</v>
      </c>
      <c r="Z80" s="27">
        <v>0</v>
      </c>
      <c r="AA80" s="1">
        <v>20</v>
      </c>
      <c r="AB80" s="1">
        <v>6500</v>
      </c>
      <c r="AC80" s="1">
        <v>15</v>
      </c>
      <c r="AD80" s="1">
        <v>200</v>
      </c>
    </row>
    <row r="81" spans="1:30" ht="15" x14ac:dyDescent="0.15">
      <c r="A81" s="12" t="s">
        <v>253</v>
      </c>
      <c r="B81" s="13" t="s">
        <v>275</v>
      </c>
      <c r="C81" s="16" t="s">
        <v>220</v>
      </c>
      <c r="D81" s="16"/>
      <c r="E81" s="1"/>
      <c r="F81" s="4">
        <v>19</v>
      </c>
      <c r="G81" s="14"/>
      <c r="H81" s="14">
        <v>18</v>
      </c>
      <c r="I81" s="14"/>
      <c r="J81" s="14">
        <v>500</v>
      </c>
      <c r="K81" s="24">
        <v>1.2</v>
      </c>
      <c r="L81" s="24"/>
      <c r="M81" s="21" t="s">
        <v>221</v>
      </c>
      <c r="N81" s="26"/>
      <c r="O81" s="5"/>
      <c r="P81" s="41">
        <f t="shared" si="44"/>
        <v>1241866080</v>
      </c>
      <c r="Q81" s="41">
        <f t="shared" si="44"/>
        <v>68202.148584374998</v>
      </c>
      <c r="R81" s="41">
        <f t="shared" si="44"/>
        <v>2778606053.4375</v>
      </c>
      <c r="S81" s="27">
        <v>100</v>
      </c>
      <c r="T81" s="41">
        <v>530</v>
      </c>
      <c r="U81" s="57">
        <v>0.7</v>
      </c>
      <c r="V81" s="27">
        <f t="shared" si="40"/>
        <v>13893030.2671875</v>
      </c>
      <c r="W81" s="41">
        <v>0</v>
      </c>
      <c r="X81" s="1">
        <v>390</v>
      </c>
      <c r="Y81" s="1">
        <v>350</v>
      </c>
      <c r="Z81" s="27">
        <v>0</v>
      </c>
      <c r="AA81" s="1">
        <v>20</v>
      </c>
      <c r="AB81" s="1">
        <v>7250</v>
      </c>
      <c r="AC81" s="1">
        <v>15</v>
      </c>
      <c r="AD81" s="1">
        <v>200</v>
      </c>
    </row>
    <row r="82" spans="1:30" ht="15" x14ac:dyDescent="0.15">
      <c r="A82" s="12" t="s">
        <v>314</v>
      </c>
      <c r="B82" s="13" t="s">
        <v>276</v>
      </c>
      <c r="C82" s="16" t="s">
        <v>220</v>
      </c>
      <c r="D82" s="16"/>
      <c r="E82" s="1"/>
      <c r="F82" s="1">
        <v>20</v>
      </c>
      <c r="G82" s="14"/>
      <c r="H82" s="14">
        <v>19</v>
      </c>
      <c r="I82" s="14"/>
      <c r="J82" s="14">
        <v>500</v>
      </c>
      <c r="K82" s="24">
        <v>1.25</v>
      </c>
      <c r="L82" s="24"/>
      <c r="M82" s="21" t="s">
        <v>221</v>
      </c>
      <c r="N82" s="26"/>
      <c r="O82" s="5"/>
      <c r="P82" s="41">
        <f t="shared" si="44"/>
        <v>1490239296</v>
      </c>
      <c r="Q82" s="41">
        <f t="shared" si="44"/>
        <v>81842.578301249989</v>
      </c>
      <c r="R82" s="41">
        <f t="shared" si="44"/>
        <v>3334327264.125</v>
      </c>
      <c r="S82" s="27">
        <v>100</v>
      </c>
      <c r="T82" s="41">
        <v>540</v>
      </c>
      <c r="U82" s="57">
        <v>0.7</v>
      </c>
      <c r="V82" s="27">
        <f t="shared" si="40"/>
        <v>16671636.320625</v>
      </c>
      <c r="W82" s="41">
        <v>0</v>
      </c>
      <c r="X82" s="1">
        <v>400</v>
      </c>
      <c r="Y82" s="1">
        <v>350</v>
      </c>
      <c r="Z82" s="27">
        <v>0</v>
      </c>
      <c r="AA82" s="1">
        <v>20</v>
      </c>
      <c r="AB82" s="1">
        <v>8000</v>
      </c>
      <c r="AC82" s="1">
        <v>15</v>
      </c>
      <c r="AD82" s="1">
        <v>200</v>
      </c>
    </row>
    <row r="83" spans="1:30" ht="15" x14ac:dyDescent="0.15">
      <c r="A83" s="12" t="s">
        <v>254</v>
      </c>
      <c r="B83" s="13" t="s">
        <v>277</v>
      </c>
      <c r="C83" s="16" t="s">
        <v>220</v>
      </c>
      <c r="D83" s="16"/>
      <c r="E83" s="1"/>
      <c r="F83" s="4">
        <v>21</v>
      </c>
      <c r="G83" s="14"/>
      <c r="H83" s="14">
        <v>20</v>
      </c>
      <c r="I83" s="14"/>
      <c r="J83" s="14">
        <v>500</v>
      </c>
      <c r="K83" s="24">
        <v>1.3</v>
      </c>
      <c r="L83" s="24"/>
      <c r="M83" s="21" t="s">
        <v>221</v>
      </c>
      <c r="N83" s="26"/>
      <c r="O83" s="5"/>
      <c r="P83" s="41">
        <f>P82*2</f>
        <v>2980478592</v>
      </c>
      <c r="Q83" s="41">
        <f>Q82*2</f>
        <v>163685.15660249998</v>
      </c>
      <c r="R83" s="41">
        <f>R82*2</f>
        <v>6668654528.25</v>
      </c>
      <c r="S83" s="27">
        <v>100</v>
      </c>
      <c r="T83" s="41">
        <v>550</v>
      </c>
      <c r="U83" s="57">
        <v>0.6</v>
      </c>
      <c r="V83" s="27">
        <f t="shared" si="40"/>
        <v>33343272.641249999</v>
      </c>
      <c r="W83" s="41">
        <v>1</v>
      </c>
      <c r="X83" s="1">
        <v>410</v>
      </c>
      <c r="Y83" s="1">
        <v>450</v>
      </c>
      <c r="Z83" s="27">
        <v>0</v>
      </c>
      <c r="AA83" s="1">
        <v>20</v>
      </c>
      <c r="AB83" s="1">
        <v>9000</v>
      </c>
      <c r="AC83" s="1">
        <v>20</v>
      </c>
      <c r="AD83" s="1">
        <v>400</v>
      </c>
    </row>
    <row r="84" spans="1:30" ht="15" x14ac:dyDescent="0.15">
      <c r="A84" s="12" t="s">
        <v>315</v>
      </c>
      <c r="B84" s="13" t="s">
        <v>278</v>
      </c>
      <c r="C84" s="16" t="s">
        <v>220</v>
      </c>
      <c r="D84" s="16"/>
      <c r="E84" s="1"/>
      <c r="F84" s="1">
        <v>22</v>
      </c>
      <c r="G84" s="14"/>
      <c r="H84" s="14">
        <v>21</v>
      </c>
      <c r="I84" s="14"/>
      <c r="J84" s="14">
        <v>500</v>
      </c>
      <c r="K84" s="24">
        <v>1.35</v>
      </c>
      <c r="L84" s="24"/>
      <c r="M84" s="21" t="s">
        <v>221</v>
      </c>
      <c r="N84" s="26"/>
      <c r="O84" s="5"/>
      <c r="P84" s="41">
        <f>P83*1.1</f>
        <v>3278526451.2000003</v>
      </c>
      <c r="Q84" s="41">
        <f t="shared" ref="Q84:R84" si="45">Q83*1.1</f>
        <v>180053.67226274998</v>
      </c>
      <c r="R84" s="41">
        <f t="shared" si="45"/>
        <v>7335519981.0750008</v>
      </c>
      <c r="S84" s="27">
        <v>100</v>
      </c>
      <c r="T84" s="41">
        <v>560</v>
      </c>
      <c r="U84" s="57">
        <v>0.6</v>
      </c>
      <c r="V84" s="27">
        <f t="shared" si="40"/>
        <v>36677599.905375004</v>
      </c>
      <c r="W84" s="41">
        <v>2</v>
      </c>
      <c r="X84" s="1">
        <v>420</v>
      </c>
      <c r="Y84" s="1">
        <v>450</v>
      </c>
      <c r="Z84" s="27">
        <v>0</v>
      </c>
      <c r="AA84" s="1">
        <v>20</v>
      </c>
      <c r="AB84" s="1">
        <v>10000</v>
      </c>
      <c r="AC84" s="1">
        <v>20</v>
      </c>
      <c r="AD84" s="1">
        <v>400</v>
      </c>
    </row>
    <row r="85" spans="1:30" ht="15" x14ac:dyDescent="0.15">
      <c r="A85" s="12" t="s">
        <v>255</v>
      </c>
      <c r="B85" s="13" t="s">
        <v>279</v>
      </c>
      <c r="C85" s="16" t="s">
        <v>220</v>
      </c>
      <c r="D85" s="16"/>
      <c r="E85" s="1"/>
      <c r="F85" s="4">
        <v>23</v>
      </c>
      <c r="G85" s="14"/>
      <c r="H85" s="14">
        <v>22</v>
      </c>
      <c r="I85" s="14"/>
      <c r="J85" s="14">
        <v>500</v>
      </c>
      <c r="K85" s="24">
        <v>1.4</v>
      </c>
      <c r="L85" s="24"/>
      <c r="M85" s="21" t="s">
        <v>221</v>
      </c>
      <c r="N85" s="26"/>
      <c r="O85" s="5"/>
      <c r="P85" s="41">
        <f t="shared" ref="P85:P87" si="46">P84*1.1</f>
        <v>3606379096.3200006</v>
      </c>
      <c r="Q85" s="41">
        <f t="shared" ref="Q85:Q87" si="47">Q84*1.1</f>
        <v>198059.03948902499</v>
      </c>
      <c r="R85" s="41">
        <f t="shared" ref="R85:R87" si="48">R84*1.1</f>
        <v>8069071979.1825018</v>
      </c>
      <c r="S85" s="27">
        <v>100</v>
      </c>
      <c r="T85" s="41">
        <v>570</v>
      </c>
      <c r="U85" s="57">
        <v>0.6</v>
      </c>
      <c r="V85" s="27">
        <f t="shared" si="40"/>
        <v>40345359.895912513</v>
      </c>
      <c r="W85" s="41">
        <v>3</v>
      </c>
      <c r="X85" s="1">
        <v>430</v>
      </c>
      <c r="Y85" s="1">
        <v>450</v>
      </c>
      <c r="Z85" s="27">
        <v>0</v>
      </c>
      <c r="AA85" s="1">
        <v>20</v>
      </c>
      <c r="AB85" s="1">
        <v>11000</v>
      </c>
      <c r="AC85" s="1">
        <v>20</v>
      </c>
      <c r="AD85" s="1">
        <v>400</v>
      </c>
    </row>
    <row r="86" spans="1:30" ht="15" x14ac:dyDescent="0.15">
      <c r="A86" s="12" t="s">
        <v>318</v>
      </c>
      <c r="B86" s="13" t="s">
        <v>280</v>
      </c>
      <c r="C86" s="16" t="s">
        <v>220</v>
      </c>
      <c r="D86" s="16"/>
      <c r="E86" s="1"/>
      <c r="F86" s="1">
        <v>24</v>
      </c>
      <c r="G86" s="14"/>
      <c r="H86" s="14">
        <v>23</v>
      </c>
      <c r="I86" s="14"/>
      <c r="J86" s="14">
        <v>500</v>
      </c>
      <c r="K86" s="24">
        <v>1.45</v>
      </c>
      <c r="L86" s="24"/>
      <c r="M86" s="21" t="s">
        <v>221</v>
      </c>
      <c r="N86" s="26"/>
      <c r="O86" s="5"/>
      <c r="P86" s="41">
        <f t="shared" si="46"/>
        <v>3967017005.9520011</v>
      </c>
      <c r="Q86" s="41">
        <f t="shared" si="47"/>
        <v>217864.94343792752</v>
      </c>
      <c r="R86" s="41">
        <f t="shared" si="48"/>
        <v>8875979177.1007519</v>
      </c>
      <c r="S86" s="27">
        <v>100</v>
      </c>
      <c r="T86" s="41">
        <v>580</v>
      </c>
      <c r="U86" s="57">
        <v>0.6</v>
      </c>
      <c r="V86" s="27">
        <f t="shared" si="40"/>
        <v>44379895.885503761</v>
      </c>
      <c r="W86" s="41">
        <v>4</v>
      </c>
      <c r="X86" s="1">
        <v>440</v>
      </c>
      <c r="Y86" s="1">
        <v>450</v>
      </c>
      <c r="Z86" s="27">
        <v>0</v>
      </c>
      <c r="AA86" s="1">
        <v>20</v>
      </c>
      <c r="AB86" s="1">
        <v>12000</v>
      </c>
      <c r="AC86" s="1">
        <v>20</v>
      </c>
      <c r="AD86" s="1">
        <v>400</v>
      </c>
    </row>
    <row r="87" spans="1:30" ht="15" x14ac:dyDescent="0.15">
      <c r="A87" s="12" t="s">
        <v>319</v>
      </c>
      <c r="B87" s="13" t="s">
        <v>281</v>
      </c>
      <c r="C87" s="16" t="s">
        <v>220</v>
      </c>
      <c r="D87" s="16"/>
      <c r="E87" s="1"/>
      <c r="F87" s="4">
        <v>25</v>
      </c>
      <c r="G87" s="14"/>
      <c r="H87" s="14">
        <v>24</v>
      </c>
      <c r="I87" s="14"/>
      <c r="J87" s="14">
        <v>500</v>
      </c>
      <c r="K87" s="24">
        <v>1.5</v>
      </c>
      <c r="L87" s="24"/>
      <c r="M87" s="21" t="s">
        <v>221</v>
      </c>
      <c r="N87" s="26"/>
      <c r="O87" s="5"/>
      <c r="P87" s="41">
        <f t="shared" si="46"/>
        <v>4363718706.5472012</v>
      </c>
      <c r="Q87" s="41">
        <f t="shared" si="47"/>
        <v>239651.43778172028</v>
      </c>
      <c r="R87" s="41">
        <f t="shared" si="48"/>
        <v>9763577094.8108273</v>
      </c>
      <c r="S87" s="27">
        <v>100</v>
      </c>
      <c r="T87" s="41">
        <v>590</v>
      </c>
      <c r="U87" s="57">
        <v>0.6</v>
      </c>
      <c r="V87" s="27">
        <f t="shared" si="40"/>
        <v>48817885.474054135</v>
      </c>
      <c r="W87" s="41">
        <v>5</v>
      </c>
      <c r="X87" s="1">
        <v>450</v>
      </c>
      <c r="Y87" s="1">
        <v>450</v>
      </c>
      <c r="Z87" s="27">
        <v>0</v>
      </c>
      <c r="AA87" s="1">
        <v>20</v>
      </c>
      <c r="AB87" s="1">
        <v>13000</v>
      </c>
      <c r="AC87" s="1">
        <v>20</v>
      </c>
      <c r="AD87" s="1">
        <v>400</v>
      </c>
    </row>
    <row r="88" spans="1:30" ht="15" x14ac:dyDescent="0.15">
      <c r="A88" s="12" t="s">
        <v>321</v>
      </c>
      <c r="B88" s="13" t="s">
        <v>282</v>
      </c>
      <c r="C88" s="16" t="s">
        <v>222</v>
      </c>
      <c r="D88" s="16"/>
      <c r="E88" s="1"/>
      <c r="F88" s="14">
        <v>5</v>
      </c>
      <c r="G88" s="14"/>
      <c r="H88" s="14"/>
      <c r="I88" s="14"/>
      <c r="J88" s="14">
        <v>500</v>
      </c>
      <c r="K88" s="21">
        <v>100</v>
      </c>
      <c r="L88" s="31">
        <v>2</v>
      </c>
      <c r="M88" s="21" t="s">
        <v>221</v>
      </c>
      <c r="N88" s="26"/>
      <c r="O88" s="5"/>
      <c r="P88" s="1">
        <f>P67*15</f>
        <v>117187500</v>
      </c>
      <c r="Q88" s="1">
        <f>Q67*7</f>
        <v>4614.2578125</v>
      </c>
      <c r="R88" s="1">
        <f>R67*7</f>
        <v>187988281.25</v>
      </c>
      <c r="S88" s="27">
        <v>100</v>
      </c>
      <c r="T88" s="41">
        <v>375</v>
      </c>
      <c r="U88" s="57">
        <v>1</v>
      </c>
      <c r="V88" s="27">
        <f t="shared" si="40"/>
        <v>939941.40625</v>
      </c>
      <c r="W88" s="41">
        <v>0</v>
      </c>
      <c r="X88" s="1">
        <v>250</v>
      </c>
      <c r="Y88" s="1">
        <f>Y67*5</f>
        <v>250</v>
      </c>
      <c r="Z88" s="27">
        <v>10</v>
      </c>
      <c r="AA88" s="1">
        <v>20</v>
      </c>
      <c r="AB88" s="1">
        <v>5000</v>
      </c>
      <c r="AC88" s="1">
        <v>10</v>
      </c>
      <c r="AD88" s="1">
        <v>100</v>
      </c>
    </row>
    <row r="89" spans="1:30" ht="15" x14ac:dyDescent="0.15">
      <c r="A89" s="12" t="s">
        <v>327</v>
      </c>
      <c r="B89" s="13" t="s">
        <v>283</v>
      </c>
      <c r="C89" s="16" t="s">
        <v>222</v>
      </c>
      <c r="D89" s="16"/>
      <c r="E89" s="1"/>
      <c r="F89" s="14">
        <v>10</v>
      </c>
      <c r="G89" s="14"/>
      <c r="H89" s="14"/>
      <c r="I89" s="14"/>
      <c r="J89" s="14">
        <v>500</v>
      </c>
      <c r="K89" s="21">
        <v>100</v>
      </c>
      <c r="L89" s="31">
        <v>2</v>
      </c>
      <c r="M89" s="21" t="s">
        <v>221</v>
      </c>
      <c r="N89" s="26"/>
      <c r="O89" s="5"/>
      <c r="P89" s="1">
        <f>P72*12</f>
        <v>885937500</v>
      </c>
      <c r="Q89" s="1">
        <f t="shared" ref="Q89:R89" si="49">Q72*5</f>
        <v>36040.6494140625</v>
      </c>
      <c r="R89" s="1">
        <f t="shared" si="49"/>
        <v>1468322753.90625</v>
      </c>
      <c r="S89" s="27">
        <v>100</v>
      </c>
      <c r="T89" s="41">
        <v>450</v>
      </c>
      <c r="U89" s="57">
        <v>0.85</v>
      </c>
      <c r="V89" s="27">
        <f t="shared" si="40"/>
        <v>7341613.76953125</v>
      </c>
      <c r="W89" s="41">
        <v>0</v>
      </c>
      <c r="X89" s="1">
        <v>300</v>
      </c>
      <c r="Y89" s="1">
        <f>Y72*5</f>
        <v>750</v>
      </c>
      <c r="Z89" s="27">
        <v>20</v>
      </c>
      <c r="AA89" s="1">
        <v>20</v>
      </c>
      <c r="AB89" s="1">
        <v>10000</v>
      </c>
      <c r="AC89" s="1">
        <v>10</v>
      </c>
      <c r="AD89" s="1">
        <v>100</v>
      </c>
    </row>
    <row r="90" spans="1:30" ht="15" x14ac:dyDescent="0.15">
      <c r="A90" s="44" t="s">
        <v>328</v>
      </c>
      <c r="B90" s="13" t="s">
        <v>284</v>
      </c>
      <c r="C90" s="16" t="s">
        <v>222</v>
      </c>
      <c r="D90" s="16"/>
      <c r="E90" s="1"/>
      <c r="F90" s="14">
        <v>15</v>
      </c>
      <c r="G90" s="14"/>
      <c r="H90" s="14"/>
      <c r="I90" s="14"/>
      <c r="J90" s="14">
        <v>500</v>
      </c>
      <c r="K90" s="21">
        <v>100</v>
      </c>
      <c r="L90" s="31">
        <v>2</v>
      </c>
      <c r="M90" s="21" t="s">
        <v>221</v>
      </c>
      <c r="N90" s="26"/>
      <c r="O90" s="5"/>
      <c r="P90" s="1">
        <f>P77*9</f>
        <v>2985255000</v>
      </c>
      <c r="Q90" s="1">
        <f t="shared" ref="Q90:R90" si="50">Q77*5</f>
        <v>121442.572265625</v>
      </c>
      <c r="R90" s="1">
        <f t="shared" si="50"/>
        <v>4947660351.5625</v>
      </c>
      <c r="S90" s="27">
        <v>100</v>
      </c>
      <c r="T90" s="41">
        <v>525</v>
      </c>
      <c r="U90" s="57">
        <v>0.7</v>
      </c>
      <c r="V90" s="27">
        <f t="shared" si="40"/>
        <v>24738301.7578125</v>
      </c>
      <c r="W90" s="41">
        <v>0</v>
      </c>
      <c r="X90" s="1">
        <v>350</v>
      </c>
      <c r="Y90" s="1">
        <f>Y77*5</f>
        <v>1250</v>
      </c>
      <c r="Z90" s="27">
        <v>30</v>
      </c>
      <c r="AA90" s="1">
        <v>20</v>
      </c>
      <c r="AB90" s="1">
        <v>15000</v>
      </c>
      <c r="AC90" s="1">
        <v>15</v>
      </c>
      <c r="AD90" s="1">
        <v>150</v>
      </c>
    </row>
    <row r="91" spans="1:30" ht="15" x14ac:dyDescent="0.15">
      <c r="A91" s="42" t="s">
        <v>325</v>
      </c>
      <c r="B91" s="13" t="s">
        <v>285</v>
      </c>
      <c r="C91" s="16" t="s">
        <v>222</v>
      </c>
      <c r="D91" s="16"/>
      <c r="E91" s="1"/>
      <c r="F91" s="14">
        <v>20</v>
      </c>
      <c r="G91" s="14"/>
      <c r="H91" s="14"/>
      <c r="I91" s="14"/>
      <c r="J91" s="14">
        <v>500</v>
      </c>
      <c r="K91" s="21">
        <v>100</v>
      </c>
      <c r="L91" s="31">
        <v>2</v>
      </c>
      <c r="M91" s="21" t="s">
        <v>221</v>
      </c>
      <c r="N91" s="26"/>
      <c r="O91" s="5"/>
      <c r="P91" s="1">
        <f>P81*6</f>
        <v>7451196480</v>
      </c>
      <c r="Q91" s="1">
        <f t="shared" ref="Q91:R91" si="51">Q81*5</f>
        <v>341010.74292187497</v>
      </c>
      <c r="R91" s="1">
        <f t="shared" si="51"/>
        <v>13893030267.1875</v>
      </c>
      <c r="S91" s="27">
        <v>100</v>
      </c>
      <c r="T91" s="41">
        <v>600</v>
      </c>
      <c r="U91" s="57">
        <v>0.6</v>
      </c>
      <c r="V91" s="27">
        <f t="shared" si="40"/>
        <v>69465151.3359375</v>
      </c>
      <c r="W91" s="41">
        <v>0</v>
      </c>
      <c r="X91" s="1">
        <v>400</v>
      </c>
      <c r="Y91" s="1">
        <f>Y82*5</f>
        <v>1750</v>
      </c>
      <c r="Z91" s="27">
        <v>40</v>
      </c>
      <c r="AA91" s="1">
        <v>20</v>
      </c>
      <c r="AB91" s="1">
        <v>25000</v>
      </c>
      <c r="AC91" s="1">
        <v>20</v>
      </c>
      <c r="AD91" s="1">
        <v>500</v>
      </c>
    </row>
    <row r="92" spans="1:30" ht="15" x14ac:dyDescent="0.15">
      <c r="A92" s="42" t="s">
        <v>329</v>
      </c>
      <c r="B92" s="13" t="s">
        <v>334</v>
      </c>
      <c r="C92" s="16" t="s">
        <v>222</v>
      </c>
      <c r="D92" s="16"/>
      <c r="E92" s="1"/>
      <c r="F92" s="14">
        <v>25</v>
      </c>
      <c r="G92" s="14"/>
      <c r="H92" s="14"/>
      <c r="I92" s="14"/>
      <c r="J92" s="14">
        <v>500</v>
      </c>
      <c r="K92" s="21">
        <v>100</v>
      </c>
      <c r="L92" s="31">
        <v>8</v>
      </c>
      <c r="M92" s="21" t="s">
        <v>221</v>
      </c>
      <c r="N92" s="26"/>
      <c r="O92" s="5"/>
      <c r="P92" s="1">
        <f>P87*3</f>
        <v>13091156119.641603</v>
      </c>
      <c r="Q92" s="1">
        <f t="shared" ref="Q92:R92" si="52">Q87*3</f>
        <v>718954.3133451608</v>
      </c>
      <c r="R92" s="1">
        <f t="shared" si="52"/>
        <v>29290731284.43248</v>
      </c>
      <c r="S92" s="27">
        <v>100</v>
      </c>
      <c r="T92" s="1">
        <v>675</v>
      </c>
      <c r="U92" s="57">
        <v>0.5</v>
      </c>
      <c r="V92" s="27">
        <f t="shared" si="40"/>
        <v>146453656.42216241</v>
      </c>
      <c r="W92" s="41">
        <v>250</v>
      </c>
      <c r="X92" s="1">
        <v>450</v>
      </c>
      <c r="Y92" s="1">
        <f>Y87*5</f>
        <v>2250</v>
      </c>
      <c r="Z92" s="27">
        <v>50</v>
      </c>
      <c r="AA92" s="1">
        <v>20</v>
      </c>
      <c r="AB92" s="1">
        <v>50000</v>
      </c>
      <c r="AC92" s="1">
        <v>20</v>
      </c>
      <c r="AD92" s="1">
        <v>1000</v>
      </c>
    </row>
    <row r="93" spans="1:30" s="45" customFormat="1" ht="15" x14ac:dyDescent="0.15">
      <c r="A93" s="46" t="s">
        <v>330</v>
      </c>
      <c r="B93" s="13" t="s">
        <v>335</v>
      </c>
      <c r="C93" s="47" t="s">
        <v>222</v>
      </c>
      <c r="D93" s="47"/>
      <c r="E93" s="48"/>
      <c r="F93" s="48"/>
      <c r="G93" s="49">
        <v>500</v>
      </c>
      <c r="H93" s="14"/>
      <c r="I93" s="49"/>
      <c r="J93" s="49">
        <v>500</v>
      </c>
      <c r="K93" s="48">
        <v>5.8999999999999997E-2</v>
      </c>
      <c r="L93" s="24"/>
      <c r="M93" s="21" t="s">
        <v>221</v>
      </c>
      <c r="N93" s="28" t="str">
        <f>"{'ronglian11', '"&amp;A93&amp;"*1',10,270,10,13,'一号熔炼石*1' }"</f>
        <v>{'ronglian11', '熔炼石boss1*1',10,270,10,13,'一号熔炼石*1' }</v>
      </c>
      <c r="P93" s="50">
        <v>39062500</v>
      </c>
      <c r="Q93" s="50">
        <v>632.8125</v>
      </c>
      <c r="R93" s="50">
        <v>78125000</v>
      </c>
      <c r="S93" s="27">
        <v>100</v>
      </c>
      <c r="T93" s="50">
        <v>365</v>
      </c>
      <c r="U93" s="58">
        <v>0.75</v>
      </c>
      <c r="V93" s="27">
        <f t="shared" si="40"/>
        <v>390625</v>
      </c>
      <c r="W93" s="50">
        <v>0</v>
      </c>
      <c r="X93" s="50">
        <v>200</v>
      </c>
      <c r="Y93" s="50">
        <v>100</v>
      </c>
      <c r="Z93" s="48">
        <v>0</v>
      </c>
      <c r="AA93" s="48">
        <v>20</v>
      </c>
      <c r="AB93" s="48">
        <v>1500</v>
      </c>
      <c r="AC93" s="48">
        <v>0</v>
      </c>
      <c r="AD93" s="48">
        <v>0</v>
      </c>
    </row>
    <row r="94" spans="1:30" s="45" customFormat="1" ht="15" x14ac:dyDescent="0.15">
      <c r="A94" s="46" t="s">
        <v>331</v>
      </c>
      <c r="B94" s="13" t="s">
        <v>336</v>
      </c>
      <c r="C94" s="47" t="s">
        <v>222</v>
      </c>
      <c r="D94" s="47"/>
      <c r="E94" s="48"/>
      <c r="F94" s="48"/>
      <c r="G94" s="49">
        <v>500</v>
      </c>
      <c r="H94" s="14"/>
      <c r="I94" s="49"/>
      <c r="J94" s="49">
        <v>500</v>
      </c>
      <c r="K94" s="48">
        <v>5.8999999999999997E-2</v>
      </c>
      <c r="L94" s="24"/>
      <c r="M94" s="21" t="s">
        <v>221</v>
      </c>
      <c r="N94" s="28" t="str">
        <f>"{'ronglian22', '"&amp;A94&amp;"*1',10,270,10,13,'二号熔炼石*1' }"</f>
        <v>{'ronglian22', '熔炼石boss2*1',10,270,10,13,'二号熔炼石*1' }</v>
      </c>
      <c r="P94" s="50">
        <f>P93*5</f>
        <v>195312500</v>
      </c>
      <c r="Q94" s="50">
        <f t="shared" ref="Q94:R95" si="53">Q93*5</f>
        <v>3164.0625</v>
      </c>
      <c r="R94" s="50">
        <f t="shared" si="53"/>
        <v>390625000</v>
      </c>
      <c r="S94" s="27">
        <v>100</v>
      </c>
      <c r="T94" s="50">
        <v>385</v>
      </c>
      <c r="U94" s="58">
        <v>0.75</v>
      </c>
      <c r="V94" s="27">
        <f t="shared" si="40"/>
        <v>1953125</v>
      </c>
      <c r="W94" s="50">
        <v>0</v>
      </c>
      <c r="X94" s="50">
        <v>200</v>
      </c>
      <c r="Y94" s="50">
        <v>200</v>
      </c>
      <c r="Z94" s="27">
        <v>0</v>
      </c>
      <c r="AA94" s="48">
        <v>20</v>
      </c>
      <c r="AB94" s="48">
        <v>2500</v>
      </c>
      <c r="AC94" s="48">
        <v>0</v>
      </c>
      <c r="AD94" s="48">
        <v>0</v>
      </c>
    </row>
    <row r="95" spans="1:30" s="45" customFormat="1" ht="15" x14ac:dyDescent="0.15">
      <c r="A95" s="46" t="s">
        <v>332</v>
      </c>
      <c r="B95" s="13" t="s">
        <v>339</v>
      </c>
      <c r="C95" s="47" t="s">
        <v>222</v>
      </c>
      <c r="D95" s="47"/>
      <c r="E95" s="48"/>
      <c r="F95" s="48"/>
      <c r="G95" s="49">
        <v>500</v>
      </c>
      <c r="H95" s="14"/>
      <c r="I95" s="49"/>
      <c r="J95" s="49">
        <v>500</v>
      </c>
      <c r="K95" s="48">
        <v>5.8999999999999997E-2</v>
      </c>
      <c r="L95" s="24"/>
      <c r="M95" s="21" t="s">
        <v>221</v>
      </c>
      <c r="N95" s="28" t="str">
        <f>"{'ronglian33', '"&amp;A95&amp;"*1',10,270,10,13,'三号熔炼石*1' }"</f>
        <v>{'ronglian33', '熔炼石boss3*1',10,270,10,13,'三号熔炼石*1' }</v>
      </c>
      <c r="P95" s="50">
        <f>P94*5</f>
        <v>976562500</v>
      </c>
      <c r="Q95" s="50">
        <f t="shared" si="53"/>
        <v>15820.3125</v>
      </c>
      <c r="R95" s="50">
        <f t="shared" si="53"/>
        <v>1953125000</v>
      </c>
      <c r="S95" s="27">
        <v>100</v>
      </c>
      <c r="T95" s="50">
        <v>410</v>
      </c>
      <c r="U95" s="58">
        <v>0.75</v>
      </c>
      <c r="V95" s="27">
        <f t="shared" si="40"/>
        <v>9765625</v>
      </c>
      <c r="W95" s="50">
        <v>0</v>
      </c>
      <c r="X95" s="50">
        <v>200</v>
      </c>
      <c r="Y95" s="50">
        <v>300</v>
      </c>
      <c r="Z95" s="27">
        <v>0</v>
      </c>
      <c r="AA95" s="48">
        <v>20</v>
      </c>
      <c r="AB95" s="48">
        <v>4000</v>
      </c>
      <c r="AC95" s="48">
        <v>10</v>
      </c>
      <c r="AD95" s="48">
        <v>250</v>
      </c>
    </row>
    <row r="96" spans="1:30" s="45" customFormat="1" ht="15" x14ac:dyDescent="0.15">
      <c r="A96" s="46" t="s">
        <v>333</v>
      </c>
      <c r="B96" s="13" t="s">
        <v>345</v>
      </c>
      <c r="C96" s="47" t="s">
        <v>222</v>
      </c>
      <c r="D96" s="47"/>
      <c r="E96" s="48"/>
      <c r="F96" s="48"/>
      <c r="G96" s="49">
        <v>500</v>
      </c>
      <c r="H96" s="14"/>
      <c r="I96" s="49"/>
      <c r="J96" s="49">
        <v>500</v>
      </c>
      <c r="K96" s="48">
        <v>5.8999999999999997E-2</v>
      </c>
      <c r="L96" s="24"/>
      <c r="M96" s="21" t="s">
        <v>221</v>
      </c>
      <c r="N96" s="28" t="str">
        <f>"{'ronglian44', '"&amp;A96&amp;"*1',10,270,10,13,'四号熔炼石*1' }"</f>
        <v>{'ronglian44', '熔炼石boss4*1',10,270,10,13,'四号熔炼石*1' }</v>
      </c>
      <c r="P96" s="50">
        <f>P95*4</f>
        <v>3906250000</v>
      </c>
      <c r="Q96" s="50">
        <f t="shared" ref="Q96:R96" si="54">Q95*4</f>
        <v>63281.25</v>
      </c>
      <c r="R96" s="50">
        <f t="shared" si="54"/>
        <v>7812500000</v>
      </c>
      <c r="S96" s="27">
        <v>100</v>
      </c>
      <c r="T96" s="50">
        <v>440</v>
      </c>
      <c r="U96" s="58">
        <v>0.75</v>
      </c>
      <c r="V96" s="27">
        <f t="shared" si="40"/>
        <v>39062500</v>
      </c>
      <c r="W96" s="50">
        <v>0</v>
      </c>
      <c r="X96" s="50">
        <v>200</v>
      </c>
      <c r="Y96" s="50">
        <v>500</v>
      </c>
      <c r="Z96" s="27">
        <v>0</v>
      </c>
      <c r="AA96" s="48">
        <v>20</v>
      </c>
      <c r="AB96" s="48">
        <v>6000</v>
      </c>
      <c r="AC96" s="48">
        <v>20</v>
      </c>
      <c r="AD96" s="48">
        <v>500</v>
      </c>
    </row>
    <row r="97" spans="1:31" s="45" customFormat="1" ht="15" x14ac:dyDescent="0.15">
      <c r="A97" s="46" t="s">
        <v>349</v>
      </c>
      <c r="B97" s="13" t="s">
        <v>347</v>
      </c>
      <c r="C97" s="47" t="s">
        <v>222</v>
      </c>
      <c r="D97" s="11" t="s">
        <v>351</v>
      </c>
      <c r="E97" s="48"/>
      <c r="F97" s="48"/>
      <c r="G97" s="51">
        <v>10</v>
      </c>
      <c r="H97" s="14"/>
      <c r="I97" s="51"/>
      <c r="J97" s="51">
        <v>10</v>
      </c>
      <c r="K97" s="51">
        <v>1E-3</v>
      </c>
      <c r="L97" s="24"/>
      <c r="M97" s="21"/>
      <c r="N97" s="51"/>
      <c r="O97"/>
      <c r="P97" s="52">
        <v>1</v>
      </c>
      <c r="Q97" s="52">
        <v>1</v>
      </c>
      <c r="R97" s="52">
        <v>150</v>
      </c>
      <c r="S97" s="27">
        <v>100</v>
      </c>
      <c r="T97" s="52">
        <v>450</v>
      </c>
      <c r="U97" s="59">
        <v>0.75</v>
      </c>
      <c r="V97" s="27">
        <f t="shared" si="40"/>
        <v>0.75</v>
      </c>
      <c r="W97" s="52">
        <v>0</v>
      </c>
      <c r="X97" s="52">
        <v>200</v>
      </c>
      <c r="Y97" s="52">
        <v>50</v>
      </c>
      <c r="Z97" s="27">
        <v>0</v>
      </c>
      <c r="AA97" s="52">
        <v>0</v>
      </c>
      <c r="AB97" s="52">
        <v>0</v>
      </c>
      <c r="AC97" s="52">
        <v>0</v>
      </c>
      <c r="AD97" s="52">
        <v>0</v>
      </c>
    </row>
    <row r="98" spans="1:31" ht="40.5" x14ac:dyDescent="0.15">
      <c r="A98" s="28" t="s">
        <v>360</v>
      </c>
      <c r="B98" s="13" t="s">
        <v>362</v>
      </c>
      <c r="C98" s="1" t="s">
        <v>220</v>
      </c>
      <c r="F98" s="48"/>
      <c r="G98" s="49">
        <v>500</v>
      </c>
      <c r="H98" s="14"/>
      <c r="I98" s="49"/>
      <c r="J98" s="49">
        <v>500</v>
      </c>
      <c r="K98" s="48">
        <v>0.04</v>
      </c>
      <c r="M98" s="21" t="s">
        <v>221</v>
      </c>
      <c r="N98" s="25" t="str">
        <f>"{{'cbg2', '"&amp;A98&amp;"*14',1,270,1 },
{'cbg3', '"&amp;A98&amp;"*10',1,270,1 }
}"</f>
        <v>{{'cbg2', '藏宝阁小弟*14',1,270,1 },
{'cbg3', '藏宝阁小弟*10',1,270,1 }
}</v>
      </c>
      <c r="P98" s="41">
        <f>P99/8</f>
        <v>11404800</v>
      </c>
      <c r="Q98" s="41">
        <f>Q99/8</f>
        <v>153.01440000000002</v>
      </c>
      <c r="R98" s="41">
        <f>R99/8</f>
        <v>5464800.0000000009</v>
      </c>
      <c r="S98" s="27">
        <v>100</v>
      </c>
      <c r="T98" s="41">
        <f t="shared" ref="T98:AD99" si="55">T11</f>
        <v>350</v>
      </c>
      <c r="U98" s="57">
        <v>0.8</v>
      </c>
      <c r="V98" s="27">
        <f t="shared" si="40"/>
        <v>27324.000000000004</v>
      </c>
      <c r="W98" s="41">
        <f t="shared" si="55"/>
        <v>0</v>
      </c>
      <c r="X98" s="41">
        <f t="shared" si="55"/>
        <v>200</v>
      </c>
      <c r="Y98" s="41">
        <f t="shared" si="55"/>
        <v>50</v>
      </c>
      <c r="Z98" s="27">
        <v>0</v>
      </c>
      <c r="AA98" s="1">
        <v>20</v>
      </c>
      <c r="AB98" s="1">
        <v>500</v>
      </c>
      <c r="AC98" s="41">
        <f t="shared" ref="AC98:AD98" si="56">AC42</f>
        <v>0</v>
      </c>
      <c r="AD98" s="41">
        <f t="shared" si="56"/>
        <v>0</v>
      </c>
    </row>
    <row r="99" spans="1:31" ht="15" x14ac:dyDescent="0.15">
      <c r="A99" s="28" t="s">
        <v>361</v>
      </c>
      <c r="B99" s="13" t="s">
        <v>363</v>
      </c>
      <c r="C99" s="16" t="s">
        <v>222</v>
      </c>
      <c r="F99" s="48"/>
      <c r="G99" s="49">
        <v>500</v>
      </c>
      <c r="H99" s="14"/>
      <c r="I99" s="49"/>
      <c r="J99" s="49">
        <v>500</v>
      </c>
      <c r="K99" s="48">
        <v>0.04</v>
      </c>
      <c r="M99" s="21" t="s">
        <v>221</v>
      </c>
      <c r="N99" s="28" t="str">
        <f>"{'cbg4', '"&amp;A99&amp;"*1',8,270,10,13 }"</f>
        <v>{'cbg4', '藏宝阁阁主*1',8,270,10,13 }</v>
      </c>
      <c r="P99" s="41">
        <f>P13*1.2</f>
        <v>91238400</v>
      </c>
      <c r="Q99" s="41">
        <f t="shared" ref="Q99:R99" si="57">Q13*1.2</f>
        <v>1224.1152000000002</v>
      </c>
      <c r="R99" s="41">
        <f t="shared" si="57"/>
        <v>43718400.000000007</v>
      </c>
      <c r="S99" s="27">
        <v>100</v>
      </c>
      <c r="T99" s="41">
        <f t="shared" si="55"/>
        <v>350</v>
      </c>
      <c r="U99" s="57">
        <v>0.8</v>
      </c>
      <c r="V99" s="27">
        <f t="shared" si="40"/>
        <v>218592.00000000003</v>
      </c>
      <c r="W99" s="41">
        <f t="shared" si="55"/>
        <v>0</v>
      </c>
      <c r="X99" s="41">
        <f t="shared" si="55"/>
        <v>200</v>
      </c>
      <c r="Y99" s="41">
        <v>100</v>
      </c>
      <c r="Z99" s="27">
        <v>0</v>
      </c>
      <c r="AA99" s="41">
        <f t="shared" si="55"/>
        <v>20</v>
      </c>
      <c r="AB99" s="41">
        <v>2500</v>
      </c>
      <c r="AC99" s="41">
        <f t="shared" si="55"/>
        <v>0</v>
      </c>
      <c r="AD99" s="41">
        <f t="shared" si="55"/>
        <v>0</v>
      </c>
    </row>
    <row r="100" spans="1:31" ht="68.25" customHeight="1" x14ac:dyDescent="0.15">
      <c r="A100" s="28" t="s">
        <v>366</v>
      </c>
      <c r="B100" s="13" t="s">
        <v>368</v>
      </c>
      <c r="C100" s="1" t="s">
        <v>220</v>
      </c>
      <c r="G100" s="49">
        <v>500</v>
      </c>
      <c r="H100" s="14"/>
      <c r="I100" s="49"/>
      <c r="J100" s="49">
        <v>500</v>
      </c>
      <c r="K100" s="48">
        <v>0</v>
      </c>
      <c r="M100" s="21" t="s">
        <v>221</v>
      </c>
      <c r="N100" s="25" t="str">
        <f>"{{'cjg2', '"&amp;A100&amp;"*7',1,270,1 },
{'cjg3', '"&amp;A100&amp;"*7',1,270,1 },
{'cjg4', '"&amp;A100&amp;"*7',1,270,1 },
{'cjg5', '"&amp;A100&amp;"*7',1,270,1 }
}"</f>
        <v>{{'cjg2', '藏经阁小弟*7',1,270,1 },
{'cjg3', '藏经阁小弟*7',1,270,1 },
{'cjg4', '藏经阁小弟*7',1,270,1 },
{'cjg5', '藏经阁小弟*7',1,270,1 }
}</v>
      </c>
      <c r="P100" s="41">
        <f>P98*1.2</f>
        <v>13685760</v>
      </c>
      <c r="Q100" s="41">
        <f t="shared" ref="Q100:R100" si="58">Q98*1.2</f>
        <v>183.61728000000002</v>
      </c>
      <c r="R100" s="41">
        <f t="shared" si="58"/>
        <v>6557760.0000000009</v>
      </c>
      <c r="S100" s="27">
        <v>100</v>
      </c>
      <c r="T100" s="41">
        <f t="shared" ref="T100:Y100" si="59">T13</f>
        <v>350</v>
      </c>
      <c r="U100" s="57">
        <v>0.8</v>
      </c>
      <c r="V100" s="27">
        <f t="shared" si="40"/>
        <v>32788.800000000003</v>
      </c>
      <c r="W100" s="41">
        <f t="shared" si="59"/>
        <v>0</v>
      </c>
      <c r="X100" s="41">
        <f t="shared" si="59"/>
        <v>200</v>
      </c>
      <c r="Y100" s="41">
        <f t="shared" si="59"/>
        <v>50</v>
      </c>
      <c r="Z100" s="27">
        <v>0</v>
      </c>
      <c r="AA100" s="1">
        <v>20</v>
      </c>
      <c r="AB100" s="1">
        <v>600</v>
      </c>
      <c r="AC100" s="41">
        <f t="shared" ref="AC100:AD100" si="60">AC44</f>
        <v>0</v>
      </c>
      <c r="AD100" s="41">
        <f t="shared" si="60"/>
        <v>0</v>
      </c>
    </row>
    <row r="101" spans="1:31" ht="15" x14ac:dyDescent="0.15">
      <c r="A101" s="28" t="s">
        <v>367</v>
      </c>
      <c r="B101" s="13" t="s">
        <v>369</v>
      </c>
      <c r="C101" s="16" t="s">
        <v>222</v>
      </c>
      <c r="G101" s="49">
        <v>500</v>
      </c>
      <c r="H101" s="14"/>
      <c r="I101" s="49"/>
      <c r="J101" s="49">
        <v>500</v>
      </c>
      <c r="K101" s="48">
        <v>0</v>
      </c>
      <c r="M101" s="21" t="s">
        <v>221</v>
      </c>
      <c r="N101" s="28" t="str">
        <f>"{'cjg6', '"&amp;A101&amp;"*1',8,270,10,13 }"</f>
        <v>{'cjg6', '藏经阁少阁主*1',8,270,10,13 }</v>
      </c>
      <c r="P101" s="41">
        <f>P99*1.2</f>
        <v>109486080</v>
      </c>
      <c r="Q101" s="41">
        <f t="shared" ref="Q101:R101" si="61">Q99*1.2</f>
        <v>1468.9382400000002</v>
      </c>
      <c r="R101" s="41">
        <f t="shared" si="61"/>
        <v>52462080.000000007</v>
      </c>
      <c r="S101" s="27">
        <v>100</v>
      </c>
      <c r="T101" s="41">
        <f t="shared" ref="T101:AD101" si="62">T14</f>
        <v>350</v>
      </c>
      <c r="U101" s="57">
        <v>0.8</v>
      </c>
      <c r="V101" s="27">
        <f t="shared" si="40"/>
        <v>262310.40000000002</v>
      </c>
      <c r="W101" s="41">
        <f t="shared" si="62"/>
        <v>0</v>
      </c>
      <c r="X101" s="41">
        <f t="shared" si="62"/>
        <v>200</v>
      </c>
      <c r="Y101" s="41">
        <v>100</v>
      </c>
      <c r="Z101" s="27">
        <v>0</v>
      </c>
      <c r="AA101" s="41">
        <v>20</v>
      </c>
      <c r="AB101" s="41">
        <v>2750</v>
      </c>
      <c r="AC101" s="41">
        <f t="shared" si="62"/>
        <v>0</v>
      </c>
      <c r="AD101" s="41">
        <f t="shared" si="62"/>
        <v>0</v>
      </c>
    </row>
    <row r="102" spans="1:31" s="1" customFormat="1" ht="43.5" customHeight="1" x14ac:dyDescent="0.15">
      <c r="A102" s="11" t="s">
        <v>370</v>
      </c>
      <c r="B102" s="13" t="s">
        <v>371</v>
      </c>
      <c r="C102" s="1" t="s">
        <v>220</v>
      </c>
      <c r="G102" s="1">
        <v>500</v>
      </c>
      <c r="J102" s="1">
        <v>500</v>
      </c>
      <c r="K102" s="48">
        <v>0.04</v>
      </c>
      <c r="L102" s="53"/>
      <c r="M102" s="21" t="s">
        <v>221</v>
      </c>
      <c r="N102" s="25" t="str">
        <f>"{{'jianzhong2', '"&amp;A102&amp;"*12',1,270,1 },
{'jianzhong3', '"&amp;A102&amp;"*12',1,270,1 }
}"</f>
        <v>{{'jianzhong2', '剑冢小弟*12',1,270,1 },
{'jianzhong3', '剑冢小弟*12',1,270,1 }
}</v>
      </c>
      <c r="O102" s="11"/>
      <c r="P102" s="41">
        <f>P100*1.2</f>
        <v>16422912</v>
      </c>
      <c r="Q102" s="41">
        <f t="shared" ref="Q102:R102" si="63">Q100*1.2</f>
        <v>220.34073600000002</v>
      </c>
      <c r="R102" s="41">
        <f t="shared" si="63"/>
        <v>7869312.0000000009</v>
      </c>
      <c r="S102" s="27">
        <v>100</v>
      </c>
      <c r="T102" s="1">
        <v>350</v>
      </c>
      <c r="U102" s="57">
        <v>0.8</v>
      </c>
      <c r="V102" s="27">
        <f t="shared" si="40"/>
        <v>39346.560000000005</v>
      </c>
      <c r="W102" s="1">
        <v>0</v>
      </c>
      <c r="X102" s="1">
        <v>200</v>
      </c>
      <c r="Y102" s="1">
        <v>50</v>
      </c>
      <c r="Z102" s="27">
        <v>0</v>
      </c>
      <c r="AA102" s="1">
        <v>20</v>
      </c>
      <c r="AB102" s="1">
        <v>700</v>
      </c>
      <c r="AC102" s="1">
        <v>0</v>
      </c>
      <c r="AD102" s="1">
        <v>0</v>
      </c>
      <c r="AE102"/>
    </row>
    <row r="103" spans="1:31" s="1" customFormat="1" ht="27" customHeight="1" x14ac:dyDescent="0.15">
      <c r="A103" s="11" t="s">
        <v>396</v>
      </c>
      <c r="B103" s="13" t="s">
        <v>372</v>
      </c>
      <c r="C103" s="1" t="s">
        <v>222</v>
      </c>
      <c r="G103" s="1">
        <v>500</v>
      </c>
      <c r="J103" s="1">
        <v>500</v>
      </c>
      <c r="K103" s="48">
        <v>0.04</v>
      </c>
      <c r="L103" s="53"/>
      <c r="M103" s="21" t="s">
        <v>221</v>
      </c>
      <c r="N103" s="11" t="str">
        <f>"{'jianzhong4', '"&amp;A103&amp;"*1',8,270,10,13 }"</f>
        <v>{'jianzhong4', '剑魔*1',8,270,10,13 }</v>
      </c>
      <c r="P103" s="41">
        <f t="shared" ref="P103:R109" si="64">P101*1.2</f>
        <v>131383296</v>
      </c>
      <c r="Q103" s="41">
        <f t="shared" si="64"/>
        <v>1762.7258880000002</v>
      </c>
      <c r="R103" s="41">
        <f t="shared" si="64"/>
        <v>62954496.000000007</v>
      </c>
      <c r="S103" s="27">
        <v>100</v>
      </c>
      <c r="T103" s="1">
        <v>350</v>
      </c>
      <c r="U103" s="57">
        <v>0.8</v>
      </c>
      <c r="V103" s="27">
        <f t="shared" si="40"/>
        <v>314772.48000000004</v>
      </c>
      <c r="W103" s="1">
        <v>0</v>
      </c>
      <c r="X103" s="1">
        <v>200</v>
      </c>
      <c r="Y103" s="1">
        <v>100</v>
      </c>
      <c r="Z103" s="27">
        <v>0</v>
      </c>
      <c r="AA103" s="1">
        <v>20</v>
      </c>
      <c r="AB103" s="1">
        <v>3000</v>
      </c>
      <c r="AC103" s="1">
        <v>0</v>
      </c>
      <c r="AD103" s="1">
        <v>0</v>
      </c>
      <c r="AE103"/>
    </row>
    <row r="104" spans="1:31" ht="81" x14ac:dyDescent="0.15">
      <c r="A104" s="28" t="s">
        <v>377</v>
      </c>
      <c r="B104" s="13" t="s">
        <v>379</v>
      </c>
      <c r="C104" s="1" t="s">
        <v>220</v>
      </c>
      <c r="G104" s="49">
        <v>500</v>
      </c>
      <c r="H104" s="14"/>
      <c r="I104" s="49"/>
      <c r="J104" s="49">
        <v>500</v>
      </c>
      <c r="K104" s="48">
        <v>0.02</v>
      </c>
      <c r="M104" s="21" t="s">
        <v>221</v>
      </c>
      <c r="N104" s="25" t="str">
        <f>"{{'bhg2', '"&amp;A104&amp;"*6',1,270,1 },
{'bhg3', '"&amp;A104&amp;"*7',1,270,1 },
{'bhg4', '"&amp;A104&amp;"*6',1,270,1 },
{'bhg5', '"&amp;A104&amp;"*7',1,270,1 },
{'bhg6', '"&amp;A104&amp;"*6',1,270,1 }
}"</f>
        <v>{{'bhg2', '百花宫宫女*6',1,270,1 },
{'bhg3', '百花宫宫女*7',1,270,1 },
{'bhg4', '百花宫宫女*6',1,270,1 },
{'bhg5', '百花宫宫女*7',1,270,1 },
{'bhg6', '百花宫宫女*6',1,270,1 }
}</v>
      </c>
      <c r="P104" s="41">
        <f t="shared" si="64"/>
        <v>19707494.399999999</v>
      </c>
      <c r="Q104" s="41">
        <f t="shared" si="64"/>
        <v>264.40888319999999</v>
      </c>
      <c r="R104" s="41">
        <f t="shared" si="64"/>
        <v>9443174.4000000004</v>
      </c>
      <c r="S104" s="27">
        <v>100</v>
      </c>
      <c r="T104" s="41">
        <f t="shared" ref="T104:Y104" si="65">T17</f>
        <v>350</v>
      </c>
      <c r="U104" s="57">
        <v>0.8</v>
      </c>
      <c r="V104" s="27">
        <f t="shared" si="40"/>
        <v>47215.872000000003</v>
      </c>
      <c r="W104" s="41">
        <f t="shared" si="65"/>
        <v>0</v>
      </c>
      <c r="X104" s="41">
        <f t="shared" si="65"/>
        <v>200</v>
      </c>
      <c r="Y104" s="41">
        <f t="shared" si="65"/>
        <v>50</v>
      </c>
      <c r="Z104" s="27">
        <v>0</v>
      </c>
      <c r="AA104" s="1">
        <v>20</v>
      </c>
      <c r="AB104" s="1">
        <v>800</v>
      </c>
      <c r="AC104" s="41">
        <f t="shared" ref="AC104:AD104" si="66">AC48</f>
        <v>0</v>
      </c>
      <c r="AD104" s="41">
        <f t="shared" si="66"/>
        <v>0</v>
      </c>
    </row>
    <row r="105" spans="1:31" ht="15" x14ac:dyDescent="0.15">
      <c r="A105" s="28" t="s">
        <v>378</v>
      </c>
      <c r="B105" s="13" t="s">
        <v>380</v>
      </c>
      <c r="C105" s="1" t="s">
        <v>222</v>
      </c>
      <c r="G105" s="49">
        <v>500</v>
      </c>
      <c r="H105" s="14"/>
      <c r="I105" s="49"/>
      <c r="J105" s="49">
        <v>500</v>
      </c>
      <c r="K105" s="48">
        <v>0.02</v>
      </c>
      <c r="M105" s="21" t="s">
        <v>221</v>
      </c>
      <c r="N105" s="28" t="str">
        <f>"{'bhg7', '"&amp;A105&amp;"*1',8,20,10,13 }"</f>
        <v>{'bhg7', '苏若颜*1',8,20,10,13 }</v>
      </c>
      <c r="P105" s="41">
        <f t="shared" si="64"/>
        <v>157659955.19999999</v>
      </c>
      <c r="Q105" s="41">
        <f t="shared" si="64"/>
        <v>2115.2710655999999</v>
      </c>
      <c r="R105" s="41">
        <f t="shared" si="64"/>
        <v>75545395.200000003</v>
      </c>
      <c r="S105" s="27">
        <v>100</v>
      </c>
      <c r="T105" s="41">
        <f t="shared" ref="T105:AD105" si="67">T18</f>
        <v>350</v>
      </c>
      <c r="U105" s="57">
        <v>0.7</v>
      </c>
      <c r="V105" s="27">
        <f t="shared" si="40"/>
        <v>377726.97600000002</v>
      </c>
      <c r="W105" s="41">
        <f t="shared" si="67"/>
        <v>0</v>
      </c>
      <c r="X105" s="41">
        <f t="shared" si="67"/>
        <v>200</v>
      </c>
      <c r="Y105" s="41">
        <v>100</v>
      </c>
      <c r="Z105" s="27">
        <v>0</v>
      </c>
      <c r="AA105" s="41">
        <f t="shared" si="67"/>
        <v>20</v>
      </c>
      <c r="AB105" s="41">
        <v>3250</v>
      </c>
      <c r="AC105" s="41">
        <v>20</v>
      </c>
      <c r="AD105" s="41">
        <f t="shared" si="67"/>
        <v>0</v>
      </c>
    </row>
    <row r="106" spans="1:31" ht="94.5" x14ac:dyDescent="0.15">
      <c r="A106" s="28" t="s">
        <v>383</v>
      </c>
      <c r="B106" s="13" t="s">
        <v>385</v>
      </c>
      <c r="C106" s="1" t="s">
        <v>220</v>
      </c>
      <c r="G106" s="49">
        <v>500</v>
      </c>
      <c r="H106" s="14"/>
      <c r="I106" s="49"/>
      <c r="J106" s="49">
        <v>500</v>
      </c>
      <c r="K106" s="48">
        <v>0.04</v>
      </c>
      <c r="M106" s="21" t="s">
        <v>221</v>
      </c>
      <c r="N106" s="25" t="str">
        <f>"{{'longgong2', '"&amp;A106&amp;"*8',1,nil,1 },
{'longgong3', '"&amp;A106&amp;"*8',1,270,1 },
{'longgong4', '"&amp;A106&amp;"*8',1,270,1 },
{'longgong5', '"&amp;A106&amp;"*8',1,270,1 },
{'longgong6', '"&amp;A106&amp;"*8',1,270,1 },
{'longgong7', '"&amp;A106&amp;"*8',1,270,1 }
}"</f>
        <v>{{'longgong2', '龙宫守卫*8',1,nil,1 },
{'longgong3', '龙宫守卫*8',1,270,1 },
{'longgong4', '龙宫守卫*8',1,270,1 },
{'longgong5', '龙宫守卫*8',1,270,1 },
{'longgong6', '龙宫守卫*8',1,270,1 },
{'longgong7', '龙宫守卫*8',1,270,1 }
}</v>
      </c>
      <c r="P106" s="41">
        <f t="shared" si="64"/>
        <v>23648993.279999997</v>
      </c>
      <c r="Q106" s="41">
        <f t="shared" si="64"/>
        <v>317.29065983999999</v>
      </c>
      <c r="R106" s="41">
        <f t="shared" si="64"/>
        <v>11331809.279999999</v>
      </c>
      <c r="S106" s="27">
        <v>100</v>
      </c>
      <c r="T106" s="41">
        <f t="shared" ref="T106:Y106" si="68">T19</f>
        <v>350</v>
      </c>
      <c r="U106" s="57">
        <v>0.8</v>
      </c>
      <c r="V106" s="27">
        <f t="shared" si="40"/>
        <v>56659.046399999999</v>
      </c>
      <c r="W106" s="41">
        <f t="shared" si="68"/>
        <v>0</v>
      </c>
      <c r="X106" s="41">
        <f t="shared" si="68"/>
        <v>200</v>
      </c>
      <c r="Y106" s="41">
        <f t="shared" si="68"/>
        <v>50</v>
      </c>
      <c r="Z106" s="27">
        <v>0</v>
      </c>
      <c r="AA106" s="1">
        <v>20</v>
      </c>
      <c r="AB106" s="1">
        <v>900</v>
      </c>
      <c r="AC106" s="41">
        <f t="shared" ref="AC106:AD106" si="69">AC50</f>
        <v>0</v>
      </c>
      <c r="AD106" s="41">
        <f t="shared" si="69"/>
        <v>0</v>
      </c>
    </row>
    <row r="107" spans="1:31" ht="15" x14ac:dyDescent="0.15">
      <c r="A107" s="28" t="s">
        <v>384</v>
      </c>
      <c r="B107" s="13" t="s">
        <v>386</v>
      </c>
      <c r="C107" s="1" t="s">
        <v>222</v>
      </c>
      <c r="G107" s="49">
        <v>500</v>
      </c>
      <c r="H107" s="14"/>
      <c r="I107" s="49"/>
      <c r="J107" s="49">
        <v>500</v>
      </c>
      <c r="K107" s="48">
        <v>0.04</v>
      </c>
      <c r="M107" s="21" t="s">
        <v>221</v>
      </c>
      <c r="N107" s="28" t="str">
        <f>"{'longgong8', '"&amp;A107&amp;"*1',8,270,10,13 }"</f>
        <v>{'longgong8', '哪吒*1',8,270,10,13 }</v>
      </c>
      <c r="P107" s="41">
        <f t="shared" si="64"/>
        <v>189191946.23999998</v>
      </c>
      <c r="Q107" s="41">
        <f t="shared" si="64"/>
        <v>2538.3252787199999</v>
      </c>
      <c r="R107" s="41">
        <f t="shared" si="64"/>
        <v>90654474.239999995</v>
      </c>
      <c r="S107" s="27">
        <v>100</v>
      </c>
      <c r="T107" s="41">
        <f t="shared" ref="T107:AA107" si="70">T20</f>
        <v>350</v>
      </c>
      <c r="U107" s="57">
        <v>0.7</v>
      </c>
      <c r="V107" s="27">
        <f t="shared" si="40"/>
        <v>453272.37119999999</v>
      </c>
      <c r="W107" s="41">
        <f t="shared" si="70"/>
        <v>0</v>
      </c>
      <c r="X107" s="41">
        <f t="shared" si="70"/>
        <v>200</v>
      </c>
      <c r="Y107" s="41">
        <v>100</v>
      </c>
      <c r="Z107" s="27">
        <v>0</v>
      </c>
      <c r="AA107" s="41">
        <f t="shared" si="70"/>
        <v>20</v>
      </c>
      <c r="AB107" s="41">
        <v>3500</v>
      </c>
      <c r="AC107" s="41">
        <v>20</v>
      </c>
      <c r="AD107" s="41">
        <v>50</v>
      </c>
    </row>
    <row r="108" spans="1:31" ht="81" x14ac:dyDescent="0.15">
      <c r="A108" s="28" t="s">
        <v>389</v>
      </c>
      <c r="B108" s="13" t="s">
        <v>391</v>
      </c>
      <c r="C108" s="1" t="s">
        <v>220</v>
      </c>
      <c r="G108" s="49">
        <v>500</v>
      </c>
      <c r="H108" s="14"/>
      <c r="I108" s="49"/>
      <c r="J108" s="49">
        <v>500</v>
      </c>
      <c r="K108" s="48">
        <v>0.04</v>
      </c>
      <c r="M108" s="21" t="s">
        <v>221</v>
      </c>
      <c r="N108" s="25" t="str">
        <f>"{{'zeds2', '"&amp;A108&amp;"*7',1,nil,1 },
{'zeds3', '"&amp;A108&amp;"*7',1,nil,1 },
{'zeds4', '"&amp;A108&amp;"*7',1,nil,1 },
{'zeds5', '"&amp;A108&amp;"*7',1,nil,1 },
{'zeds6', '"&amp;A108&amp;"*7',1,nil,1 }
}"</f>
        <v>{{'zeds2', '城堡守卫*7',1,nil,1 },
{'zeds3', '城堡守卫*7',1,nil,1 },
{'zeds4', '城堡守卫*7',1,nil,1 },
{'zeds5', '城堡守卫*7',1,nil,1 },
{'zeds6', '城堡守卫*7',1,nil,1 }
}</v>
      </c>
      <c r="P108" s="41">
        <f t="shared" si="64"/>
        <v>28378791.935999997</v>
      </c>
      <c r="Q108" s="41">
        <f t="shared" si="64"/>
        <v>380.74879180799996</v>
      </c>
      <c r="R108" s="41">
        <f t="shared" si="64"/>
        <v>13598171.135999998</v>
      </c>
      <c r="S108" s="27">
        <v>100</v>
      </c>
      <c r="T108" s="41">
        <f t="shared" ref="T108:Y108" si="71">T21</f>
        <v>350</v>
      </c>
      <c r="U108" s="57">
        <v>0.8</v>
      </c>
      <c r="V108" s="27">
        <f t="shared" si="40"/>
        <v>67990.855679999993</v>
      </c>
      <c r="W108" s="41">
        <f t="shared" si="71"/>
        <v>0</v>
      </c>
      <c r="X108" s="41">
        <f t="shared" si="71"/>
        <v>200</v>
      </c>
      <c r="Y108" s="41">
        <f t="shared" si="71"/>
        <v>50</v>
      </c>
      <c r="Z108" s="27">
        <v>0</v>
      </c>
      <c r="AA108" s="1">
        <v>20</v>
      </c>
      <c r="AB108" s="1">
        <v>1000</v>
      </c>
      <c r="AC108" s="41">
        <f t="shared" ref="AC108:AD108" si="72">AC52</f>
        <v>0</v>
      </c>
      <c r="AD108" s="41">
        <f t="shared" si="72"/>
        <v>0</v>
      </c>
    </row>
    <row r="109" spans="1:31" ht="15" x14ac:dyDescent="0.15">
      <c r="A109" s="28" t="s">
        <v>390</v>
      </c>
      <c r="B109" s="13" t="s">
        <v>392</v>
      </c>
      <c r="C109" s="1" t="s">
        <v>222</v>
      </c>
      <c r="G109" s="49">
        <v>500</v>
      </c>
      <c r="H109" s="14"/>
      <c r="I109" s="49"/>
      <c r="J109" s="49">
        <v>500</v>
      </c>
      <c r="K109" s="48">
        <v>5.8999999999999997E-2</v>
      </c>
      <c r="M109" s="21" t="s">
        <v>221</v>
      </c>
      <c r="N109" s="28" t="str">
        <f>"{'zeds7', '"&amp;A109&amp;"*1',8,270,10,13 }"</f>
        <v>{'zeds7', '牛头马面*1',8,270,10,13 }</v>
      </c>
      <c r="P109" s="41">
        <f t="shared" si="64"/>
        <v>227030335.48799998</v>
      </c>
      <c r="Q109" s="41">
        <f>Q107*1.2</f>
        <v>3045.9903344639997</v>
      </c>
      <c r="R109" s="41">
        <f t="shared" si="64"/>
        <v>108785369.08799998</v>
      </c>
      <c r="S109" s="27">
        <v>100</v>
      </c>
      <c r="T109" s="41">
        <v>350</v>
      </c>
      <c r="U109" s="57">
        <v>0.7</v>
      </c>
      <c r="V109" s="27">
        <f t="shared" si="40"/>
        <v>543926.84543999995</v>
      </c>
      <c r="W109" s="41">
        <f t="shared" ref="W109:AA119" si="73">W22</f>
        <v>0</v>
      </c>
      <c r="X109" s="41">
        <f t="shared" si="73"/>
        <v>200</v>
      </c>
      <c r="Y109" s="41">
        <v>100</v>
      </c>
      <c r="Z109" s="27">
        <v>0</v>
      </c>
      <c r="AA109" s="41">
        <f t="shared" si="73"/>
        <v>20</v>
      </c>
      <c r="AB109" s="41">
        <v>3750</v>
      </c>
      <c r="AC109" s="41">
        <v>20</v>
      </c>
      <c r="AD109" s="41">
        <v>100</v>
      </c>
    </row>
    <row r="110" spans="1:31" ht="15" x14ac:dyDescent="0.15">
      <c r="A110" s="54" t="s">
        <v>397</v>
      </c>
      <c r="B110" s="13" t="s">
        <v>407</v>
      </c>
      <c r="C110" s="1" t="s">
        <v>222</v>
      </c>
      <c r="G110" s="49">
        <v>500</v>
      </c>
      <c r="H110" s="14"/>
      <c r="I110" s="49"/>
      <c r="J110" s="49">
        <v>500</v>
      </c>
      <c r="K110" s="48">
        <v>5.8999999999999997E-2</v>
      </c>
      <c r="M110" s="21" t="s">
        <v>221</v>
      </c>
      <c r="N110" s="28"/>
      <c r="P110" s="41">
        <f>P109*1.5</f>
        <v>340545503.23199999</v>
      </c>
      <c r="Q110" s="41">
        <f t="shared" ref="Q110:R110" si="74">Q109*1.5</f>
        <v>4568.9855016959991</v>
      </c>
      <c r="R110" s="41">
        <f t="shared" si="74"/>
        <v>163178053.63199997</v>
      </c>
      <c r="S110" s="27">
        <v>100</v>
      </c>
      <c r="T110" s="52">
        <v>450</v>
      </c>
      <c r="U110" s="57">
        <v>0.8</v>
      </c>
      <c r="V110" s="27">
        <f t="shared" si="40"/>
        <v>815890.26815999986</v>
      </c>
      <c r="W110" s="41">
        <v>0</v>
      </c>
      <c r="X110" s="41">
        <f t="shared" si="73"/>
        <v>200</v>
      </c>
      <c r="Y110" s="41">
        <v>150</v>
      </c>
      <c r="Z110" s="27">
        <v>0</v>
      </c>
      <c r="AA110" s="41">
        <f t="shared" si="73"/>
        <v>20</v>
      </c>
      <c r="AB110" s="41">
        <v>7500</v>
      </c>
      <c r="AC110" s="41">
        <v>20</v>
      </c>
      <c r="AD110" s="41">
        <v>100</v>
      </c>
    </row>
    <row r="111" spans="1:31" ht="15" x14ac:dyDescent="0.15">
      <c r="A111" s="54" t="s">
        <v>398</v>
      </c>
      <c r="B111" s="13" t="s">
        <v>408</v>
      </c>
      <c r="C111" s="1" t="s">
        <v>222</v>
      </c>
      <c r="G111" s="49">
        <v>500</v>
      </c>
      <c r="H111" s="14"/>
      <c r="I111" s="49"/>
      <c r="J111" s="49">
        <v>500</v>
      </c>
      <c r="K111" s="48">
        <v>5.8999999999999997E-2</v>
      </c>
      <c r="M111" s="21" t="s">
        <v>221</v>
      </c>
      <c r="N111" s="28"/>
      <c r="P111" s="41">
        <f>P110*1.1</f>
        <v>374600053.55520004</v>
      </c>
      <c r="Q111" s="41">
        <f>Q110*1.2</f>
        <v>5482.7826020351986</v>
      </c>
      <c r="R111" s="41">
        <f>R110*1.2</f>
        <v>195813664.35839996</v>
      </c>
      <c r="S111" s="27">
        <v>100</v>
      </c>
      <c r="T111" s="52">
        <v>450</v>
      </c>
      <c r="U111" s="57">
        <v>0.8</v>
      </c>
      <c r="V111" s="27">
        <f t="shared" si="40"/>
        <v>979068.32179199986</v>
      </c>
      <c r="W111" s="41">
        <v>0</v>
      </c>
      <c r="X111" s="41">
        <f t="shared" si="73"/>
        <v>200</v>
      </c>
      <c r="Y111" s="41">
        <v>150</v>
      </c>
      <c r="Z111" s="27">
        <v>0</v>
      </c>
      <c r="AA111" s="41">
        <f t="shared" si="73"/>
        <v>20</v>
      </c>
      <c r="AB111" s="41">
        <v>7500</v>
      </c>
      <c r="AC111" s="41">
        <v>20</v>
      </c>
      <c r="AD111" s="41">
        <v>100</v>
      </c>
    </row>
    <row r="112" spans="1:31" ht="15" x14ac:dyDescent="0.15">
      <c r="A112" s="54" t="s">
        <v>399</v>
      </c>
      <c r="B112" s="13" t="s">
        <v>409</v>
      </c>
      <c r="C112" s="1" t="s">
        <v>222</v>
      </c>
      <c r="G112" s="49">
        <v>500</v>
      </c>
      <c r="H112" s="14"/>
      <c r="I112" s="49"/>
      <c r="J112" s="49">
        <v>500</v>
      </c>
      <c r="K112" s="48">
        <v>5.8999999999999997E-2</v>
      </c>
      <c r="M112" s="21" t="s">
        <v>221</v>
      </c>
      <c r="N112" s="28"/>
      <c r="P112" s="41">
        <f t="shared" ref="P112:P119" si="75">P111*1.1</f>
        <v>412060058.91072005</v>
      </c>
      <c r="Q112" s="41">
        <f t="shared" ref="Q112:Q119" si="76">Q111*1.2</f>
        <v>6579.3391224422385</v>
      </c>
      <c r="R112" s="41">
        <f t="shared" ref="R112:R119" si="77">R111*1.2</f>
        <v>234976397.23007995</v>
      </c>
      <c r="S112" s="27">
        <v>100</v>
      </c>
      <c r="T112" s="52">
        <v>450</v>
      </c>
      <c r="U112" s="57">
        <v>0.8</v>
      </c>
      <c r="V112" s="27">
        <f t="shared" si="40"/>
        <v>1174881.9861503998</v>
      </c>
      <c r="W112" s="41">
        <v>0</v>
      </c>
      <c r="X112" s="41">
        <f t="shared" si="73"/>
        <v>200</v>
      </c>
      <c r="Y112" s="41">
        <v>150</v>
      </c>
      <c r="Z112" s="27">
        <v>0</v>
      </c>
      <c r="AA112" s="41">
        <v>20</v>
      </c>
      <c r="AB112" s="41">
        <v>7500</v>
      </c>
      <c r="AC112" s="41">
        <v>20</v>
      </c>
      <c r="AD112" s="41">
        <v>100</v>
      </c>
    </row>
    <row r="113" spans="1:30" ht="15" x14ac:dyDescent="0.15">
      <c r="A113" s="54" t="s">
        <v>400</v>
      </c>
      <c r="B113" s="13" t="s">
        <v>410</v>
      </c>
      <c r="C113" s="1" t="s">
        <v>222</v>
      </c>
      <c r="G113" s="49">
        <v>500</v>
      </c>
      <c r="H113" s="14"/>
      <c r="I113" s="49"/>
      <c r="J113" s="49">
        <v>500</v>
      </c>
      <c r="K113" s="48">
        <v>5.8999999999999997E-2</v>
      </c>
      <c r="M113" s="21" t="s">
        <v>221</v>
      </c>
      <c r="N113" s="28"/>
      <c r="P113" s="41">
        <f t="shared" si="75"/>
        <v>453266064.80179209</v>
      </c>
      <c r="Q113" s="41">
        <f t="shared" si="76"/>
        <v>7895.2069469306862</v>
      </c>
      <c r="R113" s="41">
        <f t="shared" si="77"/>
        <v>281971676.6760959</v>
      </c>
      <c r="S113" s="27">
        <v>100</v>
      </c>
      <c r="T113" s="52">
        <v>450</v>
      </c>
      <c r="U113" s="57">
        <v>0.8</v>
      </c>
      <c r="V113" s="27">
        <f t="shared" si="40"/>
        <v>1409858.3833804796</v>
      </c>
      <c r="W113" s="41">
        <v>0</v>
      </c>
      <c r="X113" s="41">
        <f t="shared" si="73"/>
        <v>200</v>
      </c>
      <c r="Y113" s="41">
        <v>150</v>
      </c>
      <c r="Z113" s="27">
        <v>0</v>
      </c>
      <c r="AA113" s="41">
        <v>20</v>
      </c>
      <c r="AB113" s="41">
        <v>7500</v>
      </c>
      <c r="AC113" s="41">
        <v>20</v>
      </c>
      <c r="AD113" s="41">
        <v>100</v>
      </c>
    </row>
    <row r="114" spans="1:30" ht="15" x14ac:dyDescent="0.15">
      <c r="A114" s="54" t="s">
        <v>401</v>
      </c>
      <c r="B114" s="13" t="s">
        <v>411</v>
      </c>
      <c r="C114" s="1" t="s">
        <v>222</v>
      </c>
      <c r="G114" s="49">
        <v>500</v>
      </c>
      <c r="H114" s="14"/>
      <c r="I114" s="49"/>
      <c r="J114" s="49">
        <v>500</v>
      </c>
      <c r="K114" s="48">
        <v>5.8999999999999997E-2</v>
      </c>
      <c r="M114" s="21" t="s">
        <v>221</v>
      </c>
      <c r="N114" s="28"/>
      <c r="P114" s="41">
        <f t="shared" si="75"/>
        <v>498592671.28197134</v>
      </c>
      <c r="Q114" s="41">
        <f t="shared" si="76"/>
        <v>9474.248336316823</v>
      </c>
      <c r="R114" s="41">
        <f t="shared" si="77"/>
        <v>338366012.01131505</v>
      </c>
      <c r="S114" s="27">
        <v>100</v>
      </c>
      <c r="T114" s="52">
        <v>450</v>
      </c>
      <c r="U114" s="57">
        <v>0.8</v>
      </c>
      <c r="V114" s="27">
        <f t="shared" si="40"/>
        <v>1691830.0600565753</v>
      </c>
      <c r="W114" s="41">
        <v>0</v>
      </c>
      <c r="X114" s="41">
        <f t="shared" si="73"/>
        <v>200</v>
      </c>
      <c r="Y114" s="41">
        <v>150</v>
      </c>
      <c r="Z114" s="27">
        <v>0</v>
      </c>
      <c r="AA114" s="41">
        <v>20</v>
      </c>
      <c r="AB114" s="41">
        <v>7500</v>
      </c>
      <c r="AC114" s="41">
        <v>20</v>
      </c>
      <c r="AD114" s="41">
        <v>100</v>
      </c>
    </row>
    <row r="115" spans="1:30" ht="15" x14ac:dyDescent="0.15">
      <c r="A115" s="54" t="s">
        <v>402</v>
      </c>
      <c r="B115" s="13" t="s">
        <v>412</v>
      </c>
      <c r="C115" s="1" t="s">
        <v>222</v>
      </c>
      <c r="G115" s="49">
        <v>500</v>
      </c>
      <c r="H115" s="14"/>
      <c r="I115" s="49"/>
      <c r="J115" s="49">
        <v>500</v>
      </c>
      <c r="K115" s="48">
        <v>5.8999999999999997E-2</v>
      </c>
      <c r="M115" s="21" t="s">
        <v>221</v>
      </c>
      <c r="N115" s="28"/>
      <c r="P115" s="41">
        <f t="shared" si="75"/>
        <v>548451938.41016853</v>
      </c>
      <c r="Q115" s="41">
        <f t="shared" si="76"/>
        <v>11369.098003580188</v>
      </c>
      <c r="R115" s="41">
        <f t="shared" si="77"/>
        <v>406039214.41357803</v>
      </c>
      <c r="S115" s="27">
        <v>100</v>
      </c>
      <c r="T115" s="52">
        <v>450</v>
      </c>
      <c r="U115" s="57">
        <v>0.8</v>
      </c>
      <c r="V115" s="27">
        <f t="shared" si="40"/>
        <v>2030196.0720678903</v>
      </c>
      <c r="W115" s="41">
        <v>0</v>
      </c>
      <c r="X115" s="41">
        <f t="shared" si="73"/>
        <v>200</v>
      </c>
      <c r="Y115" s="41">
        <v>200</v>
      </c>
      <c r="Z115" s="27">
        <v>0</v>
      </c>
      <c r="AA115" s="41">
        <v>20</v>
      </c>
      <c r="AB115" s="41">
        <v>7500</v>
      </c>
      <c r="AC115" s="41">
        <v>20</v>
      </c>
      <c r="AD115" s="41">
        <v>100</v>
      </c>
    </row>
    <row r="116" spans="1:30" ht="15" x14ac:dyDescent="0.15">
      <c r="A116" s="54" t="s">
        <v>403</v>
      </c>
      <c r="B116" s="13" t="s">
        <v>413</v>
      </c>
      <c r="C116" s="1" t="s">
        <v>222</v>
      </c>
      <c r="G116" s="49">
        <v>500</v>
      </c>
      <c r="H116" s="14"/>
      <c r="I116" s="49"/>
      <c r="J116" s="49">
        <v>500</v>
      </c>
      <c r="K116" s="48">
        <v>5.8999999999999997E-2</v>
      </c>
      <c r="M116" s="21" t="s">
        <v>221</v>
      </c>
      <c r="N116" s="28"/>
      <c r="P116" s="41">
        <f t="shared" si="75"/>
        <v>603297132.25118542</v>
      </c>
      <c r="Q116" s="41">
        <f t="shared" si="76"/>
        <v>13642.917604296224</v>
      </c>
      <c r="R116" s="41">
        <f t="shared" si="77"/>
        <v>487247057.29629362</v>
      </c>
      <c r="S116" s="27">
        <v>100</v>
      </c>
      <c r="T116" s="52">
        <v>450</v>
      </c>
      <c r="U116" s="57">
        <v>0.8</v>
      </c>
      <c r="V116" s="27">
        <f t="shared" si="40"/>
        <v>2436235.286481468</v>
      </c>
      <c r="W116" s="41">
        <v>0</v>
      </c>
      <c r="X116" s="41">
        <f t="shared" si="73"/>
        <v>200</v>
      </c>
      <c r="Y116" s="41">
        <v>200</v>
      </c>
      <c r="Z116" s="27">
        <v>0</v>
      </c>
      <c r="AA116" s="41">
        <v>20</v>
      </c>
      <c r="AB116" s="41">
        <v>7500</v>
      </c>
      <c r="AC116" s="41">
        <v>20</v>
      </c>
      <c r="AD116" s="41">
        <v>100</v>
      </c>
    </row>
    <row r="117" spans="1:30" ht="15" x14ac:dyDescent="0.15">
      <c r="A117" s="54" t="s">
        <v>404</v>
      </c>
      <c r="B117" s="13" t="s">
        <v>414</v>
      </c>
      <c r="C117" s="1" t="s">
        <v>222</v>
      </c>
      <c r="G117" s="49">
        <v>500</v>
      </c>
      <c r="H117" s="14"/>
      <c r="I117" s="49"/>
      <c r="J117" s="49">
        <v>500</v>
      </c>
      <c r="K117" s="48">
        <v>5.8999999999999997E-2</v>
      </c>
      <c r="M117" s="21" t="s">
        <v>221</v>
      </c>
      <c r="N117" s="28"/>
      <c r="P117" s="41">
        <f t="shared" si="75"/>
        <v>663626845.47630405</v>
      </c>
      <c r="Q117" s="41">
        <f t="shared" si="76"/>
        <v>16371.501125155468</v>
      </c>
      <c r="R117" s="41">
        <f t="shared" si="77"/>
        <v>584696468.75555229</v>
      </c>
      <c r="S117" s="27">
        <v>100</v>
      </c>
      <c r="T117" s="52">
        <v>450</v>
      </c>
      <c r="U117" s="57">
        <v>0.8</v>
      </c>
      <c r="V117" s="27">
        <f t="shared" si="40"/>
        <v>2923482.3437777613</v>
      </c>
      <c r="W117" s="41">
        <v>0</v>
      </c>
      <c r="X117" s="41">
        <f t="shared" si="73"/>
        <v>200</v>
      </c>
      <c r="Y117" s="41">
        <v>200</v>
      </c>
      <c r="Z117" s="27">
        <v>0</v>
      </c>
      <c r="AA117" s="41">
        <v>20</v>
      </c>
      <c r="AB117" s="41">
        <v>7500</v>
      </c>
      <c r="AC117" s="41">
        <v>20</v>
      </c>
      <c r="AD117" s="41">
        <v>100</v>
      </c>
    </row>
    <row r="118" spans="1:30" ht="15" x14ac:dyDescent="0.15">
      <c r="A118" s="54" t="s">
        <v>405</v>
      </c>
      <c r="B118" s="13" t="s">
        <v>415</v>
      </c>
      <c r="C118" s="1" t="s">
        <v>222</v>
      </c>
      <c r="G118" s="49">
        <v>500</v>
      </c>
      <c r="H118" s="14"/>
      <c r="I118" s="49"/>
      <c r="J118" s="49">
        <v>500</v>
      </c>
      <c r="K118" s="48">
        <v>5.8999999999999997E-2</v>
      </c>
      <c r="M118" s="21" t="s">
        <v>221</v>
      </c>
      <c r="N118" s="28"/>
      <c r="P118" s="41">
        <f t="shared" si="75"/>
        <v>729989530.02393448</v>
      </c>
      <c r="Q118" s="41">
        <f t="shared" si="76"/>
        <v>19645.801350186561</v>
      </c>
      <c r="R118" s="41">
        <f t="shared" si="77"/>
        <v>701635762.50666273</v>
      </c>
      <c r="S118" s="27">
        <v>100</v>
      </c>
      <c r="T118" s="52">
        <v>450</v>
      </c>
      <c r="U118" s="57">
        <v>0.8</v>
      </c>
      <c r="V118" s="27">
        <f t="shared" si="40"/>
        <v>3508178.8125333139</v>
      </c>
      <c r="W118" s="41">
        <v>0</v>
      </c>
      <c r="X118" s="41">
        <f t="shared" si="73"/>
        <v>200</v>
      </c>
      <c r="Y118" s="41">
        <v>200</v>
      </c>
      <c r="Z118" s="27">
        <v>0</v>
      </c>
      <c r="AA118" s="41">
        <v>20</v>
      </c>
      <c r="AB118" s="41">
        <v>7500</v>
      </c>
      <c r="AC118" s="41">
        <v>20</v>
      </c>
      <c r="AD118" s="41">
        <v>100</v>
      </c>
    </row>
    <row r="119" spans="1:30" ht="15" x14ac:dyDescent="0.15">
      <c r="A119" s="54" t="s">
        <v>406</v>
      </c>
      <c r="B119" s="13" t="s">
        <v>416</v>
      </c>
      <c r="C119" s="1" t="s">
        <v>222</v>
      </c>
      <c r="G119" s="49">
        <v>500</v>
      </c>
      <c r="H119" s="14"/>
      <c r="I119" s="49"/>
      <c r="J119" s="49">
        <v>500</v>
      </c>
      <c r="K119" s="48">
        <v>5.8999999999999997E-2</v>
      </c>
      <c r="M119" s="21" t="s">
        <v>221</v>
      </c>
      <c r="N119" s="28"/>
      <c r="P119" s="41">
        <f t="shared" si="75"/>
        <v>802988483.02632797</v>
      </c>
      <c r="Q119" s="41">
        <f t="shared" si="76"/>
        <v>23574.961620223872</v>
      </c>
      <c r="R119" s="41">
        <f t="shared" si="77"/>
        <v>841962915.00799525</v>
      </c>
      <c r="S119" s="27">
        <v>100</v>
      </c>
      <c r="T119" s="52">
        <v>450</v>
      </c>
      <c r="U119" s="57">
        <v>0.8</v>
      </c>
      <c r="V119" s="27">
        <f t="shared" si="40"/>
        <v>4209814.5750399763</v>
      </c>
      <c r="W119" s="41">
        <v>0</v>
      </c>
      <c r="X119" s="41">
        <f t="shared" si="73"/>
        <v>200</v>
      </c>
      <c r="Y119" s="41">
        <v>200</v>
      </c>
      <c r="Z119" s="27">
        <v>0</v>
      </c>
      <c r="AA119" s="41">
        <v>20</v>
      </c>
      <c r="AB119" s="41">
        <v>7500</v>
      </c>
      <c r="AC119" s="41">
        <v>20</v>
      </c>
      <c r="AD119" s="41">
        <v>100</v>
      </c>
    </row>
    <row r="120" spans="1:30" ht="15" x14ac:dyDescent="0.15">
      <c r="A120" s="54" t="s">
        <v>453</v>
      </c>
      <c r="B120" s="13" t="s">
        <v>434</v>
      </c>
      <c r="C120" s="1" t="s">
        <v>222</v>
      </c>
      <c r="G120" s="49">
        <v>500</v>
      </c>
      <c r="H120" s="14"/>
      <c r="I120" s="49"/>
      <c r="J120" s="49">
        <v>500</v>
      </c>
      <c r="K120" s="48">
        <v>5.8999999999999997E-2</v>
      </c>
      <c r="M120" s="21" t="s">
        <v>221</v>
      </c>
      <c r="N120" s="28" t="str">
        <f>"{'shoulei12', '"&amp;A120&amp;"*1',10,270,10,13 }"</f>
        <v>{'shoulei12', '二郎侍卫1*1',10,270,10,13 }</v>
      </c>
      <c r="P120" s="41">
        <f>P119*1.1</f>
        <v>883287331.32896078</v>
      </c>
      <c r="Q120" s="41">
        <f>Q119*1.1</f>
        <v>25932.45778224626</v>
      </c>
      <c r="R120" s="41">
        <f t="shared" ref="R120" si="78">R119*1.1</f>
        <v>926159206.5087949</v>
      </c>
      <c r="S120" s="27">
        <v>100</v>
      </c>
      <c r="T120" s="52">
        <v>450</v>
      </c>
      <c r="U120" s="57">
        <v>0.7</v>
      </c>
      <c r="V120" s="27">
        <f t="shared" si="40"/>
        <v>4630796.0325439749</v>
      </c>
      <c r="W120" s="41">
        <v>0</v>
      </c>
      <c r="X120" s="41">
        <f t="shared" ref="X120" si="79">X33</f>
        <v>200</v>
      </c>
      <c r="Y120" s="41">
        <v>210</v>
      </c>
      <c r="Z120" s="27">
        <v>0</v>
      </c>
      <c r="AA120" s="41">
        <v>20</v>
      </c>
      <c r="AB120" s="41">
        <v>7500</v>
      </c>
      <c r="AC120" s="41">
        <v>20</v>
      </c>
      <c r="AD120" s="41">
        <v>150</v>
      </c>
    </row>
    <row r="121" spans="1:30" ht="15" x14ac:dyDescent="0.15">
      <c r="A121" s="54" t="s">
        <v>454</v>
      </c>
      <c r="B121" s="13" t="s">
        <v>435</v>
      </c>
      <c r="C121" s="1" t="s">
        <v>222</v>
      </c>
      <c r="G121" s="49">
        <v>500</v>
      </c>
      <c r="H121" s="14"/>
      <c r="I121" s="49"/>
      <c r="J121" s="49">
        <v>500</v>
      </c>
      <c r="K121" s="48">
        <v>5.8999999999999997E-2</v>
      </c>
      <c r="M121" s="21" t="s">
        <v>221</v>
      </c>
      <c r="N121" s="28" t="str">
        <f>"{'shoulei13', '"&amp;A121&amp;"*1',10,270,10,13 }"</f>
        <v>{'shoulei13', '二郎侍卫2*1',10,270,10,13 }</v>
      </c>
      <c r="P121" s="41">
        <f>P120*1.02</f>
        <v>900953077.95554006</v>
      </c>
      <c r="Q121" s="41">
        <f t="shared" ref="Q121:R121" si="80">Q120*1.02</f>
        <v>26451.106937891185</v>
      </c>
      <c r="R121" s="41">
        <f t="shared" si="80"/>
        <v>944682390.63897085</v>
      </c>
      <c r="S121" s="27">
        <v>100</v>
      </c>
      <c r="T121" s="52">
        <v>450</v>
      </c>
      <c r="U121" s="57">
        <v>0.7</v>
      </c>
      <c r="V121" s="27">
        <f t="shared" si="40"/>
        <v>4723411.9531948548</v>
      </c>
      <c r="W121" s="41">
        <v>0</v>
      </c>
      <c r="X121" s="41">
        <f t="shared" ref="X121" si="81">X34</f>
        <v>200</v>
      </c>
      <c r="Y121" s="41">
        <v>210</v>
      </c>
      <c r="Z121" s="27">
        <v>0</v>
      </c>
      <c r="AA121" s="41">
        <v>20</v>
      </c>
      <c r="AB121" s="41">
        <v>7500</v>
      </c>
      <c r="AC121" s="41">
        <v>20</v>
      </c>
      <c r="AD121" s="41">
        <v>150</v>
      </c>
    </row>
    <row r="122" spans="1:30" ht="15" x14ac:dyDescent="0.15">
      <c r="A122" s="54" t="s">
        <v>455</v>
      </c>
      <c r="B122" s="13" t="s">
        <v>436</v>
      </c>
      <c r="C122" s="1" t="s">
        <v>222</v>
      </c>
      <c r="G122" s="49">
        <v>500</v>
      </c>
      <c r="H122" s="14"/>
      <c r="I122" s="49"/>
      <c r="J122" s="49">
        <v>500</v>
      </c>
      <c r="K122" s="48">
        <v>5.8999999999999997E-2</v>
      </c>
      <c r="M122" s="21" t="s">
        <v>221</v>
      </c>
      <c r="N122" s="28" t="str">
        <f>"{'shoulei14', '"&amp;A122&amp;"*1',10,270,10,13 }"</f>
        <v>{'shoulei14', '二郎侍卫3*1',10,270,10,13 }</v>
      </c>
      <c r="P122" s="41">
        <f t="shared" ref="P122:R128" si="82">P121*1.02</f>
        <v>918972139.51465082</v>
      </c>
      <c r="Q122" s="41">
        <f t="shared" si="82"/>
        <v>26980.129076649009</v>
      </c>
      <c r="R122" s="41">
        <f t="shared" si="82"/>
        <v>963576038.45175028</v>
      </c>
      <c r="S122" s="27">
        <v>100</v>
      </c>
      <c r="T122" s="52">
        <v>450</v>
      </c>
      <c r="U122" s="57">
        <v>0.7</v>
      </c>
      <c r="V122" s="27">
        <f t="shared" si="40"/>
        <v>4817880.192258752</v>
      </c>
      <c r="W122" s="41">
        <v>0</v>
      </c>
      <c r="X122" s="41">
        <f t="shared" ref="X122" si="83">X35</f>
        <v>200</v>
      </c>
      <c r="Y122" s="41">
        <v>210</v>
      </c>
      <c r="Z122" s="27">
        <v>0</v>
      </c>
      <c r="AA122" s="41">
        <v>20</v>
      </c>
      <c r="AB122" s="41">
        <v>7500</v>
      </c>
      <c r="AC122" s="41">
        <v>20</v>
      </c>
      <c r="AD122" s="41">
        <v>150</v>
      </c>
    </row>
    <row r="123" spans="1:30" ht="15" x14ac:dyDescent="0.15">
      <c r="A123" s="54" t="s">
        <v>456</v>
      </c>
      <c r="B123" s="13" t="s">
        <v>437</v>
      </c>
      <c r="C123" s="1" t="s">
        <v>222</v>
      </c>
      <c r="G123" s="49">
        <v>500</v>
      </c>
      <c r="H123" s="14"/>
      <c r="I123" s="49"/>
      <c r="J123" s="49">
        <v>500</v>
      </c>
      <c r="K123" s="48">
        <v>5.8999999999999997E-2</v>
      </c>
      <c r="M123" s="21" t="s">
        <v>221</v>
      </c>
      <c r="N123" s="28" t="str">
        <f>"{'shoulei15', '"&amp;A123&amp;"*1',10,270,10,13 }"</f>
        <v>{'shoulei15', '二郎侍卫4*1',10,270,10,13 }</v>
      </c>
      <c r="P123" s="41">
        <f t="shared" si="82"/>
        <v>937351582.3049438</v>
      </c>
      <c r="Q123" s="41">
        <f t="shared" si="82"/>
        <v>27519.73165818199</v>
      </c>
      <c r="R123" s="41">
        <f t="shared" si="82"/>
        <v>982847559.22078526</v>
      </c>
      <c r="S123" s="27">
        <v>100</v>
      </c>
      <c r="T123" s="52">
        <v>450</v>
      </c>
      <c r="U123" s="57">
        <v>0.7</v>
      </c>
      <c r="V123" s="27">
        <f t="shared" si="40"/>
        <v>4914237.7961039264</v>
      </c>
      <c r="W123" s="41">
        <v>0</v>
      </c>
      <c r="X123" s="41">
        <f t="shared" ref="X123" si="84">X36</f>
        <v>200</v>
      </c>
      <c r="Y123" s="41">
        <v>210</v>
      </c>
      <c r="Z123" s="27">
        <v>0</v>
      </c>
      <c r="AA123" s="41">
        <v>20</v>
      </c>
      <c r="AB123" s="41">
        <v>7500</v>
      </c>
      <c r="AC123" s="41">
        <v>20</v>
      </c>
      <c r="AD123" s="41">
        <v>150</v>
      </c>
    </row>
    <row r="124" spans="1:30" ht="15" x14ac:dyDescent="0.15">
      <c r="A124" s="54" t="s">
        <v>426</v>
      </c>
      <c r="B124" s="13" t="s">
        <v>438</v>
      </c>
      <c r="C124" s="1" t="s">
        <v>222</v>
      </c>
      <c r="G124" s="49">
        <v>500</v>
      </c>
      <c r="H124" s="14"/>
      <c r="I124" s="49"/>
      <c r="J124" s="49">
        <v>500</v>
      </c>
      <c r="K124" s="48">
        <v>5.8999999999999997E-2</v>
      </c>
      <c r="M124" s="21" t="s">
        <v>221</v>
      </c>
      <c r="N124" s="28"/>
      <c r="P124" s="41">
        <f>P123*1.05</f>
        <v>984219161.42019105</v>
      </c>
      <c r="Q124" s="41">
        <f>Q123*1.05</f>
        <v>28895.71824109109</v>
      </c>
      <c r="R124" s="41">
        <f>R123*1.05</f>
        <v>1031989937.1818246</v>
      </c>
      <c r="S124" s="27">
        <v>100</v>
      </c>
      <c r="T124" s="52">
        <v>450</v>
      </c>
      <c r="U124" s="57">
        <v>0.7</v>
      </c>
      <c r="V124" s="27">
        <f t="shared" si="40"/>
        <v>5159949.6859091232</v>
      </c>
      <c r="W124" s="41">
        <v>0</v>
      </c>
      <c r="X124" s="41">
        <f t="shared" ref="X124" si="85">X37</f>
        <v>200</v>
      </c>
      <c r="Y124" s="41">
        <v>210</v>
      </c>
      <c r="Z124" s="27">
        <v>0</v>
      </c>
      <c r="AA124" s="41">
        <v>20</v>
      </c>
      <c r="AB124" s="41">
        <v>10000</v>
      </c>
      <c r="AC124" s="41">
        <v>20</v>
      </c>
      <c r="AD124" s="41">
        <v>150</v>
      </c>
    </row>
    <row r="125" spans="1:30" ht="15" x14ac:dyDescent="0.15">
      <c r="A125" s="54" t="s">
        <v>458</v>
      </c>
      <c r="B125" s="13" t="s">
        <v>439</v>
      </c>
      <c r="C125" s="1" t="s">
        <v>222</v>
      </c>
      <c r="G125" s="49">
        <v>500</v>
      </c>
      <c r="H125" s="14"/>
      <c r="I125" s="49"/>
      <c r="J125" s="49">
        <v>500</v>
      </c>
      <c r="K125" s="48">
        <v>5.8999999999999997E-2</v>
      </c>
      <c r="M125" s="21" t="s">
        <v>221</v>
      </c>
      <c r="N125" s="28" t="str">
        <f>"{'shoulei22', '"&amp;A125&amp;"*1',10,270,10,13 }"</f>
        <v>{'shoulei22', '七郎侍卫1*1',10,270,10,13 }</v>
      </c>
      <c r="P125" s="41">
        <f t="shared" si="82"/>
        <v>1003903544.6485949</v>
      </c>
      <c r="Q125" s="41">
        <f t="shared" ref="Q125:R125" si="86">Q124*1.02</f>
        <v>29473.632605912913</v>
      </c>
      <c r="R125" s="41">
        <f t="shared" si="86"/>
        <v>1052629735.9254611</v>
      </c>
      <c r="S125" s="27">
        <v>100</v>
      </c>
      <c r="T125" s="52">
        <v>450</v>
      </c>
      <c r="U125" s="57">
        <v>0.7</v>
      </c>
      <c r="V125" s="27">
        <f t="shared" si="40"/>
        <v>5263148.6796273058</v>
      </c>
      <c r="W125" s="41">
        <v>0</v>
      </c>
      <c r="X125" s="41">
        <f t="shared" ref="X125" si="87">X38</f>
        <v>200</v>
      </c>
      <c r="Y125" s="41">
        <v>220</v>
      </c>
      <c r="Z125" s="27">
        <v>0</v>
      </c>
      <c r="AA125" s="41">
        <v>20</v>
      </c>
      <c r="AB125" s="41">
        <v>7500</v>
      </c>
      <c r="AC125" s="41">
        <v>20</v>
      </c>
      <c r="AD125" s="41">
        <v>150</v>
      </c>
    </row>
    <row r="126" spans="1:30" ht="15" x14ac:dyDescent="0.15">
      <c r="A126" s="54" t="s">
        <v>459</v>
      </c>
      <c r="B126" s="13" t="s">
        <v>440</v>
      </c>
      <c r="C126" s="1" t="s">
        <v>222</v>
      </c>
      <c r="G126" s="49">
        <v>500</v>
      </c>
      <c r="H126" s="14"/>
      <c r="I126" s="49"/>
      <c r="J126" s="49">
        <v>500</v>
      </c>
      <c r="K126" s="48">
        <v>5.8999999999999997E-2</v>
      </c>
      <c r="M126" s="21" t="s">
        <v>221</v>
      </c>
      <c r="N126" s="28" t="str">
        <f>"{'shoulei23', '"&amp;A126&amp;"*1',10,270,10,13 }"</f>
        <v>{'shoulei23', '七郎侍卫2*1',10,270,10,13 }</v>
      </c>
      <c r="P126" s="41">
        <f t="shared" si="82"/>
        <v>1023981615.5415667</v>
      </c>
      <c r="Q126" s="41">
        <f t="shared" ref="Q126:R126" si="88">Q125*1.02</f>
        <v>30063.105258031173</v>
      </c>
      <c r="R126" s="41">
        <f t="shared" si="88"/>
        <v>1073682330.6439703</v>
      </c>
      <c r="S126" s="27">
        <v>100</v>
      </c>
      <c r="T126" s="52">
        <v>450</v>
      </c>
      <c r="U126" s="57">
        <v>0.7</v>
      </c>
      <c r="V126" s="27">
        <f t="shared" si="40"/>
        <v>5368411.6532198517</v>
      </c>
      <c r="W126" s="41">
        <v>0</v>
      </c>
      <c r="X126" s="41">
        <f t="shared" ref="X126" si="89">X39</f>
        <v>200</v>
      </c>
      <c r="Y126" s="41">
        <v>220</v>
      </c>
      <c r="Z126" s="27">
        <v>0</v>
      </c>
      <c r="AA126" s="41">
        <v>20</v>
      </c>
      <c r="AB126" s="41">
        <v>7500</v>
      </c>
      <c r="AC126" s="41">
        <v>20</v>
      </c>
      <c r="AD126" s="41">
        <v>150</v>
      </c>
    </row>
    <row r="127" spans="1:30" ht="15" x14ac:dyDescent="0.15">
      <c r="A127" s="54" t="s">
        <v>460</v>
      </c>
      <c r="B127" s="13" t="s">
        <v>441</v>
      </c>
      <c r="C127" s="1" t="s">
        <v>222</v>
      </c>
      <c r="G127" s="49">
        <v>500</v>
      </c>
      <c r="H127" s="14"/>
      <c r="I127" s="49"/>
      <c r="J127" s="49">
        <v>500</v>
      </c>
      <c r="K127" s="48">
        <v>5.8999999999999997E-2</v>
      </c>
      <c r="M127" s="21" t="s">
        <v>221</v>
      </c>
      <c r="N127" s="28" t="str">
        <f>"{'shoulei24', '"&amp;A127&amp;"*1',10,270,10,13 }"</f>
        <v>{'shoulei24', '七郎侍卫3*1',10,270,10,13 }</v>
      </c>
      <c r="P127" s="41">
        <f t="shared" si="82"/>
        <v>1044461247.852398</v>
      </c>
      <c r="Q127" s="41">
        <f t="shared" ref="Q127:R127" si="90">Q126*1.02</f>
        <v>30664.367363191799</v>
      </c>
      <c r="R127" s="41">
        <f t="shared" si="90"/>
        <v>1095155977.2568498</v>
      </c>
      <c r="S127" s="27">
        <v>100</v>
      </c>
      <c r="T127" s="52">
        <v>450</v>
      </c>
      <c r="U127" s="57">
        <v>0.7</v>
      </c>
      <c r="V127" s="27">
        <f t="shared" si="40"/>
        <v>5475779.8862842489</v>
      </c>
      <c r="W127" s="41">
        <v>0</v>
      </c>
      <c r="X127" s="41">
        <f t="shared" ref="X127" si="91">X40</f>
        <v>200</v>
      </c>
      <c r="Y127" s="41">
        <v>220</v>
      </c>
      <c r="Z127" s="27">
        <v>0</v>
      </c>
      <c r="AA127" s="41">
        <v>20</v>
      </c>
      <c r="AB127" s="41">
        <v>7500</v>
      </c>
      <c r="AC127" s="41">
        <v>20</v>
      </c>
      <c r="AD127" s="41">
        <v>150</v>
      </c>
    </row>
    <row r="128" spans="1:30" ht="15" x14ac:dyDescent="0.15">
      <c r="A128" s="54" t="s">
        <v>461</v>
      </c>
      <c r="B128" s="13" t="s">
        <v>442</v>
      </c>
      <c r="C128" s="1" t="s">
        <v>222</v>
      </c>
      <c r="G128" s="49">
        <v>500</v>
      </c>
      <c r="H128" s="14"/>
      <c r="I128" s="49"/>
      <c r="J128" s="49">
        <v>500</v>
      </c>
      <c r="K128" s="48">
        <v>5.8999999999999997E-2</v>
      </c>
      <c r="M128" s="21" t="s">
        <v>221</v>
      </c>
      <c r="N128" s="28" t="str">
        <f>"{'shoulei25', '"&amp;A128&amp;"*1',10,270,10,13 }"</f>
        <v>{'shoulei25', '七郎侍卫4*1',10,270,10,13 }</v>
      </c>
      <c r="P128" s="41">
        <f t="shared" si="82"/>
        <v>1065350472.809446</v>
      </c>
      <c r="Q128" s="41">
        <f t="shared" ref="Q128:R128" si="92">Q127*1.02</f>
        <v>31277.654710455634</v>
      </c>
      <c r="R128" s="41">
        <f t="shared" si="92"/>
        <v>1117059096.8019867</v>
      </c>
      <c r="S128" s="27">
        <v>100</v>
      </c>
      <c r="T128" s="52">
        <v>450</v>
      </c>
      <c r="U128" s="57">
        <v>0.7</v>
      </c>
      <c r="V128" s="27">
        <f t="shared" si="40"/>
        <v>5585295.4840099337</v>
      </c>
      <c r="W128" s="41">
        <v>0</v>
      </c>
      <c r="X128" s="41">
        <f t="shared" ref="X128" si="93">X41</f>
        <v>200</v>
      </c>
      <c r="Y128" s="41">
        <v>220</v>
      </c>
      <c r="Z128" s="27">
        <v>0</v>
      </c>
      <c r="AA128" s="41">
        <v>20</v>
      </c>
      <c r="AB128" s="41">
        <v>7500</v>
      </c>
      <c r="AC128" s="41">
        <v>20</v>
      </c>
      <c r="AD128" s="41">
        <v>150</v>
      </c>
    </row>
    <row r="129" spans="1:30" ht="15" x14ac:dyDescent="0.15">
      <c r="A129" s="54" t="s">
        <v>457</v>
      </c>
      <c r="B129" s="13" t="s">
        <v>443</v>
      </c>
      <c r="C129" s="1" t="s">
        <v>222</v>
      </c>
      <c r="G129" s="49">
        <v>500</v>
      </c>
      <c r="H129" s="14"/>
      <c r="I129" s="49"/>
      <c r="J129" s="49">
        <v>500</v>
      </c>
      <c r="K129" s="48">
        <v>5.8999999999999997E-2</v>
      </c>
      <c r="M129" s="21" t="s">
        <v>221</v>
      </c>
      <c r="N129" s="28"/>
      <c r="P129" s="41">
        <f>P128*1.05</f>
        <v>1118617996.4499183</v>
      </c>
      <c r="Q129" s="41">
        <f t="shared" ref="Q129:R129" si="94">Q128*1.05</f>
        <v>32841.537445978414</v>
      </c>
      <c r="R129" s="41">
        <f t="shared" si="94"/>
        <v>1172912051.642086</v>
      </c>
      <c r="S129" s="27">
        <v>100</v>
      </c>
      <c r="T129" s="52">
        <v>450</v>
      </c>
      <c r="U129" s="57">
        <v>0.7</v>
      </c>
      <c r="V129" s="27">
        <f t="shared" si="40"/>
        <v>5864560.2582104299</v>
      </c>
      <c r="W129" s="41">
        <v>0</v>
      </c>
      <c r="X129" s="41">
        <f t="shared" ref="X129" si="95">X42</f>
        <v>200</v>
      </c>
      <c r="Y129" s="41">
        <v>220</v>
      </c>
      <c r="Z129" s="27">
        <v>0</v>
      </c>
      <c r="AA129" s="41">
        <v>20</v>
      </c>
      <c r="AB129" s="41">
        <v>10000</v>
      </c>
      <c r="AC129" s="41">
        <v>20</v>
      </c>
      <c r="AD129" s="41">
        <v>150</v>
      </c>
    </row>
    <row r="130" spans="1:30" ht="15" x14ac:dyDescent="0.15">
      <c r="A130" s="54" t="s">
        <v>462</v>
      </c>
      <c r="B130" s="13" t="s">
        <v>501</v>
      </c>
      <c r="C130" s="1" t="s">
        <v>222</v>
      </c>
      <c r="G130" s="49">
        <v>500</v>
      </c>
      <c r="H130" s="14"/>
      <c r="I130" s="49"/>
      <c r="J130" s="49">
        <v>500</v>
      </c>
      <c r="K130" s="48">
        <v>5.8999999999999997E-2</v>
      </c>
      <c r="M130" s="21" t="s">
        <v>221</v>
      </c>
      <c r="N130" s="28" t="str">
        <f>"{'shoulei32', '"&amp;A130&amp;"*1',10,270,10,13 }"</f>
        <v>{'shoulei32', '判官侍卫1*1',10,270,10,13 }</v>
      </c>
      <c r="P130" s="41">
        <f t="shared" ref="P130:R130" si="96">P129*1.02</f>
        <v>1140990356.3789167</v>
      </c>
      <c r="Q130" s="41">
        <f t="shared" si="96"/>
        <v>33498.368194897987</v>
      </c>
      <c r="R130" s="41">
        <f t="shared" si="96"/>
        <v>1196370292.6749277</v>
      </c>
      <c r="S130" s="27">
        <v>100</v>
      </c>
      <c r="T130" s="52">
        <v>450</v>
      </c>
      <c r="U130" s="57">
        <v>0.7</v>
      </c>
      <c r="V130" s="27">
        <f t="shared" si="40"/>
        <v>5981851.4633746389</v>
      </c>
      <c r="W130" s="41">
        <v>0</v>
      </c>
      <c r="X130" s="41">
        <f t="shared" ref="X130" si="97">X43</f>
        <v>200</v>
      </c>
      <c r="Y130" s="41">
        <v>230</v>
      </c>
      <c r="Z130" s="27">
        <v>0</v>
      </c>
      <c r="AA130" s="41">
        <v>20</v>
      </c>
      <c r="AB130" s="41">
        <v>7500</v>
      </c>
      <c r="AC130" s="41">
        <v>20</v>
      </c>
      <c r="AD130" s="41">
        <v>150</v>
      </c>
    </row>
    <row r="131" spans="1:30" ht="15" x14ac:dyDescent="0.15">
      <c r="A131" s="54" t="s">
        <v>463</v>
      </c>
      <c r="B131" s="13" t="s">
        <v>502</v>
      </c>
      <c r="C131" s="1" t="s">
        <v>222</v>
      </c>
      <c r="G131" s="49">
        <v>500</v>
      </c>
      <c r="H131" s="14"/>
      <c r="I131" s="49"/>
      <c r="J131" s="49">
        <v>500</v>
      </c>
      <c r="K131" s="48">
        <v>5.8999999999999997E-2</v>
      </c>
      <c r="M131" s="21" t="s">
        <v>221</v>
      </c>
      <c r="N131" s="28" t="str">
        <f>"{'shoulei33', '"&amp;A131&amp;"*1',10,270,10,13 }"</f>
        <v>{'shoulei33', '判官侍卫2*1',10,270,10,13 }</v>
      </c>
      <c r="P131" s="41">
        <f t="shared" ref="P131:R131" si="98">P130*1.02</f>
        <v>1163810163.506495</v>
      </c>
      <c r="Q131" s="41">
        <f t="shared" si="98"/>
        <v>34168.335558795945</v>
      </c>
      <c r="R131" s="41">
        <f t="shared" si="98"/>
        <v>1220297698.5284262</v>
      </c>
      <c r="S131" s="27">
        <v>100</v>
      </c>
      <c r="T131" s="52">
        <v>450</v>
      </c>
      <c r="U131" s="57">
        <v>0.7</v>
      </c>
      <c r="V131" s="27">
        <f t="shared" si="40"/>
        <v>6101488.4926421307</v>
      </c>
      <c r="W131" s="41">
        <v>0</v>
      </c>
      <c r="X131" s="41">
        <f t="shared" ref="X131" si="99">X44</f>
        <v>200</v>
      </c>
      <c r="Y131" s="41">
        <v>230</v>
      </c>
      <c r="Z131" s="27">
        <v>0</v>
      </c>
      <c r="AA131" s="41">
        <v>20</v>
      </c>
      <c r="AB131" s="41">
        <v>7500</v>
      </c>
      <c r="AC131" s="41">
        <v>20</v>
      </c>
      <c r="AD131" s="41">
        <v>150</v>
      </c>
    </row>
    <row r="132" spans="1:30" ht="15" x14ac:dyDescent="0.15">
      <c r="A132" s="54" t="s">
        <v>464</v>
      </c>
      <c r="B132" s="13" t="s">
        <v>503</v>
      </c>
      <c r="C132" s="1" t="s">
        <v>222</v>
      </c>
      <c r="G132" s="49">
        <v>500</v>
      </c>
      <c r="H132" s="14"/>
      <c r="I132" s="49"/>
      <c r="J132" s="49">
        <v>500</v>
      </c>
      <c r="K132" s="48">
        <v>5.8999999999999997E-2</v>
      </c>
      <c r="M132" s="21" t="s">
        <v>221</v>
      </c>
      <c r="N132" s="28" t="str">
        <f>"{'shoulei34', '"&amp;A132&amp;"*1',10,270,10,13 }"</f>
        <v>{'shoulei34', '判官侍卫3*1',10,270,10,13 }</v>
      </c>
      <c r="P132" s="41">
        <f t="shared" ref="P132:R132" si="100">P131*1.02</f>
        <v>1187086366.7766249</v>
      </c>
      <c r="Q132" s="41">
        <f t="shared" si="100"/>
        <v>34851.702269971865</v>
      </c>
      <c r="R132" s="41">
        <f t="shared" si="100"/>
        <v>1244703652.4989948</v>
      </c>
      <c r="S132" s="27">
        <v>100</v>
      </c>
      <c r="T132" s="52">
        <v>450</v>
      </c>
      <c r="U132" s="57">
        <v>0.7</v>
      </c>
      <c r="V132" s="27">
        <f t="shared" si="40"/>
        <v>6223518.2624949738</v>
      </c>
      <c r="W132" s="41">
        <v>0</v>
      </c>
      <c r="X132" s="41">
        <f t="shared" ref="X132" si="101">X45</f>
        <v>200</v>
      </c>
      <c r="Y132" s="41">
        <v>230</v>
      </c>
      <c r="Z132" s="27">
        <v>0</v>
      </c>
      <c r="AA132" s="41">
        <v>20</v>
      </c>
      <c r="AB132" s="41">
        <v>7500</v>
      </c>
      <c r="AC132" s="41">
        <v>20</v>
      </c>
      <c r="AD132" s="41">
        <v>150</v>
      </c>
    </row>
    <row r="133" spans="1:30" ht="15" x14ac:dyDescent="0.15">
      <c r="A133" s="54" t="s">
        <v>465</v>
      </c>
      <c r="B133" s="13" t="s">
        <v>504</v>
      </c>
      <c r="C133" s="1" t="s">
        <v>222</v>
      </c>
      <c r="G133" s="49">
        <v>500</v>
      </c>
      <c r="H133" s="14"/>
      <c r="I133" s="49"/>
      <c r="J133" s="49">
        <v>500</v>
      </c>
      <c r="K133" s="48">
        <v>5.8999999999999997E-2</v>
      </c>
      <c r="M133" s="21" t="s">
        <v>221</v>
      </c>
      <c r="N133" s="28" t="str">
        <f>"{'shoulei35', '"&amp;A133&amp;"*1',10,270,10,13 }"</f>
        <v>{'shoulei35', '判官侍卫4*1',10,270,10,13 }</v>
      </c>
      <c r="P133" s="41">
        <f t="shared" ref="P133:R133" si="102">P132*1.02</f>
        <v>1210828094.1121573</v>
      </c>
      <c r="Q133" s="41">
        <f t="shared" si="102"/>
        <v>35548.736315371301</v>
      </c>
      <c r="R133" s="41">
        <f t="shared" si="102"/>
        <v>1269597725.5489748</v>
      </c>
      <c r="S133" s="27">
        <v>100</v>
      </c>
      <c r="T133" s="52">
        <v>450</v>
      </c>
      <c r="U133" s="57">
        <v>0.7</v>
      </c>
      <c r="V133" s="27">
        <f t="shared" si="40"/>
        <v>6347988.627744874</v>
      </c>
      <c r="W133" s="41">
        <v>0</v>
      </c>
      <c r="X133" s="41">
        <f t="shared" ref="X133" si="103">X46</f>
        <v>200</v>
      </c>
      <c r="Y133" s="41">
        <v>230</v>
      </c>
      <c r="Z133" s="27">
        <v>0</v>
      </c>
      <c r="AA133" s="41">
        <v>20</v>
      </c>
      <c r="AB133" s="41">
        <v>7500</v>
      </c>
      <c r="AC133" s="41">
        <v>20</v>
      </c>
      <c r="AD133" s="41">
        <v>150</v>
      </c>
    </row>
    <row r="134" spans="1:30" ht="15" x14ac:dyDescent="0.15">
      <c r="A134" s="54" t="s">
        <v>427</v>
      </c>
      <c r="B134" s="13" t="s">
        <v>505</v>
      </c>
      <c r="C134" s="1" t="s">
        <v>222</v>
      </c>
      <c r="G134" s="49">
        <v>500</v>
      </c>
      <c r="H134" s="14"/>
      <c r="I134" s="49"/>
      <c r="J134" s="49">
        <v>500</v>
      </c>
      <c r="K134" s="48">
        <v>5.8999999999999997E-2</v>
      </c>
      <c r="M134" s="21" t="s">
        <v>221</v>
      </c>
      <c r="N134" s="28"/>
      <c r="P134" s="41">
        <f>P133*1.05</f>
        <v>1271369498.8177652</v>
      </c>
      <c r="Q134" s="41">
        <f t="shared" ref="Q134" si="104">Q133*1.05</f>
        <v>37326.173131139869</v>
      </c>
      <c r="R134" s="41">
        <f t="shared" ref="R134" si="105">R133*1.05</f>
        <v>1333077611.8264236</v>
      </c>
      <c r="S134" s="27">
        <v>100</v>
      </c>
      <c r="T134" s="52">
        <v>450</v>
      </c>
      <c r="U134" s="57">
        <v>0.7</v>
      </c>
      <c r="V134" s="27">
        <f t="shared" si="40"/>
        <v>6665388.0591321187</v>
      </c>
      <c r="W134" s="41">
        <v>0</v>
      </c>
      <c r="X134" s="41">
        <f t="shared" ref="X134" si="106">X47</f>
        <v>200</v>
      </c>
      <c r="Y134" s="41">
        <v>230</v>
      </c>
      <c r="Z134" s="27">
        <v>0</v>
      </c>
      <c r="AA134" s="41">
        <v>20</v>
      </c>
      <c r="AB134" s="41">
        <v>10000</v>
      </c>
      <c r="AC134" s="41">
        <v>20</v>
      </c>
      <c r="AD134" s="41">
        <v>150</v>
      </c>
    </row>
    <row r="135" spans="1:30" ht="15" x14ac:dyDescent="0.15">
      <c r="A135" s="54" t="s">
        <v>467</v>
      </c>
      <c r="B135" s="13" t="s">
        <v>506</v>
      </c>
      <c r="C135" s="1" t="s">
        <v>222</v>
      </c>
      <c r="G135" s="49">
        <v>500</v>
      </c>
      <c r="H135" s="14"/>
      <c r="I135" s="49"/>
      <c r="J135" s="49">
        <v>500</v>
      </c>
      <c r="K135" s="48">
        <v>5.8999999999999997E-2</v>
      </c>
      <c r="M135" s="21" t="s">
        <v>221</v>
      </c>
      <c r="N135" s="28" t="str">
        <f>"{'shoulei42', '"&amp;A135&amp;"*1',10,270,10,13 }"</f>
        <v>{'shoulei42', '马面侍卫1*1',10,270,10,13 }</v>
      </c>
      <c r="P135" s="41">
        <f t="shared" ref="P135:R135" si="107">P134*1.02</f>
        <v>1296796888.7941206</v>
      </c>
      <c r="Q135" s="41">
        <f t="shared" si="107"/>
        <v>38072.696593762666</v>
      </c>
      <c r="R135" s="41">
        <f t="shared" si="107"/>
        <v>1359739164.062952</v>
      </c>
      <c r="S135" s="27">
        <v>100</v>
      </c>
      <c r="T135" s="52">
        <v>450</v>
      </c>
      <c r="U135" s="57">
        <v>0.7</v>
      </c>
      <c r="V135" s="27">
        <f t="shared" si="40"/>
        <v>6798695.8203147603</v>
      </c>
      <c r="W135" s="41">
        <v>0</v>
      </c>
      <c r="X135" s="41">
        <f t="shared" ref="X135" si="108">X48</f>
        <v>200</v>
      </c>
      <c r="Y135" s="41">
        <v>240</v>
      </c>
      <c r="Z135" s="27">
        <v>0</v>
      </c>
      <c r="AA135" s="41">
        <v>20</v>
      </c>
      <c r="AB135" s="41">
        <v>7500</v>
      </c>
      <c r="AC135" s="41">
        <v>20</v>
      </c>
      <c r="AD135" s="41">
        <v>150</v>
      </c>
    </row>
    <row r="136" spans="1:30" ht="15" x14ac:dyDescent="0.15">
      <c r="A136" s="54" t="s">
        <v>468</v>
      </c>
      <c r="B136" s="13" t="s">
        <v>507</v>
      </c>
      <c r="C136" s="1" t="s">
        <v>222</v>
      </c>
      <c r="G136" s="49">
        <v>500</v>
      </c>
      <c r="H136" s="14"/>
      <c r="I136" s="49"/>
      <c r="J136" s="49">
        <v>500</v>
      </c>
      <c r="K136" s="48">
        <v>5.8999999999999997E-2</v>
      </c>
      <c r="M136" s="21" t="s">
        <v>221</v>
      </c>
      <c r="N136" s="28" t="str">
        <f>"{'shoulei43', '"&amp;A136&amp;"*1',10,270,10,13 }"</f>
        <v>{'shoulei43', '马面侍卫2*1',10,270,10,13 }</v>
      </c>
      <c r="P136" s="41">
        <f t="shared" ref="P136:R136" si="109">P135*1.02</f>
        <v>1322732826.570003</v>
      </c>
      <c r="Q136" s="41">
        <f t="shared" si="109"/>
        <v>38834.150525637917</v>
      </c>
      <c r="R136" s="41">
        <f t="shared" si="109"/>
        <v>1386933947.3442111</v>
      </c>
      <c r="S136" s="27">
        <v>100</v>
      </c>
      <c r="T136" s="52">
        <v>450</v>
      </c>
      <c r="U136" s="57">
        <v>0.7</v>
      </c>
      <c r="V136" s="27">
        <f t="shared" si="40"/>
        <v>6934669.7367210556</v>
      </c>
      <c r="W136" s="41">
        <v>0</v>
      </c>
      <c r="X136" s="41">
        <f t="shared" ref="X136" si="110">X49</f>
        <v>200</v>
      </c>
      <c r="Y136" s="41">
        <v>240</v>
      </c>
      <c r="Z136" s="27">
        <v>0</v>
      </c>
      <c r="AA136" s="41">
        <v>20</v>
      </c>
      <c r="AB136" s="41">
        <v>7500</v>
      </c>
      <c r="AC136" s="41">
        <v>20</v>
      </c>
      <c r="AD136" s="41">
        <v>150</v>
      </c>
    </row>
    <row r="137" spans="1:30" ht="15" x14ac:dyDescent="0.15">
      <c r="A137" s="54" t="s">
        <v>469</v>
      </c>
      <c r="B137" s="13" t="s">
        <v>508</v>
      </c>
      <c r="C137" s="1" t="s">
        <v>222</v>
      </c>
      <c r="G137" s="49">
        <v>500</v>
      </c>
      <c r="H137" s="14"/>
      <c r="I137" s="49"/>
      <c r="J137" s="49">
        <v>500</v>
      </c>
      <c r="K137" s="48">
        <v>5.8999999999999997E-2</v>
      </c>
      <c r="M137" s="21" t="s">
        <v>221</v>
      </c>
      <c r="N137" s="28" t="str">
        <f>"{'shoulei44', '"&amp;A137&amp;"*1',10,270,10,13 }"</f>
        <v>{'shoulei44', '马面侍卫3*1',10,270,10,13 }</v>
      </c>
      <c r="P137" s="41">
        <f t="shared" ref="P137:R137" si="111">P136*1.02</f>
        <v>1349187483.101403</v>
      </c>
      <c r="Q137" s="41">
        <f t="shared" si="111"/>
        <v>39610.833536150676</v>
      </c>
      <c r="R137" s="41">
        <f t="shared" si="111"/>
        <v>1414672626.2910953</v>
      </c>
      <c r="S137" s="27">
        <v>100</v>
      </c>
      <c r="T137" s="52">
        <v>450</v>
      </c>
      <c r="U137" s="57">
        <v>0.7</v>
      </c>
      <c r="V137" s="27">
        <f t="shared" ref="V137:V181" si="112">R137*0.005</f>
        <v>7073363.1314554764</v>
      </c>
      <c r="W137" s="41">
        <v>0</v>
      </c>
      <c r="X137" s="41">
        <f t="shared" ref="X137" si="113">X50</f>
        <v>200</v>
      </c>
      <c r="Y137" s="41">
        <v>240</v>
      </c>
      <c r="Z137" s="27">
        <v>0</v>
      </c>
      <c r="AA137" s="41">
        <v>20</v>
      </c>
      <c r="AB137" s="41">
        <v>7500</v>
      </c>
      <c r="AC137" s="41">
        <v>20</v>
      </c>
      <c r="AD137" s="41">
        <v>150</v>
      </c>
    </row>
    <row r="138" spans="1:30" ht="15" x14ac:dyDescent="0.15">
      <c r="A138" s="54" t="s">
        <v>470</v>
      </c>
      <c r="B138" s="13" t="s">
        <v>509</v>
      </c>
      <c r="C138" s="1" t="s">
        <v>222</v>
      </c>
      <c r="G138" s="49">
        <v>500</v>
      </c>
      <c r="H138" s="14"/>
      <c r="I138" s="49"/>
      <c r="J138" s="49">
        <v>500</v>
      </c>
      <c r="K138" s="48">
        <v>5.8999999999999997E-2</v>
      </c>
      <c r="M138" s="21" t="s">
        <v>221</v>
      </c>
      <c r="N138" s="28" t="str">
        <f>"{'shoulei45', '"&amp;A138&amp;"*1',10,270,10,13 }"</f>
        <v>{'shoulei45', '马面侍卫4*1',10,270,10,13 }</v>
      </c>
      <c r="P138" s="41">
        <f t="shared" ref="P138:R138" si="114">P137*1.02</f>
        <v>1376171232.7634311</v>
      </c>
      <c r="Q138" s="41">
        <f t="shared" si="114"/>
        <v>40403.05020687369</v>
      </c>
      <c r="R138" s="41">
        <f t="shared" si="114"/>
        <v>1442966078.8169172</v>
      </c>
      <c r="S138" s="27">
        <v>100</v>
      </c>
      <c r="T138" s="52">
        <v>450</v>
      </c>
      <c r="U138" s="57">
        <v>0.7</v>
      </c>
      <c r="V138" s="27">
        <f t="shared" si="112"/>
        <v>7214830.3940845858</v>
      </c>
      <c r="W138" s="41">
        <v>0</v>
      </c>
      <c r="X138" s="41">
        <f t="shared" ref="X138" si="115">X51</f>
        <v>200</v>
      </c>
      <c r="Y138" s="41">
        <v>240</v>
      </c>
      <c r="Z138" s="27">
        <v>0</v>
      </c>
      <c r="AA138" s="41">
        <v>20</v>
      </c>
      <c r="AB138" s="41">
        <v>7500</v>
      </c>
      <c r="AC138" s="41">
        <v>20</v>
      </c>
      <c r="AD138" s="41">
        <v>150</v>
      </c>
    </row>
    <row r="139" spans="1:30" ht="15" x14ac:dyDescent="0.15">
      <c r="A139" s="54" t="s">
        <v>466</v>
      </c>
      <c r="B139" s="13" t="s">
        <v>510</v>
      </c>
      <c r="C139" s="1" t="s">
        <v>222</v>
      </c>
      <c r="G139" s="49">
        <v>500</v>
      </c>
      <c r="H139" s="14"/>
      <c r="I139" s="49"/>
      <c r="J139" s="49">
        <v>500</v>
      </c>
      <c r="K139" s="48">
        <v>5.8999999999999997E-2</v>
      </c>
      <c r="M139" s="21" t="s">
        <v>221</v>
      </c>
      <c r="N139" s="28"/>
      <c r="P139" s="41">
        <f>P138*1.05</f>
        <v>1444979794.4016027</v>
      </c>
      <c r="Q139" s="41">
        <f t="shared" ref="Q139" si="116">Q138*1.05</f>
        <v>42423.202717217377</v>
      </c>
      <c r="R139" s="41">
        <f t="shared" ref="R139" si="117">R138*1.05</f>
        <v>1515114382.7577631</v>
      </c>
      <c r="S139" s="27">
        <v>100</v>
      </c>
      <c r="T139" s="52">
        <v>450</v>
      </c>
      <c r="U139" s="57">
        <v>0.7</v>
      </c>
      <c r="V139" s="27">
        <f t="shared" si="112"/>
        <v>7575571.913788816</v>
      </c>
      <c r="W139" s="41">
        <v>0</v>
      </c>
      <c r="X139" s="41">
        <f t="shared" ref="X139" si="118">X52</f>
        <v>200</v>
      </c>
      <c r="Y139" s="41">
        <v>240</v>
      </c>
      <c r="Z139" s="27">
        <v>0</v>
      </c>
      <c r="AA139" s="41">
        <v>20</v>
      </c>
      <c r="AB139" s="41">
        <v>10000</v>
      </c>
      <c r="AC139" s="41">
        <v>20</v>
      </c>
      <c r="AD139" s="41">
        <v>150</v>
      </c>
    </row>
    <row r="140" spans="1:30" ht="15" x14ac:dyDescent="0.15">
      <c r="A140" s="54" t="s">
        <v>472</v>
      </c>
      <c r="B140" s="13" t="s">
        <v>511</v>
      </c>
      <c r="C140" s="1" t="s">
        <v>222</v>
      </c>
      <c r="G140" s="49">
        <v>500</v>
      </c>
      <c r="H140" s="14"/>
      <c r="I140" s="49"/>
      <c r="J140" s="49">
        <v>500</v>
      </c>
      <c r="K140" s="48">
        <v>5.8999999999999997E-2</v>
      </c>
      <c r="M140" s="21" t="s">
        <v>221</v>
      </c>
      <c r="N140" s="28" t="str">
        <f>"{'shoulei52', '"&amp;A140&amp;"*1',10,270,10,13 }"</f>
        <v>{'shoulei52', '牛头侍卫1*1',10,270,10,13 }</v>
      </c>
      <c r="P140" s="41">
        <f t="shared" ref="P140:R140" si="119">P139*1.02</f>
        <v>1473879390.2896349</v>
      </c>
      <c r="Q140" s="41">
        <f t="shared" si="119"/>
        <v>43271.666771561722</v>
      </c>
      <c r="R140" s="41">
        <f t="shared" si="119"/>
        <v>1545416670.4129183</v>
      </c>
      <c r="S140" s="27">
        <v>100</v>
      </c>
      <c r="T140" s="52">
        <v>450</v>
      </c>
      <c r="U140" s="57">
        <v>0.7</v>
      </c>
      <c r="V140" s="27">
        <f t="shared" si="112"/>
        <v>7727083.3520645918</v>
      </c>
      <c r="W140" s="41">
        <v>0</v>
      </c>
      <c r="X140" s="41">
        <f t="shared" ref="X140" si="120">X53</f>
        <v>200</v>
      </c>
      <c r="Y140" s="41">
        <v>250</v>
      </c>
      <c r="Z140" s="27">
        <v>0</v>
      </c>
      <c r="AA140" s="41">
        <v>20</v>
      </c>
      <c r="AB140" s="41">
        <v>7500</v>
      </c>
      <c r="AC140" s="41">
        <v>20</v>
      </c>
      <c r="AD140" s="41">
        <v>150</v>
      </c>
    </row>
    <row r="141" spans="1:30" ht="15" x14ac:dyDescent="0.15">
      <c r="A141" s="54" t="s">
        <v>473</v>
      </c>
      <c r="B141" s="13" t="s">
        <v>512</v>
      </c>
      <c r="C141" s="1" t="s">
        <v>222</v>
      </c>
      <c r="G141" s="49">
        <v>500</v>
      </c>
      <c r="H141" s="14"/>
      <c r="I141" s="49"/>
      <c r="J141" s="49">
        <v>500</v>
      </c>
      <c r="K141" s="48">
        <v>5.8999999999999997E-2</v>
      </c>
      <c r="M141" s="21" t="s">
        <v>221</v>
      </c>
      <c r="N141" s="28" t="str">
        <f>"{'shoulei53', '"&amp;A141&amp;"*1',10,270,10,13 }"</f>
        <v>{'shoulei53', '牛头侍卫2*1',10,270,10,13 }</v>
      </c>
      <c r="P141" s="41">
        <f t="shared" ref="P141:R141" si="121">P140*1.02</f>
        <v>1503356978.0954278</v>
      </c>
      <c r="Q141" s="41">
        <f t="shared" si="121"/>
        <v>44137.100106992955</v>
      </c>
      <c r="R141" s="41">
        <f t="shared" si="121"/>
        <v>1576325003.8211768</v>
      </c>
      <c r="S141" s="27">
        <v>100</v>
      </c>
      <c r="T141" s="52">
        <v>450</v>
      </c>
      <c r="U141" s="57">
        <v>0.7</v>
      </c>
      <c r="V141" s="27">
        <f t="shared" si="112"/>
        <v>7881625.0191058842</v>
      </c>
      <c r="W141" s="41">
        <v>0</v>
      </c>
      <c r="X141" s="41">
        <f t="shared" ref="X141" si="122">X54</f>
        <v>200</v>
      </c>
      <c r="Y141" s="41">
        <v>250</v>
      </c>
      <c r="Z141" s="27">
        <v>0</v>
      </c>
      <c r="AA141" s="41">
        <v>20</v>
      </c>
      <c r="AB141" s="41">
        <v>7500</v>
      </c>
      <c r="AC141" s="41">
        <v>20</v>
      </c>
      <c r="AD141" s="41">
        <v>150</v>
      </c>
    </row>
    <row r="142" spans="1:30" ht="15" x14ac:dyDescent="0.15">
      <c r="A142" s="54" t="s">
        <v>474</v>
      </c>
      <c r="B142" s="13" t="s">
        <v>513</v>
      </c>
      <c r="C142" s="1" t="s">
        <v>222</v>
      </c>
      <c r="G142" s="49">
        <v>500</v>
      </c>
      <c r="H142" s="14"/>
      <c r="I142" s="49"/>
      <c r="J142" s="49">
        <v>500</v>
      </c>
      <c r="K142" s="48">
        <v>5.8999999999999997E-2</v>
      </c>
      <c r="M142" s="21" t="s">
        <v>221</v>
      </c>
      <c r="N142" s="28" t="str">
        <f>"{'shoulei54', '"&amp;A142&amp;"*1',10,270,10,13 }"</f>
        <v>{'shoulei54', '牛头侍卫3*1',10,270,10,13 }</v>
      </c>
      <c r="P142" s="41">
        <f t="shared" ref="P142:R142" si="123">P141*1.02</f>
        <v>1533424117.6573362</v>
      </c>
      <c r="Q142" s="41">
        <f t="shared" si="123"/>
        <v>45019.842109132813</v>
      </c>
      <c r="R142" s="41">
        <f t="shared" si="123"/>
        <v>1607851503.8976004</v>
      </c>
      <c r="S142" s="27">
        <v>100</v>
      </c>
      <c r="T142" s="52">
        <v>450</v>
      </c>
      <c r="U142" s="57">
        <v>0.7</v>
      </c>
      <c r="V142" s="27">
        <f t="shared" si="112"/>
        <v>8039257.5194880022</v>
      </c>
      <c r="W142" s="41">
        <v>0</v>
      </c>
      <c r="X142" s="41">
        <f t="shared" ref="X142" si="124">X55</f>
        <v>200</v>
      </c>
      <c r="Y142" s="41">
        <v>250</v>
      </c>
      <c r="Z142" s="27">
        <v>0</v>
      </c>
      <c r="AA142" s="41">
        <v>20</v>
      </c>
      <c r="AB142" s="41">
        <v>7500</v>
      </c>
      <c r="AC142" s="41">
        <v>20</v>
      </c>
      <c r="AD142" s="41">
        <v>150</v>
      </c>
    </row>
    <row r="143" spans="1:30" ht="15" x14ac:dyDescent="0.15">
      <c r="A143" s="54" t="s">
        <v>475</v>
      </c>
      <c r="B143" s="13" t="s">
        <v>514</v>
      </c>
      <c r="C143" s="1" t="s">
        <v>222</v>
      </c>
      <c r="G143" s="49">
        <v>500</v>
      </c>
      <c r="H143" s="14"/>
      <c r="I143" s="49"/>
      <c r="J143" s="49">
        <v>500</v>
      </c>
      <c r="K143" s="48">
        <v>5.8999999999999997E-2</v>
      </c>
      <c r="M143" s="21" t="s">
        <v>221</v>
      </c>
      <c r="N143" s="28" t="str">
        <f>"{'shoulei55', '"&amp;A143&amp;"*1',10,270,10,13 }"</f>
        <v>{'shoulei55', '牛头侍卫4*1',10,270,10,13 }</v>
      </c>
      <c r="P143" s="41">
        <f t="shared" ref="P143:R143" si="125">P142*1.02</f>
        <v>1564092600.010483</v>
      </c>
      <c r="Q143" s="41">
        <f t="shared" si="125"/>
        <v>45920.23895131547</v>
      </c>
      <c r="R143" s="41">
        <f t="shared" si="125"/>
        <v>1640008533.9755526</v>
      </c>
      <c r="S143" s="27">
        <v>100</v>
      </c>
      <c r="T143" s="52">
        <v>450</v>
      </c>
      <c r="U143" s="57">
        <v>0.7</v>
      </c>
      <c r="V143" s="27">
        <f t="shared" si="112"/>
        <v>8200042.6698777629</v>
      </c>
      <c r="W143" s="41">
        <v>0</v>
      </c>
      <c r="X143" s="41">
        <f t="shared" ref="X143" si="126">X56</f>
        <v>200</v>
      </c>
      <c r="Y143" s="41">
        <v>250</v>
      </c>
      <c r="Z143" s="27">
        <v>0</v>
      </c>
      <c r="AA143" s="41">
        <v>20</v>
      </c>
      <c r="AB143" s="41">
        <v>7500</v>
      </c>
      <c r="AC143" s="41">
        <v>20</v>
      </c>
      <c r="AD143" s="41">
        <v>150</v>
      </c>
    </row>
    <row r="144" spans="1:30" ht="15" x14ac:dyDescent="0.15">
      <c r="A144" s="54" t="s">
        <v>471</v>
      </c>
      <c r="B144" s="13" t="s">
        <v>515</v>
      </c>
      <c r="C144" s="1" t="s">
        <v>222</v>
      </c>
      <c r="G144" s="49">
        <v>500</v>
      </c>
      <c r="H144" s="14"/>
      <c r="I144" s="49"/>
      <c r="J144" s="49">
        <v>500</v>
      </c>
      <c r="K144" s="48">
        <v>5.8999999999999997E-2</v>
      </c>
      <c r="M144" s="21" t="s">
        <v>221</v>
      </c>
      <c r="N144" s="28"/>
      <c r="P144" s="41">
        <f>P143*1.05</f>
        <v>1642297230.0110073</v>
      </c>
      <c r="Q144" s="41">
        <f t="shared" ref="Q144" si="127">Q143*1.05</f>
        <v>48216.250898881248</v>
      </c>
      <c r="R144" s="41">
        <f t="shared" ref="R144" si="128">R143*1.05</f>
        <v>1722008960.6743302</v>
      </c>
      <c r="S144" s="27">
        <v>100</v>
      </c>
      <c r="T144" s="52">
        <v>450</v>
      </c>
      <c r="U144" s="57">
        <v>0.7</v>
      </c>
      <c r="V144" s="27">
        <f t="shared" si="112"/>
        <v>8610044.8033716511</v>
      </c>
      <c r="W144" s="41">
        <v>0</v>
      </c>
      <c r="X144" s="41">
        <f t="shared" ref="X144" si="129">X57</f>
        <v>200</v>
      </c>
      <c r="Y144" s="41">
        <v>250</v>
      </c>
      <c r="Z144" s="27">
        <v>0</v>
      </c>
      <c r="AA144" s="41">
        <v>20</v>
      </c>
      <c r="AB144" s="41">
        <v>10000</v>
      </c>
      <c r="AC144" s="41">
        <v>20</v>
      </c>
      <c r="AD144" s="41">
        <v>150</v>
      </c>
    </row>
    <row r="145" spans="1:30" ht="15" x14ac:dyDescent="0.15">
      <c r="A145" s="54" t="s">
        <v>477</v>
      </c>
      <c r="B145" s="13" t="s">
        <v>516</v>
      </c>
      <c r="C145" s="1" t="s">
        <v>222</v>
      </c>
      <c r="G145" s="49">
        <v>500</v>
      </c>
      <c r="H145" s="14"/>
      <c r="I145" s="49"/>
      <c r="J145" s="49">
        <v>500</v>
      </c>
      <c r="K145" s="48">
        <v>5.8999999999999997E-2</v>
      </c>
      <c r="M145" s="21" t="s">
        <v>221</v>
      </c>
      <c r="N145" s="28" t="str">
        <f>"{'shoulei62', '"&amp;A145&amp;"*1',10,270,10,13 }"</f>
        <v>{'shoulei62', '夜叉侍卫1*1',10,270,10,13 }</v>
      </c>
      <c r="P145" s="41">
        <f t="shared" ref="P145:R145" si="130">P144*1.02</f>
        <v>1675143174.6112275</v>
      </c>
      <c r="Q145" s="41">
        <f t="shared" si="130"/>
        <v>49180.57591685887</v>
      </c>
      <c r="R145" s="41">
        <f t="shared" si="130"/>
        <v>1756449139.8878169</v>
      </c>
      <c r="S145" s="27">
        <v>100</v>
      </c>
      <c r="T145" s="52">
        <v>450</v>
      </c>
      <c r="U145" s="57">
        <v>0.7</v>
      </c>
      <c r="V145" s="27">
        <f t="shared" si="112"/>
        <v>8782245.6994390842</v>
      </c>
      <c r="W145" s="41">
        <v>0</v>
      </c>
      <c r="X145" s="41">
        <f t="shared" ref="X145" si="131">X58</f>
        <v>200</v>
      </c>
      <c r="Y145" s="41">
        <v>260</v>
      </c>
      <c r="Z145" s="27">
        <v>0</v>
      </c>
      <c r="AA145" s="41">
        <v>20</v>
      </c>
      <c r="AB145" s="41">
        <v>7500</v>
      </c>
      <c r="AC145" s="41">
        <v>20</v>
      </c>
      <c r="AD145" s="41">
        <v>150</v>
      </c>
    </row>
    <row r="146" spans="1:30" ht="15" x14ac:dyDescent="0.15">
      <c r="A146" s="54" t="s">
        <v>478</v>
      </c>
      <c r="B146" s="13" t="s">
        <v>517</v>
      </c>
      <c r="C146" s="1" t="s">
        <v>222</v>
      </c>
      <c r="G146" s="49">
        <v>500</v>
      </c>
      <c r="H146" s="14"/>
      <c r="I146" s="49"/>
      <c r="J146" s="49">
        <v>500</v>
      </c>
      <c r="K146" s="48">
        <v>5.8999999999999997E-2</v>
      </c>
      <c r="M146" s="21" t="s">
        <v>221</v>
      </c>
      <c r="N146" s="28" t="str">
        <f>"{'shoulei63', '"&amp;A146&amp;"*1',10,270,10,13 }"</f>
        <v>{'shoulei63', '夜叉侍卫2*1',10,270,10,13 }</v>
      </c>
      <c r="P146" s="41">
        <f t="shared" ref="P146:R146" si="132">P145*1.02</f>
        <v>1708646038.1034522</v>
      </c>
      <c r="Q146" s="41">
        <f t="shared" si="132"/>
        <v>50164.187435196051</v>
      </c>
      <c r="R146" s="41">
        <f t="shared" si="132"/>
        <v>1791578122.6855733</v>
      </c>
      <c r="S146" s="27">
        <v>100</v>
      </c>
      <c r="T146" s="52">
        <v>450</v>
      </c>
      <c r="U146" s="57">
        <v>0.7</v>
      </c>
      <c r="V146" s="27">
        <f t="shared" si="112"/>
        <v>8957890.6134278663</v>
      </c>
      <c r="W146" s="41">
        <v>0</v>
      </c>
      <c r="X146" s="41">
        <f t="shared" ref="X146" si="133">X59</f>
        <v>200</v>
      </c>
      <c r="Y146" s="41">
        <v>260</v>
      </c>
      <c r="Z146" s="27">
        <v>0</v>
      </c>
      <c r="AA146" s="41">
        <v>20</v>
      </c>
      <c r="AB146" s="41">
        <v>7500</v>
      </c>
      <c r="AC146" s="41">
        <v>20</v>
      </c>
      <c r="AD146" s="41">
        <v>150</v>
      </c>
    </row>
    <row r="147" spans="1:30" ht="15" x14ac:dyDescent="0.15">
      <c r="A147" s="54" t="s">
        <v>479</v>
      </c>
      <c r="B147" s="13" t="s">
        <v>518</v>
      </c>
      <c r="C147" s="1" t="s">
        <v>222</v>
      </c>
      <c r="G147" s="49">
        <v>500</v>
      </c>
      <c r="H147" s="14"/>
      <c r="I147" s="49"/>
      <c r="J147" s="49">
        <v>500</v>
      </c>
      <c r="K147" s="48">
        <v>5.8999999999999997E-2</v>
      </c>
      <c r="M147" s="21" t="s">
        <v>221</v>
      </c>
      <c r="N147" s="28" t="str">
        <f>"{'shoulei64', '"&amp;A147&amp;"*1',10,270,10,13 }"</f>
        <v>{'shoulei64', '夜叉侍卫3*1',10,270,10,13 }</v>
      </c>
      <c r="P147" s="41">
        <f t="shared" ref="P147:R147" si="134">P146*1.02</f>
        <v>1742818958.8655212</v>
      </c>
      <c r="Q147" s="41">
        <f t="shared" si="134"/>
        <v>51167.471183899972</v>
      </c>
      <c r="R147" s="41">
        <f t="shared" si="134"/>
        <v>1827409685.1392848</v>
      </c>
      <c r="S147" s="27">
        <v>100</v>
      </c>
      <c r="T147" s="52">
        <v>450</v>
      </c>
      <c r="U147" s="57">
        <v>0.7</v>
      </c>
      <c r="V147" s="27">
        <f t="shared" si="112"/>
        <v>9137048.4256964251</v>
      </c>
      <c r="W147" s="41">
        <v>0</v>
      </c>
      <c r="X147" s="41">
        <f t="shared" ref="X147" si="135">X60</f>
        <v>200</v>
      </c>
      <c r="Y147" s="41">
        <v>260</v>
      </c>
      <c r="Z147" s="27">
        <v>0</v>
      </c>
      <c r="AA147" s="41">
        <v>20</v>
      </c>
      <c r="AB147" s="41">
        <v>7500</v>
      </c>
      <c r="AC147" s="41">
        <v>20</v>
      </c>
      <c r="AD147" s="41">
        <v>150</v>
      </c>
    </row>
    <row r="148" spans="1:30" ht="15" x14ac:dyDescent="0.15">
      <c r="A148" s="54" t="s">
        <v>480</v>
      </c>
      <c r="B148" s="13" t="s">
        <v>519</v>
      </c>
      <c r="C148" s="1" t="s">
        <v>222</v>
      </c>
      <c r="G148" s="49">
        <v>500</v>
      </c>
      <c r="H148" s="14"/>
      <c r="I148" s="49"/>
      <c r="J148" s="49">
        <v>500</v>
      </c>
      <c r="K148" s="48">
        <v>5.8999999999999997E-2</v>
      </c>
      <c r="M148" s="21" t="s">
        <v>221</v>
      </c>
      <c r="N148" s="28" t="str">
        <f>"{'shoulei65', '"&amp;A148&amp;"*1',10,270,10,13 }"</f>
        <v>{'shoulei65', '夜叉侍卫4*1',10,270,10,13 }</v>
      </c>
      <c r="P148" s="41">
        <f t="shared" ref="P148:R148" si="136">P147*1.02</f>
        <v>1777675338.0428317</v>
      </c>
      <c r="Q148" s="41">
        <f t="shared" si="136"/>
        <v>52190.820607577974</v>
      </c>
      <c r="R148" s="41">
        <f t="shared" si="136"/>
        <v>1863957878.8420706</v>
      </c>
      <c r="S148" s="27">
        <v>100</v>
      </c>
      <c r="T148" s="52">
        <v>450</v>
      </c>
      <c r="U148" s="57">
        <v>0.7</v>
      </c>
      <c r="V148" s="27">
        <f t="shared" si="112"/>
        <v>9319789.3942103535</v>
      </c>
      <c r="W148" s="41">
        <v>0</v>
      </c>
      <c r="X148" s="41">
        <f t="shared" ref="X148" si="137">X61</f>
        <v>200</v>
      </c>
      <c r="Y148" s="41">
        <v>260</v>
      </c>
      <c r="Z148" s="27">
        <v>0</v>
      </c>
      <c r="AA148" s="41">
        <v>20</v>
      </c>
      <c r="AB148" s="41">
        <v>7500</v>
      </c>
      <c r="AC148" s="41">
        <v>20</v>
      </c>
      <c r="AD148" s="41">
        <v>150</v>
      </c>
    </row>
    <row r="149" spans="1:30" ht="15" x14ac:dyDescent="0.15">
      <c r="A149" s="54" t="s">
        <v>476</v>
      </c>
      <c r="B149" s="13" t="s">
        <v>520</v>
      </c>
      <c r="C149" s="1" t="s">
        <v>222</v>
      </c>
      <c r="G149" s="49">
        <v>500</v>
      </c>
      <c r="H149" s="14"/>
      <c r="I149" s="49"/>
      <c r="J149" s="49">
        <v>500</v>
      </c>
      <c r="K149" s="48">
        <v>5.8999999999999997E-2</v>
      </c>
      <c r="M149" s="21" t="s">
        <v>221</v>
      </c>
      <c r="N149" s="28"/>
      <c r="P149" s="41">
        <f>P148*1.05</f>
        <v>1866559104.9449732</v>
      </c>
      <c r="Q149" s="41">
        <f t="shared" ref="Q149" si="138">Q148*1.05</f>
        <v>54800.361637956878</v>
      </c>
      <c r="R149" s="41">
        <f t="shared" ref="R149" si="139">R148*1.05</f>
        <v>1957155772.7841742</v>
      </c>
      <c r="S149" s="27">
        <v>100</v>
      </c>
      <c r="T149" s="52">
        <v>450</v>
      </c>
      <c r="U149" s="57">
        <v>0.7</v>
      </c>
      <c r="V149" s="27">
        <f t="shared" si="112"/>
        <v>9785778.8639208712</v>
      </c>
      <c r="W149" s="41">
        <v>0</v>
      </c>
      <c r="X149" s="41">
        <f t="shared" ref="X149" si="140">X62</f>
        <v>200</v>
      </c>
      <c r="Y149" s="41">
        <v>260</v>
      </c>
      <c r="Z149" s="27">
        <v>0</v>
      </c>
      <c r="AA149" s="41">
        <v>20</v>
      </c>
      <c r="AB149" s="41">
        <v>10000</v>
      </c>
      <c r="AC149" s="41">
        <v>20</v>
      </c>
      <c r="AD149" s="41">
        <v>150</v>
      </c>
    </row>
    <row r="150" spans="1:30" ht="15" x14ac:dyDescent="0.15">
      <c r="A150" s="54" t="s">
        <v>482</v>
      </c>
      <c r="B150" s="13" t="s">
        <v>521</v>
      </c>
      <c r="C150" s="1" t="s">
        <v>222</v>
      </c>
      <c r="G150" s="49">
        <v>500</v>
      </c>
      <c r="H150" s="14"/>
      <c r="I150" s="49"/>
      <c r="J150" s="49">
        <v>500</v>
      </c>
      <c r="K150" s="48">
        <v>5.8999999999999997E-2</v>
      </c>
      <c r="M150" s="21" t="s">
        <v>221</v>
      </c>
      <c r="N150" s="28" t="str">
        <f>"{'shoulei72', '"&amp;A150&amp;"*1',10,270,10,13 }"</f>
        <v>{'shoulei72', '辟邪侍卫1*1',10,270,10,13 }</v>
      </c>
      <c r="P150" s="41">
        <f t="shared" ref="P150:R150" si="141">P149*1.02</f>
        <v>1903890287.0438728</v>
      </c>
      <c r="Q150" s="41">
        <f t="shared" si="141"/>
        <v>55896.368870716018</v>
      </c>
      <c r="R150" s="41">
        <f t="shared" si="141"/>
        <v>1996298888.2398577</v>
      </c>
      <c r="S150" s="27">
        <v>100</v>
      </c>
      <c r="T150" s="52">
        <v>450</v>
      </c>
      <c r="U150" s="57">
        <v>0.7</v>
      </c>
      <c r="V150" s="27">
        <f t="shared" si="112"/>
        <v>9981494.4411992878</v>
      </c>
      <c r="W150" s="41">
        <v>0</v>
      </c>
      <c r="X150" s="41">
        <f t="shared" ref="X150" si="142">X63</f>
        <v>210</v>
      </c>
      <c r="Y150" s="41">
        <v>270</v>
      </c>
      <c r="Z150" s="27">
        <v>0</v>
      </c>
      <c r="AA150" s="41">
        <v>20</v>
      </c>
      <c r="AB150" s="41">
        <v>7500</v>
      </c>
      <c r="AC150" s="41">
        <v>20</v>
      </c>
      <c r="AD150" s="41">
        <v>150</v>
      </c>
    </row>
    <row r="151" spans="1:30" ht="15" x14ac:dyDescent="0.15">
      <c r="A151" s="54" t="s">
        <v>483</v>
      </c>
      <c r="B151" s="13" t="s">
        <v>522</v>
      </c>
      <c r="C151" s="1" t="s">
        <v>222</v>
      </c>
      <c r="G151" s="49">
        <v>500</v>
      </c>
      <c r="H151" s="14"/>
      <c r="I151" s="49"/>
      <c r="J151" s="49">
        <v>500</v>
      </c>
      <c r="K151" s="48">
        <v>5.8999999999999997E-2</v>
      </c>
      <c r="M151" s="21" t="s">
        <v>221</v>
      </c>
      <c r="N151" s="28" t="str">
        <f>"{'shoulei73', '"&amp;A151&amp;"*1',10,270,10,13 }"</f>
        <v>{'shoulei73', '辟邪侍卫2*1',10,270,10,13 }</v>
      </c>
      <c r="P151" s="41">
        <f t="shared" ref="P151:R151" si="143">P150*1.02</f>
        <v>1941968092.7847502</v>
      </c>
      <c r="Q151" s="41">
        <f t="shared" si="143"/>
        <v>57014.29624813034</v>
      </c>
      <c r="R151" s="41">
        <f t="shared" si="143"/>
        <v>2036224866.0046549</v>
      </c>
      <c r="S151" s="27">
        <v>100</v>
      </c>
      <c r="T151" s="52">
        <v>450</v>
      </c>
      <c r="U151" s="57">
        <v>0.7</v>
      </c>
      <c r="V151" s="27">
        <f t="shared" si="112"/>
        <v>10181124.330023274</v>
      </c>
      <c r="W151" s="41">
        <v>0</v>
      </c>
      <c r="X151" s="41">
        <f t="shared" ref="X151" si="144">X64</f>
        <v>220</v>
      </c>
      <c r="Y151" s="41">
        <v>270</v>
      </c>
      <c r="Z151" s="27">
        <v>0</v>
      </c>
      <c r="AA151" s="41">
        <v>20</v>
      </c>
      <c r="AB151" s="41">
        <v>7500</v>
      </c>
      <c r="AC151" s="41">
        <v>20</v>
      </c>
      <c r="AD151" s="41">
        <v>150</v>
      </c>
    </row>
    <row r="152" spans="1:30" ht="15" x14ac:dyDescent="0.15">
      <c r="A152" s="54" t="s">
        <v>484</v>
      </c>
      <c r="B152" s="13" t="s">
        <v>523</v>
      </c>
      <c r="C152" s="1" t="s">
        <v>222</v>
      </c>
      <c r="G152" s="49">
        <v>500</v>
      </c>
      <c r="H152" s="14"/>
      <c r="I152" s="49"/>
      <c r="J152" s="49">
        <v>500</v>
      </c>
      <c r="K152" s="48">
        <v>5.8999999999999997E-2</v>
      </c>
      <c r="M152" s="21" t="s">
        <v>221</v>
      </c>
      <c r="N152" s="28" t="str">
        <f>"{'shoulei74', '"&amp;A152&amp;"*1',10,270,10,13 }"</f>
        <v>{'shoulei74', '辟邪侍卫3*1',10,270,10,13 }</v>
      </c>
      <c r="P152" s="41">
        <f t="shared" ref="P152:R152" si="145">P151*1.02</f>
        <v>1980807454.6404452</v>
      </c>
      <c r="Q152" s="41">
        <f t="shared" si="145"/>
        <v>58154.582173092946</v>
      </c>
      <c r="R152" s="41">
        <f t="shared" si="145"/>
        <v>2076949363.324748</v>
      </c>
      <c r="S152" s="27">
        <v>100</v>
      </c>
      <c r="T152" s="52">
        <v>450</v>
      </c>
      <c r="U152" s="57">
        <v>0.7</v>
      </c>
      <c r="V152" s="27">
        <f t="shared" si="112"/>
        <v>10384746.81662374</v>
      </c>
      <c r="W152" s="41">
        <v>0</v>
      </c>
      <c r="X152" s="41">
        <f t="shared" ref="X152" si="146">X65</f>
        <v>230</v>
      </c>
      <c r="Y152" s="41">
        <v>270</v>
      </c>
      <c r="Z152" s="27">
        <v>0</v>
      </c>
      <c r="AA152" s="41">
        <v>20</v>
      </c>
      <c r="AB152" s="41">
        <v>7500</v>
      </c>
      <c r="AC152" s="41">
        <v>20</v>
      </c>
      <c r="AD152" s="41">
        <v>150</v>
      </c>
    </row>
    <row r="153" spans="1:30" ht="15" x14ac:dyDescent="0.15">
      <c r="A153" s="54" t="s">
        <v>485</v>
      </c>
      <c r="B153" s="13" t="s">
        <v>524</v>
      </c>
      <c r="C153" s="1" t="s">
        <v>222</v>
      </c>
      <c r="G153" s="49">
        <v>500</v>
      </c>
      <c r="H153" s="14"/>
      <c r="I153" s="49"/>
      <c r="J153" s="49">
        <v>500</v>
      </c>
      <c r="K153" s="48">
        <v>5.8999999999999997E-2</v>
      </c>
      <c r="M153" s="21" t="s">
        <v>221</v>
      </c>
      <c r="N153" s="28" t="str">
        <f>"{'shoulei75', '"&amp;A153&amp;"*1',10,270,10,13 }"</f>
        <v>{'shoulei75', '辟邪侍卫4*1',10,270,10,13 }</v>
      </c>
      <c r="P153" s="41">
        <f t="shared" ref="P153:R153" si="147">P152*1.02</f>
        <v>2020423603.7332542</v>
      </c>
      <c r="Q153" s="41">
        <f t="shared" si="147"/>
        <v>59317.673816554809</v>
      </c>
      <c r="R153" s="41">
        <f t="shared" si="147"/>
        <v>2118488350.591243</v>
      </c>
      <c r="S153" s="27">
        <v>100</v>
      </c>
      <c r="T153" s="52">
        <v>450</v>
      </c>
      <c r="U153" s="57">
        <v>0.7</v>
      </c>
      <c r="V153" s="27">
        <f t="shared" si="112"/>
        <v>10592441.752956215</v>
      </c>
      <c r="W153" s="41">
        <v>0</v>
      </c>
      <c r="X153" s="41">
        <f t="shared" ref="X153" si="148">X66</f>
        <v>240</v>
      </c>
      <c r="Y153" s="41">
        <v>270</v>
      </c>
      <c r="Z153" s="27">
        <v>0</v>
      </c>
      <c r="AA153" s="41">
        <v>20</v>
      </c>
      <c r="AB153" s="41">
        <v>7500</v>
      </c>
      <c r="AC153" s="41">
        <v>20</v>
      </c>
      <c r="AD153" s="41">
        <v>150</v>
      </c>
    </row>
    <row r="154" spans="1:30" ht="15" x14ac:dyDescent="0.15">
      <c r="A154" s="54" t="s">
        <v>481</v>
      </c>
      <c r="B154" s="13" t="s">
        <v>525</v>
      </c>
      <c r="C154" s="1" t="s">
        <v>222</v>
      </c>
      <c r="G154" s="49">
        <v>500</v>
      </c>
      <c r="H154" s="14"/>
      <c r="I154" s="49"/>
      <c r="J154" s="49">
        <v>500</v>
      </c>
      <c r="K154" s="48">
        <v>5.8999999999999997E-2</v>
      </c>
      <c r="M154" s="21" t="s">
        <v>221</v>
      </c>
      <c r="N154" s="28"/>
      <c r="P154" s="41">
        <f>P153*1.05</f>
        <v>2121444783.9199171</v>
      </c>
      <c r="Q154" s="41">
        <f t="shared" ref="Q154" si="149">Q153*1.05</f>
        <v>62283.557507382553</v>
      </c>
      <c r="R154" s="41">
        <f t="shared" ref="R154" si="150">R153*1.05</f>
        <v>2224412768.1208053</v>
      </c>
      <c r="S154" s="27">
        <v>100</v>
      </c>
      <c r="T154" s="52">
        <v>450</v>
      </c>
      <c r="U154" s="57">
        <v>0.7</v>
      </c>
      <c r="V154" s="27">
        <f t="shared" si="112"/>
        <v>11122063.840604026</v>
      </c>
      <c r="W154" s="41">
        <v>0</v>
      </c>
      <c r="X154" s="41">
        <f t="shared" ref="X154" si="151">X67</f>
        <v>250</v>
      </c>
      <c r="Y154" s="41">
        <v>270</v>
      </c>
      <c r="Z154" s="27">
        <v>0</v>
      </c>
      <c r="AA154" s="41">
        <v>20</v>
      </c>
      <c r="AB154" s="41">
        <v>10000</v>
      </c>
      <c r="AC154" s="41">
        <v>20</v>
      </c>
      <c r="AD154" s="41">
        <v>150</v>
      </c>
    </row>
    <row r="155" spans="1:30" ht="15" x14ac:dyDescent="0.15">
      <c r="A155" s="54" t="s">
        <v>487</v>
      </c>
      <c r="B155" s="13" t="s">
        <v>526</v>
      </c>
      <c r="C155" s="1" t="s">
        <v>222</v>
      </c>
      <c r="G155" s="49">
        <v>500</v>
      </c>
      <c r="H155" s="14"/>
      <c r="I155" s="49"/>
      <c r="J155" s="49">
        <v>500</v>
      </c>
      <c r="K155" s="48">
        <v>5.8999999999999997E-2</v>
      </c>
      <c r="M155" s="21" t="s">
        <v>221</v>
      </c>
      <c r="N155" s="28" t="str">
        <f>"{'shoulei82', '"&amp;A155&amp;"*1',10,270,10,13 }"</f>
        <v>{'shoulei82', '狐仙侍卫1*1',10,270,10,13 }</v>
      </c>
      <c r="P155" s="41">
        <f t="shared" ref="P155:R155" si="152">P154*1.02</f>
        <v>2163873679.5983157</v>
      </c>
      <c r="Q155" s="41">
        <f t="shared" si="152"/>
        <v>63529.228657530206</v>
      </c>
      <c r="R155" s="41">
        <f t="shared" si="152"/>
        <v>2268901023.4832215</v>
      </c>
      <c r="S155" s="27">
        <v>100</v>
      </c>
      <c r="T155" s="52">
        <v>450</v>
      </c>
      <c r="U155" s="57">
        <v>0.7</v>
      </c>
      <c r="V155" s="27">
        <f t="shared" si="112"/>
        <v>11344505.117416108</v>
      </c>
      <c r="W155" s="41">
        <v>0</v>
      </c>
      <c r="X155" s="41">
        <f t="shared" ref="X155" si="153">X68</f>
        <v>260</v>
      </c>
      <c r="Y155" s="41">
        <v>280</v>
      </c>
      <c r="Z155" s="27">
        <v>0</v>
      </c>
      <c r="AA155" s="41">
        <v>20</v>
      </c>
      <c r="AB155" s="41">
        <v>7500</v>
      </c>
      <c r="AC155" s="41">
        <v>20</v>
      </c>
      <c r="AD155" s="41">
        <v>150</v>
      </c>
    </row>
    <row r="156" spans="1:30" ht="15" x14ac:dyDescent="0.15">
      <c r="A156" s="54" t="s">
        <v>488</v>
      </c>
      <c r="B156" s="13" t="s">
        <v>527</v>
      </c>
      <c r="C156" s="1" t="s">
        <v>222</v>
      </c>
      <c r="G156" s="49">
        <v>500</v>
      </c>
      <c r="H156" s="14"/>
      <c r="I156" s="49"/>
      <c r="J156" s="49">
        <v>500</v>
      </c>
      <c r="K156" s="48">
        <v>5.8999999999999997E-2</v>
      </c>
      <c r="M156" s="21" t="s">
        <v>221</v>
      </c>
      <c r="N156" s="28" t="str">
        <f>"{'shoulei83', '"&amp;A156&amp;"*1',10,270,10,13 }"</f>
        <v>{'shoulei83', '狐仙侍卫2*1',10,270,10,13 }</v>
      </c>
      <c r="P156" s="41">
        <f t="shared" ref="P156:R156" si="154">P155*1.02</f>
        <v>2207151153.1902819</v>
      </c>
      <c r="Q156" s="41">
        <f t="shared" si="154"/>
        <v>64799.813230680811</v>
      </c>
      <c r="R156" s="41">
        <f t="shared" si="154"/>
        <v>2314279043.9528861</v>
      </c>
      <c r="S156" s="27">
        <v>100</v>
      </c>
      <c r="T156" s="52">
        <v>450</v>
      </c>
      <c r="U156" s="57">
        <v>0.7</v>
      </c>
      <c r="V156" s="27">
        <f t="shared" si="112"/>
        <v>11571395.21976443</v>
      </c>
      <c r="W156" s="41">
        <v>0</v>
      </c>
      <c r="X156" s="41">
        <f t="shared" ref="X156" si="155">X69</f>
        <v>270</v>
      </c>
      <c r="Y156" s="41">
        <v>280</v>
      </c>
      <c r="Z156" s="27">
        <v>0</v>
      </c>
      <c r="AA156" s="41">
        <v>20</v>
      </c>
      <c r="AB156" s="41">
        <v>7500</v>
      </c>
      <c r="AC156" s="41">
        <v>20</v>
      </c>
      <c r="AD156" s="41">
        <v>150</v>
      </c>
    </row>
    <row r="157" spans="1:30" ht="15" x14ac:dyDescent="0.15">
      <c r="A157" s="54" t="s">
        <v>489</v>
      </c>
      <c r="B157" s="13" t="s">
        <v>528</v>
      </c>
      <c r="C157" s="1" t="s">
        <v>222</v>
      </c>
      <c r="G157" s="49">
        <v>500</v>
      </c>
      <c r="H157" s="14"/>
      <c r="I157" s="49"/>
      <c r="J157" s="49">
        <v>500</v>
      </c>
      <c r="K157" s="48">
        <v>5.8999999999999997E-2</v>
      </c>
      <c r="M157" s="21" t="s">
        <v>221</v>
      </c>
      <c r="N157" s="28" t="str">
        <f>"{'shoulei84', '"&amp;A157&amp;"*1',10,270,10,13 }"</f>
        <v>{'shoulei84', '狐仙侍卫3*1',10,270,10,13 }</v>
      </c>
      <c r="P157" s="41">
        <f t="shared" ref="P157:R157" si="156">P156*1.02</f>
        <v>2251294176.2540874</v>
      </c>
      <c r="Q157" s="41">
        <f t="shared" si="156"/>
        <v>66095.809495294423</v>
      </c>
      <c r="R157" s="41">
        <f t="shared" si="156"/>
        <v>2360564624.831944</v>
      </c>
      <c r="S157" s="27">
        <v>100</v>
      </c>
      <c r="T157" s="52">
        <v>450</v>
      </c>
      <c r="U157" s="57">
        <v>0.7</v>
      </c>
      <c r="V157" s="27">
        <f t="shared" si="112"/>
        <v>11802823.12415972</v>
      </c>
      <c r="W157" s="41">
        <v>0</v>
      </c>
      <c r="X157" s="41">
        <f t="shared" ref="X157" si="157">X70</f>
        <v>280</v>
      </c>
      <c r="Y157" s="41">
        <v>280</v>
      </c>
      <c r="Z157" s="27">
        <v>0</v>
      </c>
      <c r="AA157" s="41">
        <v>20</v>
      </c>
      <c r="AB157" s="41">
        <v>7500</v>
      </c>
      <c r="AC157" s="41">
        <v>20</v>
      </c>
      <c r="AD157" s="41">
        <v>150</v>
      </c>
    </row>
    <row r="158" spans="1:30" ht="15" x14ac:dyDescent="0.15">
      <c r="A158" s="54" t="s">
        <v>490</v>
      </c>
      <c r="B158" s="13" t="s">
        <v>529</v>
      </c>
      <c r="C158" s="1" t="s">
        <v>222</v>
      </c>
      <c r="G158" s="49">
        <v>500</v>
      </c>
      <c r="H158" s="14"/>
      <c r="I158" s="49"/>
      <c r="J158" s="49">
        <v>500</v>
      </c>
      <c r="K158" s="48">
        <v>5.8999999999999997E-2</v>
      </c>
      <c r="M158" s="21" t="s">
        <v>221</v>
      </c>
      <c r="N158" s="28" t="str">
        <f>"{'shoulei85', '"&amp;A158&amp;"*1',10,270,10,13 }"</f>
        <v>{'shoulei85', '狐仙侍卫4*1',10,270,10,13 }</v>
      </c>
      <c r="P158" s="41">
        <f t="shared" ref="P158:R158" si="158">P157*1.02</f>
        <v>2296320059.7791691</v>
      </c>
      <c r="Q158" s="41">
        <f t="shared" si="158"/>
        <v>67417.725685200319</v>
      </c>
      <c r="R158" s="41">
        <f t="shared" si="158"/>
        <v>2407775917.3285828</v>
      </c>
      <c r="S158" s="27">
        <v>100</v>
      </c>
      <c r="T158" s="52">
        <v>450</v>
      </c>
      <c r="U158" s="57">
        <v>0.7</v>
      </c>
      <c r="V158" s="27">
        <f t="shared" si="112"/>
        <v>12038879.586642914</v>
      </c>
      <c r="W158" s="41">
        <v>0</v>
      </c>
      <c r="X158" s="41">
        <f t="shared" ref="X158" si="159">X71</f>
        <v>290</v>
      </c>
      <c r="Y158" s="41">
        <v>280</v>
      </c>
      <c r="Z158" s="27">
        <v>0</v>
      </c>
      <c r="AA158" s="41">
        <v>20</v>
      </c>
      <c r="AB158" s="41">
        <v>7500</v>
      </c>
      <c r="AC158" s="41">
        <v>20</v>
      </c>
      <c r="AD158" s="41">
        <v>150</v>
      </c>
    </row>
    <row r="159" spans="1:30" ht="15" x14ac:dyDescent="0.15">
      <c r="A159" s="54" t="s">
        <v>486</v>
      </c>
      <c r="B159" s="13" t="s">
        <v>530</v>
      </c>
      <c r="C159" s="1" t="s">
        <v>222</v>
      </c>
      <c r="G159" s="49">
        <v>500</v>
      </c>
      <c r="H159" s="14"/>
      <c r="I159" s="49"/>
      <c r="J159" s="49">
        <v>500</v>
      </c>
      <c r="K159" s="48">
        <v>5.8999999999999997E-2</v>
      </c>
      <c r="M159" s="21" t="s">
        <v>221</v>
      </c>
      <c r="N159" s="28"/>
      <c r="P159" s="41">
        <f>P158*1.05</f>
        <v>2411136062.7681274</v>
      </c>
      <c r="Q159" s="41">
        <f t="shared" ref="Q159" si="160">Q158*1.05</f>
        <v>70788.61196946034</v>
      </c>
      <c r="R159" s="41">
        <f t="shared" ref="R159" si="161">R158*1.05</f>
        <v>2528164713.1950121</v>
      </c>
      <c r="S159" s="27">
        <v>100</v>
      </c>
      <c r="T159" s="52">
        <v>450</v>
      </c>
      <c r="U159" s="57">
        <v>0.7</v>
      </c>
      <c r="V159" s="27">
        <f t="shared" si="112"/>
        <v>12640823.565975061</v>
      </c>
      <c r="W159" s="41">
        <v>0</v>
      </c>
      <c r="X159" s="41">
        <f t="shared" ref="X159" si="162">X72</f>
        <v>300</v>
      </c>
      <c r="Y159" s="41">
        <v>280</v>
      </c>
      <c r="Z159" s="27">
        <v>0</v>
      </c>
      <c r="AA159" s="41">
        <v>20</v>
      </c>
      <c r="AB159" s="41">
        <v>10000</v>
      </c>
      <c r="AC159" s="41">
        <v>20</v>
      </c>
      <c r="AD159" s="41">
        <v>150</v>
      </c>
    </row>
    <row r="160" spans="1:30" ht="15" x14ac:dyDescent="0.15">
      <c r="A160" s="54" t="s">
        <v>492</v>
      </c>
      <c r="B160" s="13" t="s">
        <v>531</v>
      </c>
      <c r="C160" s="1" t="s">
        <v>222</v>
      </c>
      <c r="G160" s="49">
        <v>500</v>
      </c>
      <c r="H160" s="14"/>
      <c r="I160" s="49"/>
      <c r="J160" s="49">
        <v>500</v>
      </c>
      <c r="K160" s="48">
        <v>5.8999999999999997E-2</v>
      </c>
      <c r="M160" s="21" t="s">
        <v>221</v>
      </c>
      <c r="N160" s="28" t="str">
        <f>"{'shoulei92', '"&amp;A160&amp;"*1',10,270,10,13 }"</f>
        <v>{'shoulei92', '龙女侍卫1*1',10,270,10,13 }</v>
      </c>
      <c r="P160" s="41">
        <f t="shared" ref="P160:R160" si="163">P159*1.02</f>
        <v>2459358784.02349</v>
      </c>
      <c r="Q160" s="41">
        <f t="shared" si="163"/>
        <v>72204.384208849544</v>
      </c>
      <c r="R160" s="41">
        <f t="shared" si="163"/>
        <v>2578728007.4589124</v>
      </c>
      <c r="S160" s="27">
        <v>100</v>
      </c>
      <c r="T160" s="52">
        <v>450</v>
      </c>
      <c r="U160" s="57">
        <v>0.7</v>
      </c>
      <c r="V160" s="27">
        <f t="shared" si="112"/>
        <v>12893640.037294563</v>
      </c>
      <c r="W160" s="41">
        <v>0</v>
      </c>
      <c r="X160" s="41">
        <f t="shared" ref="X160" si="164">X73</f>
        <v>310</v>
      </c>
      <c r="Y160" s="41">
        <v>290</v>
      </c>
      <c r="Z160" s="27">
        <v>0</v>
      </c>
      <c r="AA160" s="41">
        <v>20</v>
      </c>
      <c r="AB160" s="41">
        <v>7500</v>
      </c>
      <c r="AC160" s="41">
        <v>20</v>
      </c>
      <c r="AD160" s="41">
        <v>150</v>
      </c>
    </row>
    <row r="161" spans="1:30" ht="15" x14ac:dyDescent="0.15">
      <c r="A161" s="54" t="s">
        <v>493</v>
      </c>
      <c r="B161" s="13" t="s">
        <v>532</v>
      </c>
      <c r="C161" s="1" t="s">
        <v>222</v>
      </c>
      <c r="G161" s="49">
        <v>500</v>
      </c>
      <c r="H161" s="14"/>
      <c r="I161" s="49"/>
      <c r="J161" s="49">
        <v>500</v>
      </c>
      <c r="K161" s="48">
        <v>5.8999999999999997E-2</v>
      </c>
      <c r="M161" s="21" t="s">
        <v>221</v>
      </c>
      <c r="N161" s="28" t="str">
        <f>"{'shoulei93', '"&amp;A161&amp;"*1',10,270,10,13 }"</f>
        <v>{'shoulei93', '龙女侍卫2*1',10,270,10,13 }</v>
      </c>
      <c r="P161" s="41">
        <f t="shared" ref="P161:R161" si="165">P160*1.02</f>
        <v>2508545959.7039599</v>
      </c>
      <c r="Q161" s="41">
        <f t="shared" si="165"/>
        <v>73648.471893026537</v>
      </c>
      <c r="R161" s="41">
        <f t="shared" si="165"/>
        <v>2630302567.6080909</v>
      </c>
      <c r="S161" s="27">
        <v>100</v>
      </c>
      <c r="T161" s="52">
        <v>450</v>
      </c>
      <c r="U161" s="57">
        <v>0.7</v>
      </c>
      <c r="V161" s="27">
        <f t="shared" si="112"/>
        <v>13151512.838040454</v>
      </c>
      <c r="W161" s="41">
        <v>0</v>
      </c>
      <c r="X161" s="41">
        <f t="shared" ref="X161" si="166">X74</f>
        <v>320</v>
      </c>
      <c r="Y161" s="41">
        <v>290</v>
      </c>
      <c r="Z161" s="27">
        <v>0</v>
      </c>
      <c r="AA161" s="41">
        <v>20</v>
      </c>
      <c r="AB161" s="41">
        <v>7500</v>
      </c>
      <c r="AC161" s="41">
        <v>20</v>
      </c>
      <c r="AD161" s="41">
        <v>150</v>
      </c>
    </row>
    <row r="162" spans="1:30" ht="15" x14ac:dyDescent="0.15">
      <c r="A162" s="54" t="s">
        <v>494</v>
      </c>
      <c r="B162" s="13" t="s">
        <v>533</v>
      </c>
      <c r="C162" s="1" t="s">
        <v>222</v>
      </c>
      <c r="G162" s="49">
        <v>500</v>
      </c>
      <c r="H162" s="14"/>
      <c r="I162" s="49"/>
      <c r="J162" s="49">
        <v>500</v>
      </c>
      <c r="K162" s="48">
        <v>5.8999999999999997E-2</v>
      </c>
      <c r="M162" s="21" t="s">
        <v>221</v>
      </c>
      <c r="N162" s="28" t="str">
        <f>"{'shoulei94', '"&amp;A162&amp;"*1',10,270,10,13 }"</f>
        <v>{'shoulei94', '龙女侍卫3*1',10,270,10,13 }</v>
      </c>
      <c r="P162" s="41">
        <f t="shared" ref="P162:R162" si="167">P161*1.02</f>
        <v>2558716878.8980393</v>
      </c>
      <c r="Q162" s="41">
        <f t="shared" si="167"/>
        <v>75121.441330887072</v>
      </c>
      <c r="R162" s="41">
        <f t="shared" si="167"/>
        <v>2682908618.9602528</v>
      </c>
      <c r="S162" s="27">
        <v>100</v>
      </c>
      <c r="T162" s="52">
        <v>450</v>
      </c>
      <c r="U162" s="57">
        <v>0.7</v>
      </c>
      <c r="V162" s="27">
        <f t="shared" si="112"/>
        <v>13414543.094801264</v>
      </c>
      <c r="W162" s="41">
        <v>0</v>
      </c>
      <c r="X162" s="41">
        <f t="shared" ref="X162" si="168">X75</f>
        <v>330</v>
      </c>
      <c r="Y162" s="41">
        <v>290</v>
      </c>
      <c r="Z162" s="27">
        <v>0</v>
      </c>
      <c r="AA162" s="41">
        <v>20</v>
      </c>
      <c r="AB162" s="41">
        <v>7500</v>
      </c>
      <c r="AC162" s="41">
        <v>20</v>
      </c>
      <c r="AD162" s="41">
        <v>150</v>
      </c>
    </row>
    <row r="163" spans="1:30" ht="15" x14ac:dyDescent="0.15">
      <c r="A163" s="54" t="s">
        <v>495</v>
      </c>
      <c r="B163" s="13" t="s">
        <v>534</v>
      </c>
      <c r="C163" s="1" t="s">
        <v>222</v>
      </c>
      <c r="G163" s="49">
        <v>500</v>
      </c>
      <c r="H163" s="14"/>
      <c r="I163" s="49"/>
      <c r="J163" s="49">
        <v>500</v>
      </c>
      <c r="K163" s="48">
        <v>5.8999999999999997E-2</v>
      </c>
      <c r="M163" s="21" t="s">
        <v>221</v>
      </c>
      <c r="N163" s="28" t="str">
        <f>"{'shoulei95', '"&amp;A163&amp;"*1',10,270,10,13 }"</f>
        <v>{'shoulei95', '龙女侍卫4*1',10,270,10,13 }</v>
      </c>
      <c r="P163" s="41">
        <f t="shared" ref="P163:R163" si="169">P162*1.02</f>
        <v>2609891216.4760003</v>
      </c>
      <c r="Q163" s="41">
        <f t="shared" si="169"/>
        <v>76623.870157504818</v>
      </c>
      <c r="R163" s="41">
        <f t="shared" si="169"/>
        <v>2736566791.339458</v>
      </c>
      <c r="S163" s="27">
        <v>100</v>
      </c>
      <c r="T163" s="52">
        <v>450</v>
      </c>
      <c r="U163" s="57">
        <v>0.7</v>
      </c>
      <c r="V163" s="27">
        <f t="shared" si="112"/>
        <v>13682833.956697291</v>
      </c>
      <c r="W163" s="41">
        <v>0</v>
      </c>
      <c r="X163" s="41">
        <f t="shared" ref="X163" si="170">X76</f>
        <v>340</v>
      </c>
      <c r="Y163" s="41">
        <v>290</v>
      </c>
      <c r="Z163" s="27">
        <v>0</v>
      </c>
      <c r="AA163" s="41">
        <v>20</v>
      </c>
      <c r="AB163" s="41">
        <v>7500</v>
      </c>
      <c r="AC163" s="41">
        <v>20</v>
      </c>
      <c r="AD163" s="41">
        <v>150</v>
      </c>
    </row>
    <row r="164" spans="1:30" ht="15" x14ac:dyDescent="0.15">
      <c r="A164" s="54" t="s">
        <v>491</v>
      </c>
      <c r="B164" s="13" t="s">
        <v>535</v>
      </c>
      <c r="C164" s="1" t="s">
        <v>222</v>
      </c>
      <c r="G164" s="49">
        <v>500</v>
      </c>
      <c r="H164" s="14"/>
      <c r="I164" s="49"/>
      <c r="J164" s="49">
        <v>500</v>
      </c>
      <c r="K164" s="48">
        <v>5.8999999999999997E-2</v>
      </c>
      <c r="M164" s="21" t="s">
        <v>221</v>
      </c>
      <c r="N164" s="28"/>
      <c r="P164" s="41">
        <f>P163*1.05</f>
        <v>2740385777.2998004</v>
      </c>
      <c r="Q164" s="41">
        <f t="shared" ref="Q164" si="171">Q163*1.05</f>
        <v>80455.063665380061</v>
      </c>
      <c r="R164" s="41">
        <f t="shared" ref="R164" si="172">R163*1.05</f>
        <v>2873395130.9064312</v>
      </c>
      <c r="S164" s="27">
        <v>100</v>
      </c>
      <c r="T164" s="52">
        <v>450</v>
      </c>
      <c r="U164" s="57">
        <v>0.7</v>
      </c>
      <c r="V164" s="27">
        <f t="shared" si="112"/>
        <v>14366975.654532157</v>
      </c>
      <c r="W164" s="41">
        <v>0</v>
      </c>
      <c r="X164" s="41">
        <f t="shared" ref="X164" si="173">X77</f>
        <v>350</v>
      </c>
      <c r="Y164" s="41">
        <v>290</v>
      </c>
      <c r="Z164" s="27">
        <v>0</v>
      </c>
      <c r="AA164" s="41">
        <v>20</v>
      </c>
      <c r="AB164" s="41">
        <v>10000</v>
      </c>
      <c r="AC164" s="41">
        <v>20</v>
      </c>
      <c r="AD164" s="41">
        <v>150</v>
      </c>
    </row>
    <row r="165" spans="1:30" ht="15" x14ac:dyDescent="0.15">
      <c r="A165" s="54" t="s">
        <v>497</v>
      </c>
      <c r="B165" s="13" t="s">
        <v>536</v>
      </c>
      <c r="C165" s="1" t="s">
        <v>222</v>
      </c>
      <c r="G165" s="49">
        <v>500</v>
      </c>
      <c r="H165" s="14"/>
      <c r="I165" s="49"/>
      <c r="J165" s="49">
        <v>500</v>
      </c>
      <c r="K165" s="48">
        <v>5.8999999999999997E-2</v>
      </c>
      <c r="M165" s="21" t="s">
        <v>221</v>
      </c>
      <c r="N165" s="28" t="str">
        <f>"{'shoulei102', '"&amp;A165&amp;"*1',10,270,10,13 }"</f>
        <v>{'shoulei102', '刑天侍卫1*1',10,270,10,13 }</v>
      </c>
      <c r="P165" s="41">
        <f t="shared" ref="P165:R165" si="174">P164*1.02</f>
        <v>2795193492.8457966</v>
      </c>
      <c r="Q165" s="41">
        <f t="shared" si="174"/>
        <v>82064.164938687667</v>
      </c>
      <c r="R165" s="41">
        <f t="shared" si="174"/>
        <v>2930863033.52456</v>
      </c>
      <c r="S165" s="27">
        <v>100</v>
      </c>
      <c r="T165" s="52">
        <v>450</v>
      </c>
      <c r="U165" s="57">
        <v>0.7</v>
      </c>
      <c r="V165" s="27">
        <f t="shared" si="112"/>
        <v>14654315.167622801</v>
      </c>
      <c r="W165" s="41">
        <v>0</v>
      </c>
      <c r="X165" s="41">
        <f t="shared" ref="X165" si="175">X78</f>
        <v>360</v>
      </c>
      <c r="Y165" s="41">
        <v>300</v>
      </c>
      <c r="Z165" s="27">
        <v>0</v>
      </c>
      <c r="AA165" s="41">
        <v>20</v>
      </c>
      <c r="AB165" s="41">
        <v>7500</v>
      </c>
      <c r="AC165" s="41">
        <v>20</v>
      </c>
      <c r="AD165" s="41">
        <v>150</v>
      </c>
    </row>
    <row r="166" spans="1:30" ht="15" x14ac:dyDescent="0.15">
      <c r="A166" s="54" t="s">
        <v>498</v>
      </c>
      <c r="B166" s="13" t="s">
        <v>537</v>
      </c>
      <c r="C166" s="1" t="s">
        <v>222</v>
      </c>
      <c r="G166" s="49">
        <v>500</v>
      </c>
      <c r="H166" s="14"/>
      <c r="I166" s="49"/>
      <c r="J166" s="49">
        <v>500</v>
      </c>
      <c r="K166" s="48">
        <v>5.8999999999999997E-2</v>
      </c>
      <c r="M166" s="21" t="s">
        <v>221</v>
      </c>
      <c r="N166" s="28" t="str">
        <f>"{'shoulei103', '"&amp;A166&amp;"*1',10,270,10,13 }"</f>
        <v>{'shoulei103', '刑天侍卫2*1',10,270,10,13 }</v>
      </c>
      <c r="P166" s="41">
        <f t="shared" ref="P166:R166" si="176">P165*1.02</f>
        <v>2851097362.7027125</v>
      </c>
      <c r="Q166" s="41">
        <f t="shared" si="176"/>
        <v>83705.448237461416</v>
      </c>
      <c r="R166" s="41">
        <f t="shared" si="176"/>
        <v>2989480294.1950512</v>
      </c>
      <c r="S166" s="27">
        <v>100</v>
      </c>
      <c r="T166" s="52">
        <v>450</v>
      </c>
      <c r="U166" s="57">
        <v>0.7</v>
      </c>
      <c r="V166" s="27">
        <f t="shared" si="112"/>
        <v>14947401.470975256</v>
      </c>
      <c r="W166" s="41">
        <v>0</v>
      </c>
      <c r="X166" s="41">
        <f t="shared" ref="X166" si="177">X79</f>
        <v>370</v>
      </c>
      <c r="Y166" s="41">
        <v>300</v>
      </c>
      <c r="Z166" s="27">
        <v>0</v>
      </c>
      <c r="AA166" s="41">
        <v>20</v>
      </c>
      <c r="AB166" s="41">
        <v>7500</v>
      </c>
      <c r="AC166" s="41">
        <v>20</v>
      </c>
      <c r="AD166" s="41">
        <v>150</v>
      </c>
    </row>
    <row r="167" spans="1:30" ht="15" x14ac:dyDescent="0.15">
      <c r="A167" s="54" t="s">
        <v>499</v>
      </c>
      <c r="B167" s="13" t="s">
        <v>538</v>
      </c>
      <c r="C167" s="1" t="s">
        <v>222</v>
      </c>
      <c r="G167" s="49">
        <v>500</v>
      </c>
      <c r="H167" s="14"/>
      <c r="I167" s="49"/>
      <c r="J167" s="49">
        <v>500</v>
      </c>
      <c r="K167" s="48">
        <v>5.8999999999999997E-2</v>
      </c>
      <c r="M167" s="21" t="s">
        <v>221</v>
      </c>
      <c r="N167" s="28" t="str">
        <f>"{'shoulei104', '"&amp;A167&amp;"*1',10,270,10,13 }"</f>
        <v>{'shoulei104', '刑天侍卫3*1',10,270,10,13 }</v>
      </c>
      <c r="P167" s="41">
        <f t="shared" ref="P167:R167" si="178">P166*1.02</f>
        <v>2908119309.9567666</v>
      </c>
      <c r="Q167" s="41">
        <f t="shared" si="178"/>
        <v>85379.55720221065</v>
      </c>
      <c r="R167" s="41">
        <f t="shared" si="178"/>
        <v>3049269900.0789523</v>
      </c>
      <c r="S167" s="27">
        <v>100</v>
      </c>
      <c r="T167" s="52">
        <v>450</v>
      </c>
      <c r="U167" s="57">
        <v>0.7</v>
      </c>
      <c r="V167" s="27">
        <f t="shared" si="112"/>
        <v>15246349.500394762</v>
      </c>
      <c r="W167" s="41">
        <v>0</v>
      </c>
      <c r="X167" s="41">
        <f t="shared" ref="X167" si="179">X80</f>
        <v>380</v>
      </c>
      <c r="Y167" s="41">
        <v>300</v>
      </c>
      <c r="Z167" s="27">
        <v>0</v>
      </c>
      <c r="AA167" s="41">
        <v>20</v>
      </c>
      <c r="AB167" s="41">
        <v>7500</v>
      </c>
      <c r="AC167" s="41">
        <v>20</v>
      </c>
      <c r="AD167" s="41">
        <v>150</v>
      </c>
    </row>
    <row r="168" spans="1:30" ht="15" x14ac:dyDescent="0.15">
      <c r="A168" s="54" t="s">
        <v>500</v>
      </c>
      <c r="B168" s="13" t="s">
        <v>539</v>
      </c>
      <c r="C168" s="1" t="s">
        <v>222</v>
      </c>
      <c r="G168" s="49">
        <v>500</v>
      </c>
      <c r="H168" s="14"/>
      <c r="I168" s="49"/>
      <c r="J168" s="49">
        <v>500</v>
      </c>
      <c r="K168" s="48">
        <v>5.8999999999999997E-2</v>
      </c>
      <c r="M168" s="21" t="s">
        <v>221</v>
      </c>
      <c r="N168" s="28" t="str">
        <f>"{'shoulei105', '"&amp;A168&amp;"*1',10,270,10,13 }"</f>
        <v>{'shoulei105', '刑天侍卫4*1',10,270,10,13 }</v>
      </c>
      <c r="P168" s="41">
        <f t="shared" ref="P168:R168" si="180">P167*1.02</f>
        <v>2966281696.1559019</v>
      </c>
      <c r="Q168" s="41">
        <f t="shared" si="180"/>
        <v>87087.148346254864</v>
      </c>
      <c r="R168" s="41">
        <f t="shared" si="180"/>
        <v>3110255298.0805316</v>
      </c>
      <c r="S168" s="27">
        <v>100</v>
      </c>
      <c r="T168" s="52">
        <v>450</v>
      </c>
      <c r="U168" s="57">
        <v>0.7</v>
      </c>
      <c r="V168" s="27">
        <f t="shared" si="112"/>
        <v>15551276.490402658</v>
      </c>
      <c r="W168" s="41">
        <v>0</v>
      </c>
      <c r="X168" s="41">
        <f t="shared" ref="X168" si="181">X81</f>
        <v>390</v>
      </c>
      <c r="Y168" s="41">
        <v>300</v>
      </c>
      <c r="Z168" s="27">
        <v>0</v>
      </c>
      <c r="AA168" s="41">
        <v>20</v>
      </c>
      <c r="AB168" s="41">
        <v>7500</v>
      </c>
      <c r="AC168" s="41">
        <v>20</v>
      </c>
      <c r="AD168" s="41">
        <v>150</v>
      </c>
    </row>
    <row r="169" spans="1:30" ht="15" x14ac:dyDescent="0.15">
      <c r="A169" s="54" t="s">
        <v>496</v>
      </c>
      <c r="B169" s="13" t="s">
        <v>540</v>
      </c>
      <c r="C169" s="1" t="s">
        <v>222</v>
      </c>
      <c r="G169" s="49">
        <v>500</v>
      </c>
      <c r="H169" s="14"/>
      <c r="I169" s="49"/>
      <c r="J169" s="49">
        <v>500</v>
      </c>
      <c r="K169" s="48">
        <v>5.8999999999999997E-2</v>
      </c>
      <c r="M169" s="21" t="s">
        <v>221</v>
      </c>
      <c r="N169" s="28"/>
      <c r="P169" s="41">
        <f>P168*1.05</f>
        <v>3114595780.963697</v>
      </c>
      <c r="Q169" s="41">
        <f t="shared" ref="Q169" si="182">Q168*1.05</f>
        <v>91441.505763567606</v>
      </c>
      <c r="R169" s="41">
        <f t="shared" ref="R169" si="183">R168*1.05</f>
        <v>3265768062.9845581</v>
      </c>
      <c r="S169" s="27">
        <v>100</v>
      </c>
      <c r="T169" s="52">
        <v>450</v>
      </c>
      <c r="U169" s="57">
        <v>0.7</v>
      </c>
      <c r="V169" s="27">
        <f t="shared" si="112"/>
        <v>16328840.314922791</v>
      </c>
      <c r="W169" s="41">
        <v>0</v>
      </c>
      <c r="X169" s="41">
        <f t="shared" ref="X169:X179" si="184">X82</f>
        <v>400</v>
      </c>
      <c r="Y169" s="41">
        <v>300</v>
      </c>
      <c r="Z169" s="27">
        <v>0</v>
      </c>
      <c r="AA169" s="41">
        <v>20</v>
      </c>
      <c r="AB169" s="41">
        <v>10000</v>
      </c>
      <c r="AC169" s="41">
        <v>20</v>
      </c>
      <c r="AD169" s="41">
        <v>150</v>
      </c>
    </row>
    <row r="170" spans="1:30" ht="15" x14ac:dyDescent="0.15">
      <c r="A170" s="54" t="s">
        <v>541</v>
      </c>
      <c r="B170" s="13" t="s">
        <v>551</v>
      </c>
      <c r="C170" s="1" t="s">
        <v>222</v>
      </c>
      <c r="G170" s="49">
        <v>500</v>
      </c>
      <c r="H170" s="14"/>
      <c r="I170" s="49"/>
      <c r="J170" s="49">
        <v>500</v>
      </c>
      <c r="K170" s="48">
        <v>5.8999999999999997E-2</v>
      </c>
      <c r="M170" s="21" t="s">
        <v>221</v>
      </c>
      <c r="N170" s="28"/>
      <c r="P170" s="41">
        <f>P169*1.1</f>
        <v>3426055359.0600667</v>
      </c>
      <c r="Q170" s="41">
        <f t="shared" ref="Q170:R170" si="185">Q169*1.1</f>
        <v>100585.65633992438</v>
      </c>
      <c r="R170" s="41">
        <f t="shared" si="185"/>
        <v>3592344869.2830143</v>
      </c>
      <c r="S170" s="27">
        <v>100</v>
      </c>
      <c r="T170" s="52">
        <v>450</v>
      </c>
      <c r="U170" s="57">
        <v>0.6</v>
      </c>
      <c r="V170" s="27">
        <f t="shared" si="112"/>
        <v>17961724.346415073</v>
      </c>
      <c r="W170" s="41">
        <v>0</v>
      </c>
      <c r="X170" s="41">
        <f t="shared" si="184"/>
        <v>410</v>
      </c>
      <c r="Y170" s="41">
        <v>310</v>
      </c>
      <c r="Z170" s="27">
        <v>0</v>
      </c>
      <c r="AA170" s="41">
        <v>20</v>
      </c>
      <c r="AB170" s="41">
        <v>12500</v>
      </c>
      <c r="AC170" s="41">
        <v>20</v>
      </c>
      <c r="AD170" s="41">
        <v>200</v>
      </c>
    </row>
    <row r="171" spans="1:30" ht="15" x14ac:dyDescent="0.15">
      <c r="A171" s="54" t="s">
        <v>542</v>
      </c>
      <c r="B171" s="13" t="s">
        <v>552</v>
      </c>
      <c r="C171" s="1" t="s">
        <v>222</v>
      </c>
      <c r="G171" s="49">
        <v>500</v>
      </c>
      <c r="H171" s="14"/>
      <c r="I171" s="49"/>
      <c r="J171" s="49">
        <v>500</v>
      </c>
      <c r="K171" s="48">
        <v>5.8999999999999997E-2</v>
      </c>
      <c r="M171" s="21" t="s">
        <v>221</v>
      </c>
      <c r="N171" s="28"/>
      <c r="P171" s="41">
        <f>P170*1.1</f>
        <v>3768660894.9660735</v>
      </c>
      <c r="Q171" s="41">
        <f t="shared" ref="Q171:R171" si="186">Q170*1.1</f>
        <v>110644.22197391682</v>
      </c>
      <c r="R171" s="41">
        <f t="shared" si="186"/>
        <v>3951579356.2113161</v>
      </c>
      <c r="S171" s="27">
        <v>100</v>
      </c>
      <c r="T171" s="52">
        <v>450</v>
      </c>
      <c r="U171" s="57">
        <v>0.6</v>
      </c>
      <c r="V171" s="27">
        <f t="shared" si="112"/>
        <v>19757896.781056579</v>
      </c>
      <c r="W171" s="41">
        <v>0</v>
      </c>
      <c r="X171" s="41">
        <f t="shared" si="184"/>
        <v>420</v>
      </c>
      <c r="Y171" s="41">
        <v>320</v>
      </c>
      <c r="Z171" s="27">
        <v>0</v>
      </c>
      <c r="AA171" s="41">
        <v>20</v>
      </c>
      <c r="AB171" s="41">
        <v>12500</v>
      </c>
      <c r="AC171" s="41">
        <v>20</v>
      </c>
      <c r="AD171" s="41">
        <v>200</v>
      </c>
    </row>
    <row r="172" spans="1:30" ht="15" x14ac:dyDescent="0.15">
      <c r="A172" s="54" t="s">
        <v>543</v>
      </c>
      <c r="B172" s="13" t="s">
        <v>553</v>
      </c>
      <c r="C172" s="1" t="s">
        <v>222</v>
      </c>
      <c r="G172" s="49">
        <v>500</v>
      </c>
      <c r="H172" s="14"/>
      <c r="I172" s="49"/>
      <c r="J172" s="49">
        <v>500</v>
      </c>
      <c r="K172" s="48">
        <v>5.8999999999999997E-2</v>
      </c>
      <c r="M172" s="21" t="s">
        <v>221</v>
      </c>
      <c r="N172" s="28"/>
      <c r="P172" s="41">
        <f t="shared" ref="P172:P179" si="187">P171*1.1</f>
        <v>4145526984.4626813</v>
      </c>
      <c r="Q172" s="41">
        <f t="shared" ref="Q172:Q179" si="188">Q171*1.1</f>
        <v>121708.64417130851</v>
      </c>
      <c r="R172" s="41">
        <f t="shared" ref="R172:R179" si="189">R171*1.1</f>
        <v>4346737291.832448</v>
      </c>
      <c r="S172" s="27">
        <v>100</v>
      </c>
      <c r="T172" s="52">
        <v>450</v>
      </c>
      <c r="U172" s="57">
        <v>0.6</v>
      </c>
      <c r="V172" s="27">
        <f t="shared" si="112"/>
        <v>21733686.459162239</v>
      </c>
      <c r="W172" s="41">
        <v>0</v>
      </c>
      <c r="X172" s="41">
        <f t="shared" si="184"/>
        <v>430</v>
      </c>
      <c r="Y172" s="41">
        <v>330</v>
      </c>
      <c r="Z172" s="27">
        <v>0</v>
      </c>
      <c r="AA172" s="41">
        <v>20</v>
      </c>
      <c r="AB172" s="41">
        <v>12500</v>
      </c>
      <c r="AC172" s="41">
        <v>20</v>
      </c>
      <c r="AD172" s="41">
        <v>200</v>
      </c>
    </row>
    <row r="173" spans="1:30" ht="15" x14ac:dyDescent="0.15">
      <c r="A173" s="54" t="s">
        <v>544</v>
      </c>
      <c r="B173" s="13" t="s">
        <v>554</v>
      </c>
      <c r="C173" s="1" t="s">
        <v>222</v>
      </c>
      <c r="G173" s="49">
        <v>500</v>
      </c>
      <c r="H173" s="14"/>
      <c r="I173" s="49"/>
      <c r="J173" s="49">
        <v>500</v>
      </c>
      <c r="K173" s="48">
        <v>5.8999999999999997E-2</v>
      </c>
      <c r="M173" s="21" t="s">
        <v>221</v>
      </c>
      <c r="N173" s="28"/>
      <c r="P173" s="41">
        <f t="shared" si="187"/>
        <v>4560079682.9089499</v>
      </c>
      <c r="Q173" s="41">
        <f t="shared" si="188"/>
        <v>133879.50858843938</v>
      </c>
      <c r="R173" s="41">
        <f t="shared" si="189"/>
        <v>4781411021.0156937</v>
      </c>
      <c r="S173" s="27">
        <v>100</v>
      </c>
      <c r="T173" s="52">
        <v>450</v>
      </c>
      <c r="U173" s="57">
        <v>0.6</v>
      </c>
      <c r="V173" s="27">
        <f t="shared" si="112"/>
        <v>23907055.10507847</v>
      </c>
      <c r="W173" s="41">
        <v>0</v>
      </c>
      <c r="X173" s="41">
        <f t="shared" si="184"/>
        <v>440</v>
      </c>
      <c r="Y173" s="41">
        <v>340</v>
      </c>
      <c r="Z173" s="27">
        <v>0</v>
      </c>
      <c r="AA173" s="41">
        <v>20</v>
      </c>
      <c r="AB173" s="41">
        <v>12500</v>
      </c>
      <c r="AC173" s="41">
        <v>20</v>
      </c>
      <c r="AD173" s="41">
        <v>200</v>
      </c>
    </row>
    <row r="174" spans="1:30" ht="15" x14ac:dyDescent="0.15">
      <c r="A174" s="54" t="s">
        <v>545</v>
      </c>
      <c r="B174" s="13" t="s">
        <v>555</v>
      </c>
      <c r="C174" s="1" t="s">
        <v>222</v>
      </c>
      <c r="G174" s="49">
        <v>500</v>
      </c>
      <c r="H174" s="14"/>
      <c r="I174" s="49"/>
      <c r="J174" s="49">
        <v>500</v>
      </c>
      <c r="K174" s="48">
        <v>5.8999999999999997E-2</v>
      </c>
      <c r="M174" s="21" t="s">
        <v>221</v>
      </c>
      <c r="N174" s="28"/>
      <c r="P174" s="41">
        <f t="shared" si="187"/>
        <v>5016087651.1998453</v>
      </c>
      <c r="Q174" s="41">
        <f t="shared" si="188"/>
        <v>147267.45944728333</v>
      </c>
      <c r="R174" s="41">
        <f t="shared" si="189"/>
        <v>5259552123.1172638</v>
      </c>
      <c r="S174" s="27">
        <v>100</v>
      </c>
      <c r="T174" s="52">
        <v>450</v>
      </c>
      <c r="U174" s="57">
        <v>0.6</v>
      </c>
      <c r="V174" s="27">
        <f t="shared" si="112"/>
        <v>26297760.615586318</v>
      </c>
      <c r="W174" s="41">
        <v>0</v>
      </c>
      <c r="X174" s="41">
        <f t="shared" si="184"/>
        <v>450</v>
      </c>
      <c r="Y174" s="41">
        <v>350</v>
      </c>
      <c r="Z174" s="27">
        <v>0</v>
      </c>
      <c r="AA174" s="41">
        <v>20</v>
      </c>
      <c r="AB174" s="41">
        <v>12500</v>
      </c>
      <c r="AC174" s="41">
        <v>20</v>
      </c>
      <c r="AD174" s="41">
        <v>200</v>
      </c>
    </row>
    <row r="175" spans="1:30" ht="15" x14ac:dyDescent="0.15">
      <c r="A175" s="54" t="s">
        <v>546</v>
      </c>
      <c r="B175" s="13" t="s">
        <v>556</v>
      </c>
      <c r="C175" s="1" t="s">
        <v>222</v>
      </c>
      <c r="G175" s="49">
        <v>500</v>
      </c>
      <c r="H175" s="14"/>
      <c r="I175" s="49"/>
      <c r="J175" s="49">
        <v>500</v>
      </c>
      <c r="K175" s="48">
        <v>5.8999999999999997E-2</v>
      </c>
      <c r="M175" s="21" t="s">
        <v>221</v>
      </c>
      <c r="N175" s="28"/>
      <c r="P175" s="41">
        <f t="shared" si="187"/>
        <v>5517696416.3198299</v>
      </c>
      <c r="Q175" s="41">
        <f t="shared" si="188"/>
        <v>161994.20539201167</v>
      </c>
      <c r="R175" s="41">
        <f t="shared" si="189"/>
        <v>5785507335.4289904</v>
      </c>
      <c r="S175" s="27">
        <v>100</v>
      </c>
      <c r="T175" s="52">
        <v>450</v>
      </c>
      <c r="U175" s="57">
        <v>0.6</v>
      </c>
      <c r="V175" s="27">
        <f t="shared" si="112"/>
        <v>28927536.677144952</v>
      </c>
      <c r="W175" s="41">
        <v>0</v>
      </c>
      <c r="X175" s="41">
        <f t="shared" si="184"/>
        <v>250</v>
      </c>
      <c r="Y175" s="41">
        <v>360</v>
      </c>
      <c r="Z175" s="27">
        <v>0</v>
      </c>
      <c r="AA175" s="41">
        <v>20</v>
      </c>
      <c r="AB175" s="41">
        <v>12500</v>
      </c>
      <c r="AC175" s="41">
        <v>20</v>
      </c>
      <c r="AD175" s="41">
        <v>200</v>
      </c>
    </row>
    <row r="176" spans="1:30" ht="15" x14ac:dyDescent="0.15">
      <c r="A176" s="54" t="s">
        <v>547</v>
      </c>
      <c r="B176" s="13" t="s">
        <v>557</v>
      </c>
      <c r="C176" s="1" t="s">
        <v>222</v>
      </c>
      <c r="G176" s="49">
        <v>500</v>
      </c>
      <c r="H176" s="14"/>
      <c r="I176" s="49"/>
      <c r="J176" s="49">
        <v>500</v>
      </c>
      <c r="K176" s="48">
        <v>5.8999999999999997E-2</v>
      </c>
      <c r="M176" s="21" t="s">
        <v>221</v>
      </c>
      <c r="N176" s="28"/>
      <c r="P176" s="41">
        <f t="shared" si="187"/>
        <v>6069466057.9518137</v>
      </c>
      <c r="Q176" s="41">
        <f t="shared" si="188"/>
        <v>178193.62593121285</v>
      </c>
      <c r="R176" s="41">
        <f t="shared" si="189"/>
        <v>6364058068.9718895</v>
      </c>
      <c r="S176" s="27">
        <v>100</v>
      </c>
      <c r="T176" s="52">
        <v>450</v>
      </c>
      <c r="U176" s="57">
        <v>0.6</v>
      </c>
      <c r="V176" s="27">
        <f t="shared" si="112"/>
        <v>31820290.344859447</v>
      </c>
      <c r="W176" s="41">
        <v>0</v>
      </c>
      <c r="X176" s="41">
        <f t="shared" si="184"/>
        <v>300</v>
      </c>
      <c r="Y176" s="41">
        <v>370</v>
      </c>
      <c r="Z176" s="27">
        <v>0</v>
      </c>
      <c r="AA176" s="41">
        <v>20</v>
      </c>
      <c r="AB176" s="41">
        <v>12500</v>
      </c>
      <c r="AC176" s="41">
        <v>20</v>
      </c>
      <c r="AD176" s="41">
        <v>200</v>
      </c>
    </row>
    <row r="177" spans="1:30" ht="15" x14ac:dyDescent="0.15">
      <c r="A177" s="54" t="s">
        <v>548</v>
      </c>
      <c r="B177" s="13" t="s">
        <v>558</v>
      </c>
      <c r="C177" s="1" t="s">
        <v>222</v>
      </c>
      <c r="G177" s="49">
        <v>500</v>
      </c>
      <c r="H177" s="14"/>
      <c r="I177" s="49"/>
      <c r="J177" s="49">
        <v>500</v>
      </c>
      <c r="K177" s="48">
        <v>5.8999999999999997E-2</v>
      </c>
      <c r="M177" s="21" t="s">
        <v>221</v>
      </c>
      <c r="N177" s="28"/>
      <c r="P177" s="41">
        <f t="shared" si="187"/>
        <v>6676412663.7469959</v>
      </c>
      <c r="Q177" s="41">
        <f t="shared" si="188"/>
        <v>196012.98852433416</v>
      </c>
      <c r="R177" s="41">
        <f t="shared" si="189"/>
        <v>7000463875.8690786</v>
      </c>
      <c r="S177" s="27">
        <v>100</v>
      </c>
      <c r="T177" s="52">
        <v>450</v>
      </c>
      <c r="U177" s="57">
        <v>0.6</v>
      </c>
      <c r="V177" s="27">
        <f t="shared" si="112"/>
        <v>35002319.379345395</v>
      </c>
      <c r="W177" s="41">
        <v>0</v>
      </c>
      <c r="X177" s="41">
        <f t="shared" si="184"/>
        <v>350</v>
      </c>
      <c r="Y177" s="41">
        <v>380</v>
      </c>
      <c r="Z177" s="27">
        <v>0</v>
      </c>
      <c r="AA177" s="41">
        <v>20</v>
      </c>
      <c r="AB177" s="41">
        <v>12500</v>
      </c>
      <c r="AC177" s="41">
        <v>20</v>
      </c>
      <c r="AD177" s="41">
        <v>200</v>
      </c>
    </row>
    <row r="178" spans="1:30" ht="15" x14ac:dyDescent="0.15">
      <c r="A178" s="54" t="s">
        <v>549</v>
      </c>
      <c r="B178" s="13" t="s">
        <v>559</v>
      </c>
      <c r="C178" s="1" t="s">
        <v>222</v>
      </c>
      <c r="G178" s="49">
        <v>500</v>
      </c>
      <c r="H178" s="14"/>
      <c r="I178" s="49"/>
      <c r="J178" s="49">
        <v>500</v>
      </c>
      <c r="K178" s="48">
        <v>5.8999999999999997E-2</v>
      </c>
      <c r="M178" s="21" t="s">
        <v>221</v>
      </c>
      <c r="N178" s="28"/>
      <c r="P178" s="41">
        <f t="shared" si="187"/>
        <v>7344053930.1216965</v>
      </c>
      <c r="Q178" s="41">
        <f t="shared" si="188"/>
        <v>215614.28737676758</v>
      </c>
      <c r="R178" s="41">
        <f t="shared" si="189"/>
        <v>7700510263.455987</v>
      </c>
      <c r="S178" s="27">
        <v>100</v>
      </c>
      <c r="T178" s="52">
        <v>450</v>
      </c>
      <c r="U178" s="57">
        <v>0.6</v>
      </c>
      <c r="V178" s="27">
        <f t="shared" si="112"/>
        <v>38502551.317279935</v>
      </c>
      <c r="W178" s="41">
        <v>0</v>
      </c>
      <c r="X178" s="41">
        <f t="shared" si="184"/>
        <v>400</v>
      </c>
      <c r="Y178" s="41">
        <v>390</v>
      </c>
      <c r="Z178" s="27">
        <v>0</v>
      </c>
      <c r="AA178" s="41">
        <v>20</v>
      </c>
      <c r="AB178" s="41">
        <v>12500</v>
      </c>
      <c r="AC178" s="41">
        <v>20</v>
      </c>
      <c r="AD178" s="41">
        <v>200</v>
      </c>
    </row>
    <row r="179" spans="1:30" ht="15" x14ac:dyDescent="0.15">
      <c r="A179" s="54" t="s">
        <v>550</v>
      </c>
      <c r="B179" s="13" t="s">
        <v>560</v>
      </c>
      <c r="C179" s="1" t="s">
        <v>222</v>
      </c>
      <c r="G179" s="49">
        <v>500</v>
      </c>
      <c r="H179" s="14"/>
      <c r="I179" s="49"/>
      <c r="J179" s="49">
        <v>500</v>
      </c>
      <c r="K179" s="48">
        <v>5.8999999999999997E-2</v>
      </c>
      <c r="M179" s="21" t="s">
        <v>221</v>
      </c>
      <c r="N179" s="28"/>
      <c r="P179" s="41">
        <f t="shared" si="187"/>
        <v>8078459323.1338663</v>
      </c>
      <c r="Q179" s="41">
        <f t="shared" si="188"/>
        <v>237175.71611444437</v>
      </c>
      <c r="R179" s="41">
        <f t="shared" si="189"/>
        <v>8470561289.8015862</v>
      </c>
      <c r="S179" s="27">
        <v>100</v>
      </c>
      <c r="T179" s="52">
        <v>450</v>
      </c>
      <c r="U179" s="57">
        <v>0.6</v>
      </c>
      <c r="V179" s="27">
        <f t="shared" si="112"/>
        <v>42352806.449007928</v>
      </c>
      <c r="W179" s="41">
        <v>0</v>
      </c>
      <c r="X179" s="41">
        <f t="shared" si="184"/>
        <v>450</v>
      </c>
      <c r="Y179" s="41">
        <v>400</v>
      </c>
      <c r="Z179" s="27">
        <v>0</v>
      </c>
      <c r="AA179" s="41">
        <v>20</v>
      </c>
      <c r="AB179" s="41">
        <v>12500</v>
      </c>
      <c r="AC179" s="41">
        <v>20</v>
      </c>
      <c r="AD179" s="41">
        <v>200</v>
      </c>
    </row>
    <row r="180" spans="1:30" ht="15" x14ac:dyDescent="0.15">
      <c r="A180" s="5" t="s">
        <v>573</v>
      </c>
      <c r="B180" s="13" t="s">
        <v>571</v>
      </c>
      <c r="C180" s="16" t="s">
        <v>220</v>
      </c>
      <c r="G180">
        <v>10</v>
      </c>
      <c r="J180">
        <v>10</v>
      </c>
      <c r="K180" s="5">
        <v>1E-3</v>
      </c>
      <c r="L180"/>
      <c r="M180" s="21" t="s">
        <v>221</v>
      </c>
      <c r="P180" s="27">
        <v>1</v>
      </c>
      <c r="Q180" s="27">
        <v>1</v>
      </c>
      <c r="R180" s="27">
        <v>150</v>
      </c>
      <c r="S180" s="27">
        <v>1</v>
      </c>
      <c r="T180" s="27">
        <v>1</v>
      </c>
      <c r="U180" s="18">
        <v>0.75</v>
      </c>
      <c r="V180" s="27">
        <f t="shared" si="112"/>
        <v>0.75</v>
      </c>
      <c r="W180" s="41">
        <v>0</v>
      </c>
      <c r="X180" s="27">
        <v>200</v>
      </c>
      <c r="Y180" s="27">
        <v>50</v>
      </c>
      <c r="Z180" s="27">
        <v>0</v>
      </c>
      <c r="AA180" s="52">
        <v>0</v>
      </c>
      <c r="AB180" s="52">
        <v>0</v>
      </c>
      <c r="AC180" s="41">
        <v>0</v>
      </c>
      <c r="AD180" s="41">
        <v>0</v>
      </c>
    </row>
    <row r="181" spans="1:30" s="45" customFormat="1" ht="15" x14ac:dyDescent="0.15">
      <c r="A181" s="46" t="s">
        <v>574</v>
      </c>
      <c r="B181" s="13" t="s">
        <v>575</v>
      </c>
      <c r="C181" s="47" t="s">
        <v>222</v>
      </c>
      <c r="D181" s="11" t="s">
        <v>351</v>
      </c>
      <c r="E181" s="48"/>
      <c r="F181" s="48"/>
      <c r="G181" s="51">
        <v>10</v>
      </c>
      <c r="H181" s="14"/>
      <c r="I181" s="51"/>
      <c r="J181" s="51">
        <v>10</v>
      </c>
      <c r="K181" s="51">
        <v>1E-3</v>
      </c>
      <c r="L181" s="24"/>
      <c r="M181" s="21"/>
      <c r="N181" s="51"/>
      <c r="O181"/>
      <c r="P181" s="52">
        <v>1</v>
      </c>
      <c r="Q181" s="52">
        <v>1</v>
      </c>
      <c r="R181" s="52">
        <v>150</v>
      </c>
      <c r="S181" s="27">
        <v>100</v>
      </c>
      <c r="T181" s="52">
        <v>450</v>
      </c>
      <c r="U181" s="59">
        <v>0.75</v>
      </c>
      <c r="V181" s="27">
        <f t="shared" si="112"/>
        <v>0.75</v>
      </c>
      <c r="W181" s="52">
        <v>0</v>
      </c>
      <c r="X181" s="52">
        <v>200</v>
      </c>
      <c r="Y181" s="52">
        <v>50</v>
      </c>
      <c r="Z181" s="27">
        <v>0</v>
      </c>
      <c r="AA181" s="52">
        <v>0</v>
      </c>
      <c r="AB181" s="52">
        <v>0</v>
      </c>
      <c r="AC181" s="41">
        <v>0</v>
      </c>
      <c r="AD181" s="41">
        <v>0</v>
      </c>
    </row>
    <row r="182" spans="1:30" ht="15" x14ac:dyDescent="0.15">
      <c r="A182" s="28" t="s">
        <v>579</v>
      </c>
      <c r="B182" s="13" t="s">
        <v>599</v>
      </c>
      <c r="C182" s="47" t="s">
        <v>222</v>
      </c>
      <c r="G182" s="49">
        <v>500</v>
      </c>
      <c r="H182" s="14"/>
      <c r="I182" s="49"/>
      <c r="J182" s="49">
        <v>500</v>
      </c>
      <c r="K182" s="48">
        <v>5.8999999999999997E-2</v>
      </c>
      <c r="M182" s="21" t="s">
        <v>221</v>
      </c>
      <c r="N182" s="28"/>
      <c r="P182" s="41">
        <f>P179*1.1</f>
        <v>8886305255.4472542</v>
      </c>
      <c r="Q182" s="41">
        <f t="shared" ref="Q182:R182" si="190">Q179*1.1</f>
        <v>260893.28772588883</v>
      </c>
      <c r="R182" s="41">
        <f t="shared" si="190"/>
        <v>9317617418.7817459</v>
      </c>
      <c r="S182" s="27">
        <v>100</v>
      </c>
      <c r="T182" s="52">
        <v>450</v>
      </c>
      <c r="U182" s="57">
        <v>0.5</v>
      </c>
      <c r="V182" s="27">
        <f t="shared" ref="V182:V185" si="191">R182*0.005</f>
        <v>46588087.093908727</v>
      </c>
      <c r="W182" s="41">
        <v>0</v>
      </c>
      <c r="X182" s="41">
        <f t="shared" ref="X182:X201" si="192">X95</f>
        <v>200</v>
      </c>
      <c r="Y182" s="41">
        <v>410</v>
      </c>
      <c r="Z182" s="27">
        <v>0</v>
      </c>
      <c r="AA182" s="41">
        <v>20</v>
      </c>
      <c r="AB182" s="41">
        <f>AB179*1.1</f>
        <v>13750.000000000002</v>
      </c>
      <c r="AC182" s="41">
        <v>20</v>
      </c>
      <c r="AD182" s="41">
        <v>200</v>
      </c>
    </row>
    <row r="183" spans="1:30" ht="15" x14ac:dyDescent="0.15">
      <c r="A183" s="28" t="s">
        <v>580</v>
      </c>
      <c r="B183" s="13" t="s">
        <v>600</v>
      </c>
      <c r="C183" s="47" t="s">
        <v>222</v>
      </c>
      <c r="G183" s="49">
        <v>500</v>
      </c>
      <c r="H183" s="14"/>
      <c r="I183" s="49"/>
      <c r="J183" s="49">
        <v>500</v>
      </c>
      <c r="K183" s="48">
        <v>5.8999999999999997E-2</v>
      </c>
      <c r="M183" s="21" t="s">
        <v>221</v>
      </c>
      <c r="N183" s="28"/>
      <c r="P183" s="41">
        <f>P182*1.05</f>
        <v>9330620518.2196178</v>
      </c>
      <c r="Q183" s="41">
        <f t="shared" ref="Q183:R184" si="193">Q182*1.05</f>
        <v>273937.95211218327</v>
      </c>
      <c r="R183" s="41">
        <f t="shared" si="193"/>
        <v>9783498289.7208328</v>
      </c>
      <c r="S183" s="27">
        <v>100</v>
      </c>
      <c r="T183" s="52">
        <v>450</v>
      </c>
      <c r="U183" s="57">
        <v>0.5</v>
      </c>
      <c r="V183" s="27">
        <f t="shared" si="191"/>
        <v>48917491.448604167</v>
      </c>
      <c r="W183" s="41">
        <v>0</v>
      </c>
      <c r="X183" s="41">
        <f t="shared" si="192"/>
        <v>200</v>
      </c>
      <c r="Y183" s="41">
        <v>420</v>
      </c>
      <c r="Z183" s="27">
        <v>0</v>
      </c>
      <c r="AA183" s="41">
        <v>20</v>
      </c>
      <c r="AB183" s="41">
        <f>AB182*1.05</f>
        <v>14437.500000000002</v>
      </c>
      <c r="AC183" s="41">
        <v>20</v>
      </c>
      <c r="AD183" s="41">
        <v>200</v>
      </c>
    </row>
    <row r="184" spans="1:30" ht="15" x14ac:dyDescent="0.15">
      <c r="A184" s="28" t="s">
        <v>581</v>
      </c>
      <c r="B184" s="13" t="s">
        <v>601</v>
      </c>
      <c r="C184" s="47" t="s">
        <v>222</v>
      </c>
      <c r="G184" s="49">
        <v>500</v>
      </c>
      <c r="H184" s="14"/>
      <c r="I184" s="49"/>
      <c r="J184" s="49">
        <v>500</v>
      </c>
      <c r="K184" s="48">
        <v>5.8999999999999997E-2</v>
      </c>
      <c r="M184" s="21" t="s">
        <v>221</v>
      </c>
      <c r="N184" s="28"/>
      <c r="P184" s="41">
        <f>P183*1.05</f>
        <v>9797151544.1306</v>
      </c>
      <c r="Q184" s="41">
        <f t="shared" si="193"/>
        <v>287634.84971779241</v>
      </c>
      <c r="R184" s="41">
        <f t="shared" si="193"/>
        <v>10272673204.206875</v>
      </c>
      <c r="S184" s="27">
        <v>100</v>
      </c>
      <c r="T184" s="52">
        <v>450</v>
      </c>
      <c r="U184" s="57">
        <v>0.5</v>
      </c>
      <c r="V184" s="27">
        <f t="shared" si="191"/>
        <v>51363366.021034375</v>
      </c>
      <c r="W184" s="41">
        <v>0</v>
      </c>
      <c r="X184" s="41">
        <f t="shared" si="192"/>
        <v>200</v>
      </c>
      <c r="Y184" s="41">
        <v>430</v>
      </c>
      <c r="Z184" s="27">
        <v>0</v>
      </c>
      <c r="AA184" s="41">
        <v>20</v>
      </c>
      <c r="AB184" s="41">
        <f>AB183*1.05</f>
        <v>15159.375000000002</v>
      </c>
      <c r="AC184" s="41">
        <v>20</v>
      </c>
      <c r="AD184" s="41">
        <v>200</v>
      </c>
    </row>
    <row r="185" spans="1:30" ht="15" x14ac:dyDescent="0.15">
      <c r="A185" s="28" t="s">
        <v>582</v>
      </c>
      <c r="B185" s="13" t="s">
        <v>602</v>
      </c>
      <c r="C185" s="47" t="s">
        <v>222</v>
      </c>
      <c r="G185" s="49">
        <v>500</v>
      </c>
      <c r="H185" s="14"/>
      <c r="I185" s="49"/>
      <c r="J185" s="49">
        <v>500</v>
      </c>
      <c r="K185" s="48">
        <v>5.8999999999999997E-2</v>
      </c>
      <c r="M185" s="21" t="s">
        <v>221</v>
      </c>
      <c r="N185" s="28"/>
      <c r="P185" s="41">
        <f t="shared" ref="P185:P201" si="194">P184*1.05</f>
        <v>10287009121.33713</v>
      </c>
      <c r="Q185" s="41">
        <f t="shared" ref="Q185:Q201" si="195">Q184*1.05</f>
        <v>302016.59220368206</v>
      </c>
      <c r="R185" s="41">
        <f t="shared" ref="R185:R201" si="196">R184*1.05</f>
        <v>10786306864.417219</v>
      </c>
      <c r="S185" s="27">
        <v>100</v>
      </c>
      <c r="T185" s="52">
        <v>450</v>
      </c>
      <c r="U185" s="57">
        <v>0.5</v>
      </c>
      <c r="V185" s="27">
        <f t="shared" si="191"/>
        <v>53931534.322086096</v>
      </c>
      <c r="W185" s="41">
        <v>0</v>
      </c>
      <c r="X185" s="41">
        <f t="shared" si="192"/>
        <v>200</v>
      </c>
      <c r="Y185" s="41">
        <v>440</v>
      </c>
      <c r="Z185" s="27">
        <v>0</v>
      </c>
      <c r="AA185" s="41">
        <v>20</v>
      </c>
      <c r="AB185" s="41">
        <f t="shared" ref="AB185:AB201" si="197">AB184*1.05</f>
        <v>15917.343750000002</v>
      </c>
      <c r="AC185" s="41">
        <v>20</v>
      </c>
      <c r="AD185" s="41">
        <v>200</v>
      </c>
    </row>
    <row r="186" spans="1:30" ht="15" x14ac:dyDescent="0.15">
      <c r="A186" s="28" t="s">
        <v>583</v>
      </c>
      <c r="B186" s="13" t="s">
        <v>603</v>
      </c>
      <c r="C186" s="47" t="s">
        <v>222</v>
      </c>
      <c r="G186" s="49">
        <v>500</v>
      </c>
      <c r="H186" s="14"/>
      <c r="I186" s="49"/>
      <c r="J186" s="49">
        <v>500</v>
      </c>
      <c r="K186" s="48">
        <v>5.8999999999999997E-2</v>
      </c>
      <c r="M186" s="21" t="s">
        <v>221</v>
      </c>
      <c r="P186" s="41">
        <f t="shared" si="194"/>
        <v>10801359577.403986</v>
      </c>
      <c r="Q186" s="41">
        <f t="shared" si="195"/>
        <v>317117.42181386618</v>
      </c>
      <c r="R186" s="41">
        <f t="shared" si="196"/>
        <v>11325622207.638081</v>
      </c>
      <c r="S186" s="27">
        <v>100</v>
      </c>
      <c r="T186" s="52">
        <v>450</v>
      </c>
      <c r="U186" s="57">
        <v>0.5</v>
      </c>
      <c r="V186" s="27">
        <f t="shared" ref="V186:V201" si="198">R186*0.005</f>
        <v>56628111.038190402</v>
      </c>
      <c r="W186" s="41">
        <v>0</v>
      </c>
      <c r="X186" s="41">
        <f t="shared" si="192"/>
        <v>200</v>
      </c>
      <c r="Y186" s="41">
        <v>450</v>
      </c>
      <c r="Z186" s="27">
        <v>0</v>
      </c>
      <c r="AA186" s="41">
        <v>20</v>
      </c>
      <c r="AB186" s="41">
        <f t="shared" si="197"/>
        <v>16713.210937500004</v>
      </c>
      <c r="AC186" s="41">
        <v>20</v>
      </c>
      <c r="AD186" s="41">
        <v>200</v>
      </c>
    </row>
    <row r="187" spans="1:30" ht="15" x14ac:dyDescent="0.15">
      <c r="A187" s="28" t="s">
        <v>584</v>
      </c>
      <c r="B187" s="13" t="s">
        <v>604</v>
      </c>
      <c r="C187" s="47" t="s">
        <v>222</v>
      </c>
      <c r="G187" s="49">
        <v>500</v>
      </c>
      <c r="H187" s="14"/>
      <c r="I187" s="49"/>
      <c r="J187" s="49">
        <v>500</v>
      </c>
      <c r="K187" s="48">
        <v>5.8999999999999997E-2</v>
      </c>
      <c r="M187" s="21" t="s">
        <v>221</v>
      </c>
      <c r="P187" s="41">
        <f t="shared" si="194"/>
        <v>11341427556.274185</v>
      </c>
      <c r="Q187" s="41">
        <f t="shared" si="195"/>
        <v>332973.29290455952</v>
      </c>
      <c r="R187" s="41">
        <f t="shared" si="196"/>
        <v>11891903318.019985</v>
      </c>
      <c r="S187" s="27">
        <v>100</v>
      </c>
      <c r="T187" s="52">
        <v>450</v>
      </c>
      <c r="U187" s="57">
        <v>0.5</v>
      </c>
      <c r="V187" s="27">
        <f t="shared" si="198"/>
        <v>59459516.590099931</v>
      </c>
      <c r="W187" s="41">
        <v>0</v>
      </c>
      <c r="X187" s="41">
        <f t="shared" si="192"/>
        <v>200</v>
      </c>
      <c r="Y187" s="41">
        <v>460</v>
      </c>
      <c r="Z187" s="27">
        <v>0</v>
      </c>
      <c r="AA187" s="41">
        <v>20</v>
      </c>
      <c r="AB187" s="41">
        <f t="shared" si="197"/>
        <v>17548.871484375006</v>
      </c>
      <c r="AC187" s="41">
        <v>20</v>
      </c>
      <c r="AD187" s="41">
        <v>200</v>
      </c>
    </row>
    <row r="188" spans="1:30" ht="15" x14ac:dyDescent="0.15">
      <c r="A188" s="28" t="s">
        <v>585</v>
      </c>
      <c r="B188" s="13" t="s">
        <v>605</v>
      </c>
      <c r="C188" s="47" t="s">
        <v>222</v>
      </c>
      <c r="G188" s="49">
        <v>500</v>
      </c>
      <c r="H188" s="14"/>
      <c r="I188" s="49"/>
      <c r="J188" s="49">
        <v>500</v>
      </c>
      <c r="K188" s="48">
        <v>5.8999999999999997E-2</v>
      </c>
      <c r="M188" s="21" t="s">
        <v>221</v>
      </c>
      <c r="P188" s="41">
        <f t="shared" si="194"/>
        <v>11908498934.087894</v>
      </c>
      <c r="Q188" s="41">
        <f t="shared" si="195"/>
        <v>349621.95754978753</v>
      </c>
      <c r="R188" s="41">
        <f t="shared" si="196"/>
        <v>12486498483.920984</v>
      </c>
      <c r="S188" s="27">
        <v>100</v>
      </c>
      <c r="T188" s="52">
        <v>450</v>
      </c>
      <c r="U188" s="57">
        <v>0.5</v>
      </c>
      <c r="V188" s="27">
        <f t="shared" si="198"/>
        <v>62432492.41960492</v>
      </c>
      <c r="W188" s="41">
        <v>0</v>
      </c>
      <c r="X188" s="41">
        <f t="shared" si="192"/>
        <v>200</v>
      </c>
      <c r="Y188" s="41">
        <v>470</v>
      </c>
      <c r="Z188" s="27">
        <v>0</v>
      </c>
      <c r="AA188" s="41">
        <v>20</v>
      </c>
      <c r="AB188" s="41">
        <f t="shared" si="197"/>
        <v>18426.315058593758</v>
      </c>
      <c r="AC188" s="41">
        <v>20</v>
      </c>
      <c r="AD188" s="41">
        <v>200</v>
      </c>
    </row>
    <row r="189" spans="1:30" ht="15" x14ac:dyDescent="0.15">
      <c r="A189" s="28" t="s">
        <v>586</v>
      </c>
      <c r="B189" s="13" t="s">
        <v>606</v>
      </c>
      <c r="C189" s="47" t="s">
        <v>222</v>
      </c>
      <c r="G189" s="49">
        <v>500</v>
      </c>
      <c r="H189" s="14"/>
      <c r="I189" s="49"/>
      <c r="J189" s="49">
        <v>500</v>
      </c>
      <c r="K189" s="48">
        <v>5.8999999999999997E-2</v>
      </c>
      <c r="M189" s="21" t="s">
        <v>221</v>
      </c>
      <c r="P189" s="41">
        <f t="shared" si="194"/>
        <v>12503923880.79229</v>
      </c>
      <c r="Q189" s="41">
        <f t="shared" si="195"/>
        <v>367103.05542727694</v>
      </c>
      <c r="R189" s="41">
        <f t="shared" si="196"/>
        <v>13110823408.117035</v>
      </c>
      <c r="S189" s="27">
        <v>100</v>
      </c>
      <c r="T189" s="52">
        <v>450</v>
      </c>
      <c r="U189" s="57">
        <v>0.5</v>
      </c>
      <c r="V189" s="27">
        <f t="shared" si="198"/>
        <v>65554117.040585175</v>
      </c>
      <c r="W189" s="41">
        <v>0</v>
      </c>
      <c r="X189" s="41">
        <f t="shared" si="192"/>
        <v>200</v>
      </c>
      <c r="Y189" s="41">
        <v>480</v>
      </c>
      <c r="Z189" s="27">
        <v>0</v>
      </c>
      <c r="AA189" s="41">
        <v>20</v>
      </c>
      <c r="AB189" s="41">
        <f t="shared" si="197"/>
        <v>19347.630811523446</v>
      </c>
      <c r="AC189" s="41">
        <v>20</v>
      </c>
      <c r="AD189" s="41">
        <v>200</v>
      </c>
    </row>
    <row r="190" spans="1:30" ht="15" x14ac:dyDescent="0.15">
      <c r="A190" s="28" t="s">
        <v>587</v>
      </c>
      <c r="B190" s="13" t="s">
        <v>607</v>
      </c>
      <c r="C190" s="47" t="s">
        <v>222</v>
      </c>
      <c r="G190" s="49">
        <v>500</v>
      </c>
      <c r="H190" s="14"/>
      <c r="I190" s="49"/>
      <c r="J190" s="49">
        <v>500</v>
      </c>
      <c r="K190" s="48">
        <v>5.8999999999999997E-2</v>
      </c>
      <c r="M190" s="21" t="s">
        <v>221</v>
      </c>
      <c r="P190" s="41">
        <f t="shared" si="194"/>
        <v>13129120074.831905</v>
      </c>
      <c r="Q190" s="41">
        <f t="shared" si="195"/>
        <v>385458.20819864079</v>
      </c>
      <c r="R190" s="41">
        <f t="shared" si="196"/>
        <v>13766364578.522888</v>
      </c>
      <c r="S190" s="27">
        <v>100</v>
      </c>
      <c r="T190" s="52">
        <v>450</v>
      </c>
      <c r="U190" s="57">
        <v>0.5</v>
      </c>
      <c r="V190" s="27">
        <f t="shared" si="198"/>
        <v>68831822.892614439</v>
      </c>
      <c r="W190" s="41">
        <v>0</v>
      </c>
      <c r="X190" s="41">
        <f t="shared" si="192"/>
        <v>200</v>
      </c>
      <c r="Y190" s="41">
        <v>490</v>
      </c>
      <c r="Z190" s="27">
        <v>0</v>
      </c>
      <c r="AA190" s="41">
        <v>20</v>
      </c>
      <c r="AB190" s="41">
        <f t="shared" si="197"/>
        <v>20315.01235209962</v>
      </c>
      <c r="AC190" s="41">
        <v>20</v>
      </c>
      <c r="AD190" s="41">
        <v>200</v>
      </c>
    </row>
    <row r="191" spans="1:30" ht="15" x14ac:dyDescent="0.15">
      <c r="A191" s="28" t="s">
        <v>588</v>
      </c>
      <c r="B191" s="13" t="s">
        <v>608</v>
      </c>
      <c r="C191" s="47" t="s">
        <v>222</v>
      </c>
      <c r="G191" s="49">
        <v>500</v>
      </c>
      <c r="H191" s="14"/>
      <c r="I191" s="49"/>
      <c r="J191" s="49">
        <v>500</v>
      </c>
      <c r="K191" s="48">
        <v>5.8999999999999997E-2</v>
      </c>
      <c r="M191" s="21" t="s">
        <v>221</v>
      </c>
      <c r="P191" s="41">
        <f t="shared" si="194"/>
        <v>13785576078.573502</v>
      </c>
      <c r="Q191" s="41">
        <f t="shared" si="195"/>
        <v>404731.11860857287</v>
      </c>
      <c r="R191" s="41">
        <f t="shared" si="196"/>
        <v>14454682807.449034</v>
      </c>
      <c r="S191" s="27">
        <v>100</v>
      </c>
      <c r="T191" s="52">
        <v>450</v>
      </c>
      <c r="U191" s="57">
        <v>0.5</v>
      </c>
      <c r="V191" s="27">
        <f t="shared" si="198"/>
        <v>72273414.037245169</v>
      </c>
      <c r="W191" s="41">
        <v>0</v>
      </c>
      <c r="X191" s="41">
        <f t="shared" si="192"/>
        <v>200</v>
      </c>
      <c r="Y191" s="41">
        <v>500</v>
      </c>
      <c r="Z191" s="27">
        <v>0</v>
      </c>
      <c r="AA191" s="41">
        <v>20</v>
      </c>
      <c r="AB191" s="41">
        <f t="shared" si="197"/>
        <v>21330.762969704603</v>
      </c>
      <c r="AC191" s="41">
        <v>20</v>
      </c>
      <c r="AD191" s="41">
        <v>200</v>
      </c>
    </row>
    <row r="192" spans="1:30" ht="15" x14ac:dyDescent="0.15">
      <c r="A192" s="28" t="s">
        <v>589</v>
      </c>
      <c r="B192" s="13" t="s">
        <v>609</v>
      </c>
      <c r="C192" s="47" t="s">
        <v>222</v>
      </c>
      <c r="G192" s="49">
        <v>500</v>
      </c>
      <c r="H192" s="14"/>
      <c r="I192" s="49"/>
      <c r="J192" s="49">
        <v>500</v>
      </c>
      <c r="K192" s="48">
        <v>5.8999999999999997E-2</v>
      </c>
      <c r="M192" s="21" t="s">
        <v>221</v>
      </c>
      <c r="P192" s="41">
        <f t="shared" si="194"/>
        <v>14474854882.502178</v>
      </c>
      <c r="Q192" s="41">
        <f t="shared" si="195"/>
        <v>424967.67453900154</v>
      </c>
      <c r="R192" s="41">
        <f t="shared" si="196"/>
        <v>15177416947.821486</v>
      </c>
      <c r="S192" s="27">
        <v>100</v>
      </c>
      <c r="T192" s="52">
        <v>450</v>
      </c>
      <c r="U192" s="57">
        <v>0.5</v>
      </c>
      <c r="V192" s="27">
        <f t="shared" si="198"/>
        <v>75887084.73910743</v>
      </c>
      <c r="W192" s="41">
        <v>0</v>
      </c>
      <c r="X192" s="41">
        <f t="shared" si="192"/>
        <v>200</v>
      </c>
      <c r="Y192" s="41">
        <v>510</v>
      </c>
      <c r="Z192" s="27">
        <v>0</v>
      </c>
      <c r="AA192" s="41">
        <v>20</v>
      </c>
      <c r="AB192" s="41">
        <f t="shared" si="197"/>
        <v>22397.301118189833</v>
      </c>
      <c r="AC192" s="41">
        <v>20</v>
      </c>
      <c r="AD192" s="41">
        <v>200</v>
      </c>
    </row>
    <row r="193" spans="1:30" ht="15" x14ac:dyDescent="0.15">
      <c r="A193" s="28" t="s">
        <v>590</v>
      </c>
      <c r="B193" s="13" t="s">
        <v>610</v>
      </c>
      <c r="C193" s="47" t="s">
        <v>222</v>
      </c>
      <c r="G193" s="49">
        <v>500</v>
      </c>
      <c r="H193" s="14"/>
      <c r="I193" s="49"/>
      <c r="J193" s="49">
        <v>500</v>
      </c>
      <c r="K193" s="48">
        <v>5.8999999999999997E-2</v>
      </c>
      <c r="M193" s="21" t="s">
        <v>221</v>
      </c>
      <c r="P193" s="41">
        <f t="shared" si="194"/>
        <v>15198597626.627287</v>
      </c>
      <c r="Q193" s="41">
        <f t="shared" si="195"/>
        <v>446216.05826595164</v>
      </c>
      <c r="R193" s="41">
        <f t="shared" si="196"/>
        <v>15936287795.212561</v>
      </c>
      <c r="S193" s="27">
        <v>100</v>
      </c>
      <c r="T193" s="52">
        <v>450</v>
      </c>
      <c r="U193" s="57">
        <v>0.5</v>
      </c>
      <c r="V193" s="27">
        <f t="shared" si="198"/>
        <v>79681438.976062804</v>
      </c>
      <c r="W193" s="41">
        <v>0</v>
      </c>
      <c r="X193" s="41">
        <f t="shared" si="192"/>
        <v>200</v>
      </c>
      <c r="Y193" s="41">
        <v>520</v>
      </c>
      <c r="Z193" s="27">
        <v>0</v>
      </c>
      <c r="AA193" s="41">
        <v>20</v>
      </c>
      <c r="AB193" s="41">
        <f t="shared" si="197"/>
        <v>23517.166174099326</v>
      </c>
      <c r="AC193" s="41">
        <v>20</v>
      </c>
      <c r="AD193" s="41">
        <v>200</v>
      </c>
    </row>
    <row r="194" spans="1:30" ht="15" x14ac:dyDescent="0.15">
      <c r="A194" s="28" t="s">
        <v>591</v>
      </c>
      <c r="B194" s="13" t="s">
        <v>611</v>
      </c>
      <c r="C194" s="47" t="s">
        <v>222</v>
      </c>
      <c r="G194" s="49">
        <v>500</v>
      </c>
      <c r="H194" s="14"/>
      <c r="I194" s="49"/>
      <c r="J194" s="49">
        <v>500</v>
      </c>
      <c r="K194" s="48">
        <v>5.8999999999999997E-2</v>
      </c>
      <c r="M194" s="21" t="s">
        <v>221</v>
      </c>
      <c r="P194" s="41">
        <f t="shared" si="194"/>
        <v>15958527507.958652</v>
      </c>
      <c r="Q194" s="41">
        <f t="shared" si="195"/>
        <v>468526.86117924924</v>
      </c>
      <c r="R194" s="41">
        <f t="shared" si="196"/>
        <v>16733102184.97319</v>
      </c>
      <c r="S194" s="27">
        <v>100</v>
      </c>
      <c r="T194" s="52">
        <v>450</v>
      </c>
      <c r="U194" s="57">
        <v>0.5</v>
      </c>
      <c r="V194" s="27">
        <f t="shared" si="198"/>
        <v>83665510.924865946</v>
      </c>
      <c r="W194" s="41">
        <v>0</v>
      </c>
      <c r="X194" s="41">
        <f t="shared" si="192"/>
        <v>200</v>
      </c>
      <c r="Y194" s="41">
        <v>530</v>
      </c>
      <c r="Z194" s="27">
        <v>0</v>
      </c>
      <c r="AA194" s="41">
        <v>20</v>
      </c>
      <c r="AB194" s="41">
        <f t="shared" si="197"/>
        <v>24693.024482804292</v>
      </c>
      <c r="AC194" s="41">
        <v>20</v>
      </c>
      <c r="AD194" s="41">
        <v>200</v>
      </c>
    </row>
    <row r="195" spans="1:30" ht="15" x14ac:dyDescent="0.15">
      <c r="A195" s="28" t="s">
        <v>592</v>
      </c>
      <c r="B195" s="13" t="s">
        <v>612</v>
      </c>
      <c r="C195" s="47" t="s">
        <v>222</v>
      </c>
      <c r="G195" s="49">
        <v>500</v>
      </c>
      <c r="H195" s="14"/>
      <c r="I195" s="49"/>
      <c r="J195" s="49">
        <v>500</v>
      </c>
      <c r="K195" s="48">
        <v>5.8999999999999997E-2</v>
      </c>
      <c r="M195" s="21" t="s">
        <v>221</v>
      </c>
      <c r="P195" s="41">
        <f t="shared" si="194"/>
        <v>16756453883.356586</v>
      </c>
      <c r="Q195" s="41">
        <f t="shared" si="195"/>
        <v>491953.20423821174</v>
      </c>
      <c r="R195" s="41">
        <f t="shared" si="196"/>
        <v>17569757294.221851</v>
      </c>
      <c r="S195" s="27">
        <v>100</v>
      </c>
      <c r="T195" s="52">
        <v>450</v>
      </c>
      <c r="U195" s="57">
        <v>0.5</v>
      </c>
      <c r="V195" s="27">
        <f t="shared" si="198"/>
        <v>87848786.471109256</v>
      </c>
      <c r="W195" s="41">
        <v>0</v>
      </c>
      <c r="X195" s="41">
        <f t="shared" si="192"/>
        <v>200</v>
      </c>
      <c r="Y195" s="41">
        <v>540</v>
      </c>
      <c r="Z195" s="27">
        <v>0</v>
      </c>
      <c r="AA195" s="41">
        <v>20</v>
      </c>
      <c r="AB195" s="41">
        <f t="shared" si="197"/>
        <v>25927.675706944508</v>
      </c>
      <c r="AC195" s="41">
        <v>20</v>
      </c>
      <c r="AD195" s="41">
        <v>200</v>
      </c>
    </row>
    <row r="196" spans="1:30" ht="15" x14ac:dyDescent="0.15">
      <c r="A196" s="28" t="s">
        <v>593</v>
      </c>
      <c r="B196" s="13" t="s">
        <v>613</v>
      </c>
      <c r="C196" s="47" t="s">
        <v>222</v>
      </c>
      <c r="G196" s="49">
        <v>500</v>
      </c>
      <c r="H196" s="14"/>
      <c r="I196" s="49"/>
      <c r="J196" s="49">
        <v>500</v>
      </c>
      <c r="K196" s="48">
        <v>5.8999999999999997E-2</v>
      </c>
      <c r="M196" s="21" t="s">
        <v>221</v>
      </c>
      <c r="P196" s="41">
        <f t="shared" si="194"/>
        <v>17594276577.524418</v>
      </c>
      <c r="Q196" s="41">
        <f t="shared" si="195"/>
        <v>516550.86445012235</v>
      </c>
      <c r="R196" s="41">
        <f t="shared" si="196"/>
        <v>18448245158.932945</v>
      </c>
      <c r="S196" s="27">
        <v>100</v>
      </c>
      <c r="T196" s="52">
        <v>450</v>
      </c>
      <c r="U196" s="57">
        <v>0.5</v>
      </c>
      <c r="V196" s="27">
        <f t="shared" si="198"/>
        <v>92241225.794664726</v>
      </c>
      <c r="W196" s="41">
        <v>0</v>
      </c>
      <c r="X196" s="41">
        <f t="shared" si="192"/>
        <v>200</v>
      </c>
      <c r="Y196" s="41">
        <v>550</v>
      </c>
      <c r="Z196" s="27">
        <v>0</v>
      </c>
      <c r="AA196" s="41">
        <v>20</v>
      </c>
      <c r="AB196" s="41">
        <f t="shared" si="197"/>
        <v>27224.059492291733</v>
      </c>
      <c r="AC196" s="41">
        <v>20</v>
      </c>
      <c r="AD196" s="41">
        <v>200</v>
      </c>
    </row>
    <row r="197" spans="1:30" ht="15" x14ac:dyDescent="0.15">
      <c r="A197" s="28" t="s">
        <v>594</v>
      </c>
      <c r="B197" s="13" t="s">
        <v>614</v>
      </c>
      <c r="C197" s="47" t="s">
        <v>222</v>
      </c>
      <c r="G197" s="49">
        <v>500</v>
      </c>
      <c r="H197" s="14"/>
      <c r="I197" s="49"/>
      <c r="J197" s="49">
        <v>500</v>
      </c>
      <c r="K197" s="48">
        <v>5.8999999999999997E-2</v>
      </c>
      <c r="M197" s="21" t="s">
        <v>221</v>
      </c>
      <c r="P197" s="41">
        <f t="shared" si="194"/>
        <v>18473990406.400639</v>
      </c>
      <c r="Q197" s="41">
        <f t="shared" si="195"/>
        <v>542378.40767262853</v>
      </c>
      <c r="R197" s="41">
        <f t="shared" si="196"/>
        <v>19370657416.879593</v>
      </c>
      <c r="S197" s="27">
        <v>100</v>
      </c>
      <c r="T197" s="52">
        <v>450</v>
      </c>
      <c r="U197" s="57">
        <v>0.5</v>
      </c>
      <c r="V197" s="27">
        <f t="shared" si="198"/>
        <v>96853287.084397972</v>
      </c>
      <c r="W197" s="41">
        <v>0</v>
      </c>
      <c r="X197" s="41">
        <f t="shared" si="192"/>
        <v>200</v>
      </c>
      <c r="Y197" s="41">
        <v>560</v>
      </c>
      <c r="Z197" s="27">
        <v>0</v>
      </c>
      <c r="AA197" s="41">
        <v>20</v>
      </c>
      <c r="AB197" s="41">
        <f t="shared" si="197"/>
        <v>28585.262466906323</v>
      </c>
      <c r="AC197" s="41">
        <v>20</v>
      </c>
      <c r="AD197" s="41">
        <v>200</v>
      </c>
    </row>
    <row r="198" spans="1:30" ht="15" x14ac:dyDescent="0.15">
      <c r="A198" s="28" t="s">
        <v>595</v>
      </c>
      <c r="B198" s="13" t="s">
        <v>615</v>
      </c>
      <c r="C198" s="47" t="s">
        <v>222</v>
      </c>
      <c r="G198" s="49">
        <v>500</v>
      </c>
      <c r="H198" s="14"/>
      <c r="I198" s="49"/>
      <c r="J198" s="49">
        <v>500</v>
      </c>
      <c r="K198" s="48">
        <v>5.8999999999999997E-2</v>
      </c>
      <c r="M198" s="21" t="s">
        <v>221</v>
      </c>
      <c r="P198" s="41">
        <f t="shared" si="194"/>
        <v>19397689926.720673</v>
      </c>
      <c r="Q198" s="41">
        <f t="shared" si="195"/>
        <v>569497.32805626001</v>
      </c>
      <c r="R198" s="41">
        <f t="shared" si="196"/>
        <v>20339190287.723572</v>
      </c>
      <c r="S198" s="27">
        <v>100</v>
      </c>
      <c r="T198" s="52">
        <v>450</v>
      </c>
      <c r="U198" s="57">
        <v>0.5</v>
      </c>
      <c r="V198" s="27">
        <f t="shared" si="198"/>
        <v>101695951.43861786</v>
      </c>
      <c r="W198" s="41">
        <v>0</v>
      </c>
      <c r="X198" s="41">
        <f t="shared" si="192"/>
        <v>200</v>
      </c>
      <c r="Y198" s="41">
        <v>570</v>
      </c>
      <c r="Z198" s="27">
        <v>0</v>
      </c>
      <c r="AA198" s="41">
        <v>20</v>
      </c>
      <c r="AB198" s="41">
        <f t="shared" si="197"/>
        <v>30014.52559025164</v>
      </c>
      <c r="AC198" s="41">
        <v>20</v>
      </c>
      <c r="AD198" s="41">
        <v>200</v>
      </c>
    </row>
    <row r="199" spans="1:30" ht="15" x14ac:dyDescent="0.15">
      <c r="A199" s="28" t="s">
        <v>596</v>
      </c>
      <c r="B199" s="13" t="s">
        <v>616</v>
      </c>
      <c r="C199" s="47" t="s">
        <v>222</v>
      </c>
      <c r="G199" s="49">
        <v>500</v>
      </c>
      <c r="H199" s="14"/>
      <c r="I199" s="49"/>
      <c r="J199" s="49">
        <v>500</v>
      </c>
      <c r="K199" s="48">
        <v>5.8999999999999997E-2</v>
      </c>
      <c r="M199" s="21" t="s">
        <v>221</v>
      </c>
      <c r="P199" s="41">
        <f t="shared" si="194"/>
        <v>20367574423.056705</v>
      </c>
      <c r="Q199" s="41">
        <f t="shared" si="195"/>
        <v>597972.19445907301</v>
      </c>
      <c r="R199" s="41">
        <f t="shared" si="196"/>
        <v>21356149802.109753</v>
      </c>
      <c r="S199" s="27">
        <v>100</v>
      </c>
      <c r="T199" s="52">
        <v>450</v>
      </c>
      <c r="U199" s="57">
        <v>0.5</v>
      </c>
      <c r="V199" s="27">
        <f t="shared" si="198"/>
        <v>106780749.01054877</v>
      </c>
      <c r="W199" s="41">
        <v>0</v>
      </c>
      <c r="X199" s="41">
        <f t="shared" si="192"/>
        <v>200</v>
      </c>
      <c r="Y199" s="41">
        <v>580</v>
      </c>
      <c r="Z199" s="27">
        <v>0</v>
      </c>
      <c r="AA199" s="41">
        <v>20</v>
      </c>
      <c r="AB199" s="41">
        <f t="shared" si="197"/>
        <v>31515.251869764223</v>
      </c>
      <c r="AC199" s="41">
        <v>20</v>
      </c>
      <c r="AD199" s="41">
        <v>200</v>
      </c>
    </row>
    <row r="200" spans="1:30" ht="15" x14ac:dyDescent="0.15">
      <c r="A200" s="28" t="s">
        <v>597</v>
      </c>
      <c r="B200" s="13" t="s">
        <v>617</v>
      </c>
      <c r="C200" s="47" t="s">
        <v>222</v>
      </c>
      <c r="G200" s="49">
        <v>500</v>
      </c>
      <c r="H200" s="14"/>
      <c r="I200" s="49"/>
      <c r="J200" s="49">
        <v>500</v>
      </c>
      <c r="K200" s="48">
        <v>5.8999999999999997E-2</v>
      </c>
      <c r="M200" s="21" t="s">
        <v>221</v>
      </c>
      <c r="P200" s="41">
        <f t="shared" si="194"/>
        <v>21385953144.209541</v>
      </c>
      <c r="Q200" s="41">
        <f t="shared" si="195"/>
        <v>627870.80418202665</v>
      </c>
      <c r="R200" s="41">
        <f t="shared" si="196"/>
        <v>22423957292.21524</v>
      </c>
      <c r="S200" s="27">
        <v>100</v>
      </c>
      <c r="T200" s="52">
        <v>450</v>
      </c>
      <c r="U200" s="57">
        <v>0.5</v>
      </c>
      <c r="V200" s="27">
        <f t="shared" si="198"/>
        <v>112119786.4610762</v>
      </c>
      <c r="W200" s="41">
        <v>0</v>
      </c>
      <c r="X200" s="41">
        <f t="shared" si="192"/>
        <v>200</v>
      </c>
      <c r="Y200" s="41">
        <v>590</v>
      </c>
      <c r="Z200" s="27">
        <v>0</v>
      </c>
      <c r="AA200" s="41">
        <v>20</v>
      </c>
      <c r="AB200" s="41">
        <f t="shared" si="197"/>
        <v>33091.014463252432</v>
      </c>
      <c r="AC200" s="41">
        <v>20</v>
      </c>
      <c r="AD200" s="41">
        <v>200</v>
      </c>
    </row>
    <row r="201" spans="1:30" ht="15" x14ac:dyDescent="0.15">
      <c r="A201" s="28" t="s">
        <v>598</v>
      </c>
      <c r="B201" s="13" t="s">
        <v>618</v>
      </c>
      <c r="C201" s="47" t="s">
        <v>222</v>
      </c>
      <c r="G201" s="49">
        <v>500</v>
      </c>
      <c r="H201" s="14"/>
      <c r="I201" s="49"/>
      <c r="J201" s="49">
        <v>500</v>
      </c>
      <c r="K201" s="48">
        <v>5.8999999999999997E-2</v>
      </c>
      <c r="M201" s="21" t="s">
        <v>221</v>
      </c>
      <c r="P201" s="41">
        <f t="shared" si="194"/>
        <v>22455250801.420021</v>
      </c>
      <c r="Q201" s="41">
        <f t="shared" si="195"/>
        <v>659264.34439112805</v>
      </c>
      <c r="R201" s="41">
        <f t="shared" si="196"/>
        <v>23545155156.826004</v>
      </c>
      <c r="S201" s="27">
        <v>100</v>
      </c>
      <c r="T201" s="52">
        <v>450</v>
      </c>
      <c r="U201" s="57">
        <v>0.5</v>
      </c>
      <c r="V201" s="27">
        <f t="shared" si="198"/>
        <v>117725775.78413002</v>
      </c>
      <c r="W201" s="41">
        <v>0</v>
      </c>
      <c r="X201" s="41">
        <f t="shared" si="192"/>
        <v>200</v>
      </c>
      <c r="Y201" s="41">
        <v>600</v>
      </c>
      <c r="Z201" s="27">
        <v>0</v>
      </c>
      <c r="AA201" s="41">
        <v>20</v>
      </c>
      <c r="AB201" s="41">
        <f t="shared" si="197"/>
        <v>34745.565186415057</v>
      </c>
      <c r="AC201" s="41">
        <v>20</v>
      </c>
      <c r="AD201" s="41">
        <v>200</v>
      </c>
    </row>
    <row r="202" spans="1:30" ht="15" x14ac:dyDescent="0.15">
      <c r="A202" s="28" t="s">
        <v>620</v>
      </c>
      <c r="B202" s="13" t="s">
        <v>640</v>
      </c>
      <c r="C202" s="47" t="s">
        <v>222</v>
      </c>
      <c r="G202" s="49">
        <v>500</v>
      </c>
      <c r="H202" s="14"/>
      <c r="I202" s="49"/>
      <c r="J202" s="49">
        <v>500</v>
      </c>
      <c r="K202" s="48">
        <v>5.8999999999999997E-2</v>
      </c>
      <c r="M202" s="21" t="s">
        <v>221</v>
      </c>
      <c r="P202" s="41">
        <f>P182</f>
        <v>8886305255.4472542</v>
      </c>
      <c r="Q202" s="41">
        <f>Q182</f>
        <v>260893.28772588883</v>
      </c>
      <c r="R202" s="41">
        <f t="shared" ref="R202:AA202" si="199">R182</f>
        <v>9317617418.7817459</v>
      </c>
      <c r="S202" s="41">
        <f t="shared" si="199"/>
        <v>100</v>
      </c>
      <c r="T202" s="41">
        <f t="shared" si="199"/>
        <v>450</v>
      </c>
      <c r="U202" s="57">
        <v>0.5</v>
      </c>
      <c r="V202" s="41">
        <f t="shared" si="199"/>
        <v>46588087.093908727</v>
      </c>
      <c r="W202" s="41">
        <f t="shared" si="199"/>
        <v>0</v>
      </c>
      <c r="X202" s="41">
        <f t="shared" si="199"/>
        <v>200</v>
      </c>
      <c r="Y202" s="41">
        <f t="shared" si="199"/>
        <v>410</v>
      </c>
      <c r="Z202" s="41">
        <f t="shared" si="199"/>
        <v>0</v>
      </c>
      <c r="AA202" s="41">
        <f t="shared" si="199"/>
        <v>20</v>
      </c>
      <c r="AB202" s="41">
        <f>AB182</f>
        <v>13750.000000000002</v>
      </c>
      <c r="AC202" s="41">
        <v>20</v>
      </c>
      <c r="AD202" s="41">
        <v>200</v>
      </c>
    </row>
    <row r="203" spans="1:30" ht="15" x14ac:dyDescent="0.15">
      <c r="A203" s="28" t="s">
        <v>621</v>
      </c>
      <c r="B203" s="13" t="s">
        <v>641</v>
      </c>
      <c r="C203" s="47" t="s">
        <v>222</v>
      </c>
      <c r="G203" s="49">
        <v>500</v>
      </c>
      <c r="H203" s="14"/>
      <c r="I203" s="49"/>
      <c r="J203" s="49">
        <v>500</v>
      </c>
      <c r="K203" s="48">
        <v>5.8999999999999997E-2</v>
      </c>
      <c r="M203" s="21" t="s">
        <v>221</v>
      </c>
      <c r="P203" s="41">
        <f t="shared" ref="P203:AB203" si="200">P183</f>
        <v>9330620518.2196178</v>
      </c>
      <c r="Q203" s="41">
        <f t="shared" si="200"/>
        <v>273937.95211218327</v>
      </c>
      <c r="R203" s="41">
        <f t="shared" si="200"/>
        <v>9783498289.7208328</v>
      </c>
      <c r="S203" s="41">
        <f t="shared" si="200"/>
        <v>100</v>
      </c>
      <c r="T203" s="41">
        <f t="shared" si="200"/>
        <v>450</v>
      </c>
      <c r="U203" s="57">
        <v>0.5</v>
      </c>
      <c r="V203" s="41">
        <f t="shared" si="200"/>
        <v>48917491.448604167</v>
      </c>
      <c r="W203" s="41">
        <f t="shared" si="200"/>
        <v>0</v>
      </c>
      <c r="X203" s="41">
        <f t="shared" si="200"/>
        <v>200</v>
      </c>
      <c r="Y203" s="41">
        <f t="shared" si="200"/>
        <v>420</v>
      </c>
      <c r="Z203" s="41">
        <f t="shared" si="200"/>
        <v>0</v>
      </c>
      <c r="AA203" s="41">
        <f t="shared" si="200"/>
        <v>20</v>
      </c>
      <c r="AB203" s="41">
        <f t="shared" si="200"/>
        <v>14437.500000000002</v>
      </c>
      <c r="AC203" s="41">
        <v>20</v>
      </c>
      <c r="AD203" s="41">
        <v>200</v>
      </c>
    </row>
    <row r="204" spans="1:30" ht="15" x14ac:dyDescent="0.15">
      <c r="A204" s="28" t="s">
        <v>622</v>
      </c>
      <c r="B204" s="13" t="s">
        <v>642</v>
      </c>
      <c r="C204" s="47" t="s">
        <v>222</v>
      </c>
      <c r="G204" s="49">
        <v>500</v>
      </c>
      <c r="H204" s="14"/>
      <c r="I204" s="49"/>
      <c r="J204" s="49">
        <v>500</v>
      </c>
      <c r="K204" s="48">
        <v>5.8999999999999997E-2</v>
      </c>
      <c r="M204" s="21" t="s">
        <v>221</v>
      </c>
      <c r="P204" s="41">
        <f t="shared" ref="P204:AB204" si="201">P184</f>
        <v>9797151544.1306</v>
      </c>
      <c r="Q204" s="41">
        <f t="shared" si="201"/>
        <v>287634.84971779241</v>
      </c>
      <c r="R204" s="41">
        <f t="shared" si="201"/>
        <v>10272673204.206875</v>
      </c>
      <c r="S204" s="41">
        <f t="shared" si="201"/>
        <v>100</v>
      </c>
      <c r="T204" s="41">
        <f t="shared" si="201"/>
        <v>450</v>
      </c>
      <c r="U204" s="57">
        <v>0.5</v>
      </c>
      <c r="V204" s="41">
        <f t="shared" si="201"/>
        <v>51363366.021034375</v>
      </c>
      <c r="W204" s="41">
        <f t="shared" si="201"/>
        <v>0</v>
      </c>
      <c r="X204" s="41">
        <f t="shared" si="201"/>
        <v>200</v>
      </c>
      <c r="Y204" s="41">
        <f t="shared" si="201"/>
        <v>430</v>
      </c>
      <c r="Z204" s="41">
        <f t="shared" si="201"/>
        <v>0</v>
      </c>
      <c r="AA204" s="41">
        <f t="shared" si="201"/>
        <v>20</v>
      </c>
      <c r="AB204" s="41">
        <f t="shared" si="201"/>
        <v>15159.375000000002</v>
      </c>
      <c r="AC204" s="41">
        <v>20</v>
      </c>
      <c r="AD204" s="41">
        <v>200</v>
      </c>
    </row>
    <row r="205" spans="1:30" ht="15" x14ac:dyDescent="0.15">
      <c r="A205" s="28" t="s">
        <v>623</v>
      </c>
      <c r="B205" s="13" t="s">
        <v>643</v>
      </c>
      <c r="C205" s="47" t="s">
        <v>222</v>
      </c>
      <c r="G205" s="49">
        <v>500</v>
      </c>
      <c r="H205" s="14"/>
      <c r="I205" s="49"/>
      <c r="J205" s="49">
        <v>500</v>
      </c>
      <c r="K205" s="48">
        <v>5.8999999999999997E-2</v>
      </c>
      <c r="M205" s="21" t="s">
        <v>221</v>
      </c>
      <c r="P205" s="41">
        <f t="shared" ref="P205:AB205" si="202">P185</f>
        <v>10287009121.33713</v>
      </c>
      <c r="Q205" s="41">
        <f t="shared" si="202"/>
        <v>302016.59220368206</v>
      </c>
      <c r="R205" s="41">
        <f t="shared" si="202"/>
        <v>10786306864.417219</v>
      </c>
      <c r="S205" s="41">
        <f t="shared" si="202"/>
        <v>100</v>
      </c>
      <c r="T205" s="41">
        <f t="shared" si="202"/>
        <v>450</v>
      </c>
      <c r="U205" s="57">
        <v>0.5</v>
      </c>
      <c r="V205" s="41">
        <f t="shared" si="202"/>
        <v>53931534.322086096</v>
      </c>
      <c r="W205" s="41">
        <f t="shared" si="202"/>
        <v>0</v>
      </c>
      <c r="X205" s="41">
        <f t="shared" si="202"/>
        <v>200</v>
      </c>
      <c r="Y205" s="41">
        <f t="shared" si="202"/>
        <v>440</v>
      </c>
      <c r="Z205" s="41">
        <f t="shared" si="202"/>
        <v>0</v>
      </c>
      <c r="AA205" s="41">
        <f t="shared" si="202"/>
        <v>20</v>
      </c>
      <c r="AB205" s="41">
        <f t="shared" si="202"/>
        <v>15917.343750000002</v>
      </c>
      <c r="AC205" s="41">
        <v>20</v>
      </c>
      <c r="AD205" s="41">
        <v>200</v>
      </c>
    </row>
    <row r="206" spans="1:30" ht="15" x14ac:dyDescent="0.15">
      <c r="A206" s="28" t="s">
        <v>624</v>
      </c>
      <c r="B206" s="13" t="s">
        <v>644</v>
      </c>
      <c r="C206" s="47" t="s">
        <v>222</v>
      </c>
      <c r="G206" s="49">
        <v>500</v>
      </c>
      <c r="H206" s="14"/>
      <c r="I206" s="49"/>
      <c r="J206" s="49">
        <v>500</v>
      </c>
      <c r="K206" s="48">
        <v>5.8999999999999997E-2</v>
      </c>
      <c r="M206" s="21" t="s">
        <v>221</v>
      </c>
      <c r="P206" s="41">
        <f t="shared" ref="P206:AB206" si="203">P186</f>
        <v>10801359577.403986</v>
      </c>
      <c r="Q206" s="41">
        <f t="shared" si="203"/>
        <v>317117.42181386618</v>
      </c>
      <c r="R206" s="41">
        <f t="shared" si="203"/>
        <v>11325622207.638081</v>
      </c>
      <c r="S206" s="41">
        <f t="shared" si="203"/>
        <v>100</v>
      </c>
      <c r="T206" s="41">
        <f t="shared" si="203"/>
        <v>450</v>
      </c>
      <c r="U206" s="57">
        <v>0.5</v>
      </c>
      <c r="V206" s="41">
        <f t="shared" si="203"/>
        <v>56628111.038190402</v>
      </c>
      <c r="W206" s="41">
        <f t="shared" si="203"/>
        <v>0</v>
      </c>
      <c r="X206" s="41">
        <f t="shared" si="203"/>
        <v>200</v>
      </c>
      <c r="Y206" s="41">
        <f t="shared" si="203"/>
        <v>450</v>
      </c>
      <c r="Z206" s="41">
        <f t="shared" si="203"/>
        <v>0</v>
      </c>
      <c r="AA206" s="41">
        <f t="shared" si="203"/>
        <v>20</v>
      </c>
      <c r="AB206" s="41">
        <f t="shared" si="203"/>
        <v>16713.210937500004</v>
      </c>
      <c r="AC206" s="41">
        <v>20</v>
      </c>
      <c r="AD206" s="41">
        <v>200</v>
      </c>
    </row>
    <row r="207" spans="1:30" ht="15" x14ac:dyDescent="0.15">
      <c r="A207" s="28" t="s">
        <v>625</v>
      </c>
      <c r="B207" s="13" t="s">
        <v>645</v>
      </c>
      <c r="C207" s="47" t="s">
        <v>222</v>
      </c>
      <c r="G207" s="49">
        <v>500</v>
      </c>
      <c r="H207" s="14"/>
      <c r="I207" s="49"/>
      <c r="J207" s="49">
        <v>500</v>
      </c>
      <c r="K207" s="48">
        <v>5.8999999999999997E-2</v>
      </c>
      <c r="M207" s="21" t="s">
        <v>221</v>
      </c>
      <c r="P207" s="41">
        <f t="shared" ref="P207:AB207" si="204">P187</f>
        <v>11341427556.274185</v>
      </c>
      <c r="Q207" s="41">
        <f t="shared" si="204"/>
        <v>332973.29290455952</v>
      </c>
      <c r="R207" s="41">
        <f t="shared" si="204"/>
        <v>11891903318.019985</v>
      </c>
      <c r="S207" s="41">
        <f t="shared" si="204"/>
        <v>100</v>
      </c>
      <c r="T207" s="41">
        <f t="shared" si="204"/>
        <v>450</v>
      </c>
      <c r="U207" s="57">
        <v>0.5</v>
      </c>
      <c r="V207" s="41">
        <f t="shared" si="204"/>
        <v>59459516.590099931</v>
      </c>
      <c r="W207" s="41">
        <f t="shared" si="204"/>
        <v>0</v>
      </c>
      <c r="X207" s="41">
        <f t="shared" si="204"/>
        <v>200</v>
      </c>
      <c r="Y207" s="41">
        <f t="shared" si="204"/>
        <v>460</v>
      </c>
      <c r="Z207" s="41">
        <f t="shared" si="204"/>
        <v>0</v>
      </c>
      <c r="AA207" s="41">
        <f t="shared" si="204"/>
        <v>20</v>
      </c>
      <c r="AB207" s="41">
        <f t="shared" si="204"/>
        <v>17548.871484375006</v>
      </c>
      <c r="AC207" s="41">
        <v>20</v>
      </c>
      <c r="AD207" s="41">
        <v>200</v>
      </c>
    </row>
    <row r="208" spans="1:30" ht="15" x14ac:dyDescent="0.15">
      <c r="A208" s="28" t="s">
        <v>626</v>
      </c>
      <c r="B208" s="13" t="s">
        <v>646</v>
      </c>
      <c r="C208" s="47" t="s">
        <v>222</v>
      </c>
      <c r="G208" s="49">
        <v>500</v>
      </c>
      <c r="H208" s="14"/>
      <c r="I208" s="49"/>
      <c r="J208" s="49">
        <v>500</v>
      </c>
      <c r="K208" s="48">
        <v>5.8999999999999997E-2</v>
      </c>
      <c r="M208" s="21" t="s">
        <v>221</v>
      </c>
      <c r="P208" s="41">
        <f t="shared" ref="P208:AB208" si="205">P188</f>
        <v>11908498934.087894</v>
      </c>
      <c r="Q208" s="41">
        <f t="shared" si="205"/>
        <v>349621.95754978753</v>
      </c>
      <c r="R208" s="41">
        <f t="shared" si="205"/>
        <v>12486498483.920984</v>
      </c>
      <c r="S208" s="41">
        <f t="shared" si="205"/>
        <v>100</v>
      </c>
      <c r="T208" s="41">
        <f t="shared" si="205"/>
        <v>450</v>
      </c>
      <c r="U208" s="57">
        <v>0.5</v>
      </c>
      <c r="V208" s="41">
        <f t="shared" si="205"/>
        <v>62432492.41960492</v>
      </c>
      <c r="W208" s="41">
        <f t="shared" si="205"/>
        <v>0</v>
      </c>
      <c r="X208" s="41">
        <f t="shared" si="205"/>
        <v>200</v>
      </c>
      <c r="Y208" s="41">
        <f t="shared" si="205"/>
        <v>470</v>
      </c>
      <c r="Z208" s="41">
        <f t="shared" si="205"/>
        <v>0</v>
      </c>
      <c r="AA208" s="41">
        <f t="shared" si="205"/>
        <v>20</v>
      </c>
      <c r="AB208" s="41">
        <f t="shared" si="205"/>
        <v>18426.315058593758</v>
      </c>
      <c r="AC208" s="41">
        <v>20</v>
      </c>
      <c r="AD208" s="41">
        <v>200</v>
      </c>
    </row>
    <row r="209" spans="1:30" ht="15" x14ac:dyDescent="0.15">
      <c r="A209" s="28" t="s">
        <v>627</v>
      </c>
      <c r="B209" s="13" t="s">
        <v>647</v>
      </c>
      <c r="C209" s="47" t="s">
        <v>222</v>
      </c>
      <c r="G209" s="49">
        <v>500</v>
      </c>
      <c r="H209" s="14"/>
      <c r="I209" s="49"/>
      <c r="J209" s="49">
        <v>500</v>
      </c>
      <c r="K209" s="48">
        <v>5.8999999999999997E-2</v>
      </c>
      <c r="M209" s="21" t="s">
        <v>221</v>
      </c>
      <c r="P209" s="41">
        <f t="shared" ref="P209:AB209" si="206">P189</f>
        <v>12503923880.79229</v>
      </c>
      <c r="Q209" s="41">
        <f t="shared" si="206"/>
        <v>367103.05542727694</v>
      </c>
      <c r="R209" s="41">
        <f t="shared" si="206"/>
        <v>13110823408.117035</v>
      </c>
      <c r="S209" s="41">
        <f t="shared" si="206"/>
        <v>100</v>
      </c>
      <c r="T209" s="41">
        <f t="shared" si="206"/>
        <v>450</v>
      </c>
      <c r="U209" s="57">
        <v>0.5</v>
      </c>
      <c r="V209" s="41">
        <f t="shared" si="206"/>
        <v>65554117.040585175</v>
      </c>
      <c r="W209" s="41">
        <f t="shared" si="206"/>
        <v>0</v>
      </c>
      <c r="X209" s="41">
        <f t="shared" si="206"/>
        <v>200</v>
      </c>
      <c r="Y209" s="41">
        <f t="shared" si="206"/>
        <v>480</v>
      </c>
      <c r="Z209" s="41">
        <f t="shared" si="206"/>
        <v>0</v>
      </c>
      <c r="AA209" s="41">
        <f t="shared" si="206"/>
        <v>20</v>
      </c>
      <c r="AB209" s="41">
        <f t="shared" si="206"/>
        <v>19347.630811523446</v>
      </c>
      <c r="AC209" s="41">
        <v>20</v>
      </c>
      <c r="AD209" s="41">
        <v>200</v>
      </c>
    </row>
    <row r="210" spans="1:30" ht="15" x14ac:dyDescent="0.15">
      <c r="A210" s="28" t="s">
        <v>628</v>
      </c>
      <c r="B210" s="13" t="s">
        <v>648</v>
      </c>
      <c r="C210" s="47" t="s">
        <v>222</v>
      </c>
      <c r="G210" s="49">
        <v>500</v>
      </c>
      <c r="H210" s="14"/>
      <c r="I210" s="49"/>
      <c r="J210" s="49">
        <v>500</v>
      </c>
      <c r="K210" s="48">
        <v>5.8999999999999997E-2</v>
      </c>
      <c r="M210" s="21" t="s">
        <v>221</v>
      </c>
      <c r="P210" s="41">
        <f t="shared" ref="P210:AB210" si="207">P190</f>
        <v>13129120074.831905</v>
      </c>
      <c r="Q210" s="41">
        <f t="shared" si="207"/>
        <v>385458.20819864079</v>
      </c>
      <c r="R210" s="41">
        <f t="shared" si="207"/>
        <v>13766364578.522888</v>
      </c>
      <c r="S210" s="41">
        <f t="shared" si="207"/>
        <v>100</v>
      </c>
      <c r="T210" s="41">
        <f t="shared" si="207"/>
        <v>450</v>
      </c>
      <c r="U210" s="57">
        <v>0.5</v>
      </c>
      <c r="V210" s="41">
        <f t="shared" si="207"/>
        <v>68831822.892614439</v>
      </c>
      <c r="W210" s="41">
        <f t="shared" si="207"/>
        <v>0</v>
      </c>
      <c r="X210" s="41">
        <f t="shared" si="207"/>
        <v>200</v>
      </c>
      <c r="Y210" s="41">
        <f t="shared" si="207"/>
        <v>490</v>
      </c>
      <c r="Z210" s="41">
        <f t="shared" si="207"/>
        <v>0</v>
      </c>
      <c r="AA210" s="41">
        <f t="shared" si="207"/>
        <v>20</v>
      </c>
      <c r="AB210" s="41">
        <f t="shared" si="207"/>
        <v>20315.01235209962</v>
      </c>
      <c r="AC210" s="41">
        <v>20</v>
      </c>
      <c r="AD210" s="41">
        <v>200</v>
      </c>
    </row>
    <row r="211" spans="1:30" ht="15" x14ac:dyDescent="0.15">
      <c r="A211" s="28" t="s">
        <v>629</v>
      </c>
      <c r="B211" s="13" t="s">
        <v>649</v>
      </c>
      <c r="C211" s="47" t="s">
        <v>222</v>
      </c>
      <c r="G211" s="49">
        <v>500</v>
      </c>
      <c r="H211" s="14"/>
      <c r="I211" s="49"/>
      <c r="J211" s="49">
        <v>500</v>
      </c>
      <c r="K211" s="48">
        <v>5.8999999999999997E-2</v>
      </c>
      <c r="M211" s="21" t="s">
        <v>221</v>
      </c>
      <c r="P211" s="41">
        <f t="shared" ref="P211:AB211" si="208">P191</f>
        <v>13785576078.573502</v>
      </c>
      <c r="Q211" s="41">
        <f t="shared" si="208"/>
        <v>404731.11860857287</v>
      </c>
      <c r="R211" s="41">
        <f t="shared" si="208"/>
        <v>14454682807.449034</v>
      </c>
      <c r="S211" s="41">
        <f t="shared" si="208"/>
        <v>100</v>
      </c>
      <c r="T211" s="41">
        <f t="shared" si="208"/>
        <v>450</v>
      </c>
      <c r="U211" s="57">
        <v>0.5</v>
      </c>
      <c r="V211" s="41">
        <f t="shared" si="208"/>
        <v>72273414.037245169</v>
      </c>
      <c r="W211" s="41">
        <f t="shared" si="208"/>
        <v>0</v>
      </c>
      <c r="X211" s="41">
        <f t="shared" si="208"/>
        <v>200</v>
      </c>
      <c r="Y211" s="41">
        <f t="shared" si="208"/>
        <v>500</v>
      </c>
      <c r="Z211" s="41">
        <f t="shared" si="208"/>
        <v>0</v>
      </c>
      <c r="AA211" s="41">
        <f t="shared" si="208"/>
        <v>20</v>
      </c>
      <c r="AB211" s="41">
        <f t="shared" si="208"/>
        <v>21330.762969704603</v>
      </c>
      <c r="AC211" s="41">
        <v>20</v>
      </c>
      <c r="AD211" s="41">
        <v>200</v>
      </c>
    </row>
    <row r="212" spans="1:30" ht="15" x14ac:dyDescent="0.15">
      <c r="A212" s="28" t="s">
        <v>630</v>
      </c>
      <c r="B212" s="13" t="s">
        <v>650</v>
      </c>
      <c r="C212" s="47" t="s">
        <v>222</v>
      </c>
      <c r="G212" s="49">
        <v>500</v>
      </c>
      <c r="H212" s="14"/>
      <c r="I212" s="49"/>
      <c r="J212" s="49">
        <v>500</v>
      </c>
      <c r="K212" s="48">
        <v>5.8999999999999997E-2</v>
      </c>
      <c r="M212" s="21" t="s">
        <v>221</v>
      </c>
      <c r="P212" s="41">
        <f t="shared" ref="P212:AB212" si="209">P192</f>
        <v>14474854882.502178</v>
      </c>
      <c r="Q212" s="41">
        <f t="shared" si="209"/>
        <v>424967.67453900154</v>
      </c>
      <c r="R212" s="41">
        <f t="shared" si="209"/>
        <v>15177416947.821486</v>
      </c>
      <c r="S212" s="41">
        <f t="shared" si="209"/>
        <v>100</v>
      </c>
      <c r="T212" s="41">
        <f t="shared" si="209"/>
        <v>450</v>
      </c>
      <c r="U212" s="57">
        <v>0.5</v>
      </c>
      <c r="V212" s="41">
        <f t="shared" si="209"/>
        <v>75887084.73910743</v>
      </c>
      <c r="W212" s="41">
        <f t="shared" si="209"/>
        <v>0</v>
      </c>
      <c r="X212" s="41">
        <f t="shared" si="209"/>
        <v>200</v>
      </c>
      <c r="Y212" s="41">
        <f t="shared" si="209"/>
        <v>510</v>
      </c>
      <c r="Z212" s="41">
        <f t="shared" si="209"/>
        <v>0</v>
      </c>
      <c r="AA212" s="41">
        <f t="shared" si="209"/>
        <v>20</v>
      </c>
      <c r="AB212" s="41">
        <f t="shared" si="209"/>
        <v>22397.301118189833</v>
      </c>
      <c r="AC212" s="41">
        <v>20</v>
      </c>
      <c r="AD212" s="41">
        <v>200</v>
      </c>
    </row>
    <row r="213" spans="1:30" ht="15" x14ac:dyDescent="0.15">
      <c r="A213" s="28" t="s">
        <v>631</v>
      </c>
      <c r="B213" s="13" t="s">
        <v>651</v>
      </c>
      <c r="C213" s="47" t="s">
        <v>222</v>
      </c>
      <c r="G213" s="49">
        <v>500</v>
      </c>
      <c r="H213" s="14"/>
      <c r="I213" s="49"/>
      <c r="J213" s="49">
        <v>500</v>
      </c>
      <c r="K213" s="48">
        <v>5.8999999999999997E-2</v>
      </c>
      <c r="M213" s="21" t="s">
        <v>221</v>
      </c>
      <c r="P213" s="41">
        <f t="shared" ref="P213:AB213" si="210">P193</f>
        <v>15198597626.627287</v>
      </c>
      <c r="Q213" s="41">
        <f t="shared" si="210"/>
        <v>446216.05826595164</v>
      </c>
      <c r="R213" s="41">
        <f t="shared" si="210"/>
        <v>15936287795.212561</v>
      </c>
      <c r="S213" s="41">
        <f t="shared" si="210"/>
        <v>100</v>
      </c>
      <c r="T213" s="41">
        <f t="shared" si="210"/>
        <v>450</v>
      </c>
      <c r="U213" s="57">
        <v>0.5</v>
      </c>
      <c r="V213" s="41">
        <f t="shared" si="210"/>
        <v>79681438.976062804</v>
      </c>
      <c r="W213" s="41">
        <f t="shared" si="210"/>
        <v>0</v>
      </c>
      <c r="X213" s="41">
        <f t="shared" si="210"/>
        <v>200</v>
      </c>
      <c r="Y213" s="41">
        <f t="shared" si="210"/>
        <v>520</v>
      </c>
      <c r="Z213" s="41">
        <f t="shared" si="210"/>
        <v>0</v>
      </c>
      <c r="AA213" s="41">
        <f t="shared" si="210"/>
        <v>20</v>
      </c>
      <c r="AB213" s="41">
        <f t="shared" si="210"/>
        <v>23517.166174099326</v>
      </c>
      <c r="AC213" s="41">
        <v>20</v>
      </c>
      <c r="AD213" s="41">
        <v>200</v>
      </c>
    </row>
    <row r="214" spans="1:30" ht="15" x14ac:dyDescent="0.15">
      <c r="A214" s="28" t="s">
        <v>632</v>
      </c>
      <c r="B214" s="13" t="s">
        <v>652</v>
      </c>
      <c r="C214" s="47" t="s">
        <v>222</v>
      </c>
      <c r="G214" s="49">
        <v>500</v>
      </c>
      <c r="H214" s="14"/>
      <c r="I214" s="49"/>
      <c r="J214" s="49">
        <v>500</v>
      </c>
      <c r="K214" s="48">
        <v>5.8999999999999997E-2</v>
      </c>
      <c r="M214" s="21" t="s">
        <v>221</v>
      </c>
      <c r="P214" s="41">
        <f t="shared" ref="P214:AB214" si="211">P194</f>
        <v>15958527507.958652</v>
      </c>
      <c r="Q214" s="41">
        <f t="shared" si="211"/>
        <v>468526.86117924924</v>
      </c>
      <c r="R214" s="41">
        <f t="shared" si="211"/>
        <v>16733102184.97319</v>
      </c>
      <c r="S214" s="41">
        <f t="shared" si="211"/>
        <v>100</v>
      </c>
      <c r="T214" s="41">
        <f t="shared" si="211"/>
        <v>450</v>
      </c>
      <c r="U214" s="57">
        <v>0.5</v>
      </c>
      <c r="V214" s="41">
        <f t="shared" si="211"/>
        <v>83665510.924865946</v>
      </c>
      <c r="W214" s="41">
        <f t="shared" si="211"/>
        <v>0</v>
      </c>
      <c r="X214" s="41">
        <f t="shared" si="211"/>
        <v>200</v>
      </c>
      <c r="Y214" s="41">
        <f t="shared" si="211"/>
        <v>530</v>
      </c>
      <c r="Z214" s="41">
        <f t="shared" si="211"/>
        <v>0</v>
      </c>
      <c r="AA214" s="41">
        <f t="shared" si="211"/>
        <v>20</v>
      </c>
      <c r="AB214" s="41">
        <f t="shared" si="211"/>
        <v>24693.024482804292</v>
      </c>
      <c r="AC214" s="41">
        <v>20</v>
      </c>
      <c r="AD214" s="41">
        <v>200</v>
      </c>
    </row>
    <row r="215" spans="1:30" ht="15" x14ac:dyDescent="0.15">
      <c r="A215" s="28" t="s">
        <v>633</v>
      </c>
      <c r="B215" s="13" t="s">
        <v>653</v>
      </c>
      <c r="C215" s="47" t="s">
        <v>222</v>
      </c>
      <c r="G215" s="49">
        <v>500</v>
      </c>
      <c r="H215" s="14"/>
      <c r="I215" s="49"/>
      <c r="J215" s="49">
        <v>500</v>
      </c>
      <c r="K215" s="48">
        <v>5.8999999999999997E-2</v>
      </c>
      <c r="M215" s="21" t="s">
        <v>221</v>
      </c>
      <c r="P215" s="41">
        <f t="shared" ref="P215:AB215" si="212">P195</f>
        <v>16756453883.356586</v>
      </c>
      <c r="Q215" s="41">
        <f t="shared" si="212"/>
        <v>491953.20423821174</v>
      </c>
      <c r="R215" s="41">
        <f t="shared" si="212"/>
        <v>17569757294.221851</v>
      </c>
      <c r="S215" s="41">
        <f t="shared" si="212"/>
        <v>100</v>
      </c>
      <c r="T215" s="41">
        <f t="shared" si="212"/>
        <v>450</v>
      </c>
      <c r="U215" s="57">
        <v>0.5</v>
      </c>
      <c r="V215" s="41">
        <f t="shared" si="212"/>
        <v>87848786.471109256</v>
      </c>
      <c r="W215" s="41">
        <f t="shared" si="212"/>
        <v>0</v>
      </c>
      <c r="X215" s="41">
        <f t="shared" si="212"/>
        <v>200</v>
      </c>
      <c r="Y215" s="41">
        <f t="shared" si="212"/>
        <v>540</v>
      </c>
      <c r="Z215" s="41">
        <f t="shared" si="212"/>
        <v>0</v>
      </c>
      <c r="AA215" s="41">
        <f t="shared" si="212"/>
        <v>20</v>
      </c>
      <c r="AB215" s="41">
        <f t="shared" si="212"/>
        <v>25927.675706944508</v>
      </c>
      <c r="AC215" s="41">
        <v>20</v>
      </c>
      <c r="AD215" s="41">
        <v>200</v>
      </c>
    </row>
    <row r="216" spans="1:30" ht="15" x14ac:dyDescent="0.15">
      <c r="A216" s="28" t="s">
        <v>634</v>
      </c>
      <c r="B216" s="13" t="s">
        <v>654</v>
      </c>
      <c r="C216" s="47" t="s">
        <v>222</v>
      </c>
      <c r="G216" s="49">
        <v>500</v>
      </c>
      <c r="H216" s="14"/>
      <c r="I216" s="49"/>
      <c r="J216" s="49">
        <v>500</v>
      </c>
      <c r="K216" s="48">
        <v>5.8999999999999997E-2</v>
      </c>
      <c r="M216" s="21" t="s">
        <v>221</v>
      </c>
      <c r="P216" s="41">
        <f t="shared" ref="P216:AB216" si="213">P196</f>
        <v>17594276577.524418</v>
      </c>
      <c r="Q216" s="41">
        <f t="shared" si="213"/>
        <v>516550.86445012235</v>
      </c>
      <c r="R216" s="41">
        <f t="shared" si="213"/>
        <v>18448245158.932945</v>
      </c>
      <c r="S216" s="41">
        <f t="shared" si="213"/>
        <v>100</v>
      </c>
      <c r="T216" s="41">
        <f t="shared" si="213"/>
        <v>450</v>
      </c>
      <c r="U216" s="57">
        <v>0.5</v>
      </c>
      <c r="V216" s="41">
        <f t="shared" si="213"/>
        <v>92241225.794664726</v>
      </c>
      <c r="W216" s="41">
        <f t="shared" si="213"/>
        <v>0</v>
      </c>
      <c r="X216" s="41">
        <f t="shared" si="213"/>
        <v>200</v>
      </c>
      <c r="Y216" s="41">
        <f t="shared" si="213"/>
        <v>550</v>
      </c>
      <c r="Z216" s="41">
        <f t="shared" si="213"/>
        <v>0</v>
      </c>
      <c r="AA216" s="41">
        <f t="shared" si="213"/>
        <v>20</v>
      </c>
      <c r="AB216" s="41">
        <f t="shared" si="213"/>
        <v>27224.059492291733</v>
      </c>
      <c r="AC216" s="41">
        <v>20</v>
      </c>
      <c r="AD216" s="41">
        <v>200</v>
      </c>
    </row>
    <row r="217" spans="1:30" ht="15" x14ac:dyDescent="0.15">
      <c r="A217" s="28" t="s">
        <v>635</v>
      </c>
      <c r="B217" s="13" t="s">
        <v>655</v>
      </c>
      <c r="C217" s="47" t="s">
        <v>222</v>
      </c>
      <c r="G217" s="49">
        <v>500</v>
      </c>
      <c r="H217" s="14"/>
      <c r="I217" s="49"/>
      <c r="J217" s="49">
        <v>500</v>
      </c>
      <c r="K217" s="48">
        <v>5.8999999999999997E-2</v>
      </c>
      <c r="M217" s="21" t="s">
        <v>221</v>
      </c>
      <c r="P217" s="41">
        <f t="shared" ref="P217:AB217" si="214">P197</f>
        <v>18473990406.400639</v>
      </c>
      <c r="Q217" s="41">
        <f t="shared" si="214"/>
        <v>542378.40767262853</v>
      </c>
      <c r="R217" s="41">
        <f t="shared" si="214"/>
        <v>19370657416.879593</v>
      </c>
      <c r="S217" s="41">
        <f t="shared" si="214"/>
        <v>100</v>
      </c>
      <c r="T217" s="41">
        <f t="shared" si="214"/>
        <v>450</v>
      </c>
      <c r="U217" s="57">
        <v>0.5</v>
      </c>
      <c r="V217" s="41">
        <f t="shared" si="214"/>
        <v>96853287.084397972</v>
      </c>
      <c r="W217" s="41">
        <f t="shared" si="214"/>
        <v>0</v>
      </c>
      <c r="X217" s="41">
        <f t="shared" si="214"/>
        <v>200</v>
      </c>
      <c r="Y217" s="41">
        <f t="shared" si="214"/>
        <v>560</v>
      </c>
      <c r="Z217" s="41">
        <f t="shared" si="214"/>
        <v>0</v>
      </c>
      <c r="AA217" s="41">
        <f t="shared" si="214"/>
        <v>20</v>
      </c>
      <c r="AB217" s="41">
        <f t="shared" si="214"/>
        <v>28585.262466906323</v>
      </c>
      <c r="AC217" s="41">
        <v>20</v>
      </c>
      <c r="AD217" s="41">
        <v>200</v>
      </c>
    </row>
    <row r="218" spans="1:30" ht="15" x14ac:dyDescent="0.15">
      <c r="A218" s="28" t="s">
        <v>636</v>
      </c>
      <c r="B218" s="13" t="s">
        <v>656</v>
      </c>
      <c r="C218" s="47" t="s">
        <v>222</v>
      </c>
      <c r="G218" s="49">
        <v>500</v>
      </c>
      <c r="H218" s="14"/>
      <c r="I218" s="49"/>
      <c r="J218" s="49">
        <v>500</v>
      </c>
      <c r="K218" s="48">
        <v>5.8999999999999997E-2</v>
      </c>
      <c r="M218" s="21" t="s">
        <v>221</v>
      </c>
      <c r="P218" s="41">
        <f t="shared" ref="P218:AB218" si="215">P198</f>
        <v>19397689926.720673</v>
      </c>
      <c r="Q218" s="41">
        <f t="shared" si="215"/>
        <v>569497.32805626001</v>
      </c>
      <c r="R218" s="41">
        <f t="shared" si="215"/>
        <v>20339190287.723572</v>
      </c>
      <c r="S218" s="41">
        <f t="shared" si="215"/>
        <v>100</v>
      </c>
      <c r="T218" s="41">
        <f t="shared" si="215"/>
        <v>450</v>
      </c>
      <c r="U218" s="57">
        <v>0.5</v>
      </c>
      <c r="V218" s="41">
        <f t="shared" si="215"/>
        <v>101695951.43861786</v>
      </c>
      <c r="W218" s="41">
        <f t="shared" si="215"/>
        <v>0</v>
      </c>
      <c r="X218" s="41">
        <f t="shared" si="215"/>
        <v>200</v>
      </c>
      <c r="Y218" s="41">
        <f t="shared" si="215"/>
        <v>570</v>
      </c>
      <c r="Z218" s="41">
        <f t="shared" si="215"/>
        <v>0</v>
      </c>
      <c r="AA218" s="41">
        <f t="shared" si="215"/>
        <v>20</v>
      </c>
      <c r="AB218" s="41">
        <f t="shared" si="215"/>
        <v>30014.52559025164</v>
      </c>
      <c r="AC218" s="41">
        <v>20</v>
      </c>
      <c r="AD218" s="41">
        <v>200</v>
      </c>
    </row>
    <row r="219" spans="1:30" ht="15" x14ac:dyDescent="0.15">
      <c r="A219" s="28" t="s">
        <v>637</v>
      </c>
      <c r="B219" s="13" t="s">
        <v>657</v>
      </c>
      <c r="C219" s="47" t="s">
        <v>222</v>
      </c>
      <c r="G219" s="49">
        <v>500</v>
      </c>
      <c r="H219" s="14"/>
      <c r="I219" s="49"/>
      <c r="J219" s="49">
        <v>500</v>
      </c>
      <c r="K219" s="48">
        <v>5.8999999999999997E-2</v>
      </c>
      <c r="M219" s="21" t="s">
        <v>221</v>
      </c>
      <c r="P219" s="41">
        <f t="shared" ref="P219:AB219" si="216">P199</f>
        <v>20367574423.056705</v>
      </c>
      <c r="Q219" s="41">
        <f t="shared" si="216"/>
        <v>597972.19445907301</v>
      </c>
      <c r="R219" s="41">
        <f t="shared" si="216"/>
        <v>21356149802.109753</v>
      </c>
      <c r="S219" s="41">
        <f t="shared" si="216"/>
        <v>100</v>
      </c>
      <c r="T219" s="41">
        <f t="shared" si="216"/>
        <v>450</v>
      </c>
      <c r="U219" s="57">
        <v>0.5</v>
      </c>
      <c r="V219" s="41">
        <f t="shared" si="216"/>
        <v>106780749.01054877</v>
      </c>
      <c r="W219" s="41">
        <f t="shared" si="216"/>
        <v>0</v>
      </c>
      <c r="X219" s="41">
        <f t="shared" si="216"/>
        <v>200</v>
      </c>
      <c r="Y219" s="41">
        <f t="shared" si="216"/>
        <v>580</v>
      </c>
      <c r="Z219" s="41">
        <f t="shared" si="216"/>
        <v>0</v>
      </c>
      <c r="AA219" s="41">
        <f t="shared" si="216"/>
        <v>20</v>
      </c>
      <c r="AB219" s="41">
        <f t="shared" si="216"/>
        <v>31515.251869764223</v>
      </c>
      <c r="AC219" s="41">
        <v>20</v>
      </c>
      <c r="AD219" s="41">
        <v>200</v>
      </c>
    </row>
    <row r="220" spans="1:30" ht="15" x14ac:dyDescent="0.15">
      <c r="A220" s="28" t="s">
        <v>638</v>
      </c>
      <c r="B220" s="13" t="s">
        <v>658</v>
      </c>
      <c r="C220" s="47" t="s">
        <v>222</v>
      </c>
      <c r="G220" s="49">
        <v>500</v>
      </c>
      <c r="H220" s="14"/>
      <c r="I220" s="49"/>
      <c r="J220" s="49">
        <v>500</v>
      </c>
      <c r="K220" s="48">
        <v>5.8999999999999997E-2</v>
      </c>
      <c r="M220" s="21" t="s">
        <v>221</v>
      </c>
      <c r="P220" s="41">
        <f t="shared" ref="P220:AB220" si="217">P200</f>
        <v>21385953144.209541</v>
      </c>
      <c r="Q220" s="41">
        <f t="shared" si="217"/>
        <v>627870.80418202665</v>
      </c>
      <c r="R220" s="41">
        <f t="shared" si="217"/>
        <v>22423957292.21524</v>
      </c>
      <c r="S220" s="41">
        <f t="shared" si="217"/>
        <v>100</v>
      </c>
      <c r="T220" s="41">
        <f t="shared" si="217"/>
        <v>450</v>
      </c>
      <c r="U220" s="57">
        <v>0.5</v>
      </c>
      <c r="V220" s="41">
        <f t="shared" si="217"/>
        <v>112119786.4610762</v>
      </c>
      <c r="W220" s="41">
        <f t="shared" si="217"/>
        <v>0</v>
      </c>
      <c r="X220" s="41">
        <f t="shared" si="217"/>
        <v>200</v>
      </c>
      <c r="Y220" s="41">
        <f t="shared" si="217"/>
        <v>590</v>
      </c>
      <c r="Z220" s="41">
        <f t="shared" si="217"/>
        <v>0</v>
      </c>
      <c r="AA220" s="41">
        <f t="shared" si="217"/>
        <v>20</v>
      </c>
      <c r="AB220" s="41">
        <f t="shared" si="217"/>
        <v>33091.014463252432</v>
      </c>
      <c r="AC220" s="41">
        <v>20</v>
      </c>
      <c r="AD220" s="41">
        <v>200</v>
      </c>
    </row>
    <row r="221" spans="1:30" ht="15" x14ac:dyDescent="0.15">
      <c r="A221" s="28" t="s">
        <v>639</v>
      </c>
      <c r="B221" s="13" t="s">
        <v>659</v>
      </c>
      <c r="C221" s="47" t="s">
        <v>222</v>
      </c>
      <c r="G221" s="49">
        <v>500</v>
      </c>
      <c r="H221" s="14"/>
      <c r="I221" s="49"/>
      <c r="J221" s="49">
        <v>500</v>
      </c>
      <c r="K221" s="48">
        <v>5.8999999999999997E-2</v>
      </c>
      <c r="M221" s="21" t="s">
        <v>221</v>
      </c>
      <c r="P221" s="41">
        <f t="shared" ref="P221:AB221" si="218">P201</f>
        <v>22455250801.420021</v>
      </c>
      <c r="Q221" s="41">
        <f t="shared" si="218"/>
        <v>659264.34439112805</v>
      </c>
      <c r="R221" s="41">
        <f t="shared" si="218"/>
        <v>23545155156.826004</v>
      </c>
      <c r="S221" s="41">
        <f t="shared" si="218"/>
        <v>100</v>
      </c>
      <c r="T221" s="41">
        <f t="shared" si="218"/>
        <v>450</v>
      </c>
      <c r="U221" s="57">
        <v>0.5</v>
      </c>
      <c r="V221" s="41">
        <f t="shared" si="218"/>
        <v>117725775.78413002</v>
      </c>
      <c r="W221" s="41">
        <f t="shared" si="218"/>
        <v>0</v>
      </c>
      <c r="X221" s="41">
        <f t="shared" si="218"/>
        <v>200</v>
      </c>
      <c r="Y221" s="41">
        <f t="shared" si="218"/>
        <v>600</v>
      </c>
      <c r="Z221" s="41">
        <f t="shared" si="218"/>
        <v>0</v>
      </c>
      <c r="AA221" s="41">
        <f t="shared" si="218"/>
        <v>20</v>
      </c>
      <c r="AB221" s="41">
        <f t="shared" si="218"/>
        <v>34745.565186415057</v>
      </c>
      <c r="AC221" s="41">
        <v>20</v>
      </c>
      <c r="AD221" s="41">
        <v>200</v>
      </c>
    </row>
    <row r="222" spans="1:30" ht="15" x14ac:dyDescent="0.15">
      <c r="A222" s="28" t="s">
        <v>664</v>
      </c>
      <c r="B222" s="13" t="s">
        <v>663</v>
      </c>
      <c r="C222" s="47" t="s">
        <v>222</v>
      </c>
      <c r="D222" s="11" t="s">
        <v>351</v>
      </c>
      <c r="F222" s="16"/>
      <c r="G222" s="14">
        <v>10</v>
      </c>
      <c r="H222" s="15"/>
      <c r="I222" s="15"/>
      <c r="J222" s="14">
        <v>0</v>
      </c>
      <c r="K222" s="24">
        <v>0</v>
      </c>
      <c r="L222" s="24"/>
      <c r="M222" s="21"/>
      <c r="N222" s="16"/>
      <c r="O222" s="26"/>
      <c r="P222" s="27">
        <v>29999999999</v>
      </c>
      <c r="Q222" s="27">
        <v>199999</v>
      </c>
      <c r="R222" s="27">
        <v>99999999999</v>
      </c>
      <c r="S222" s="27">
        <v>100</v>
      </c>
      <c r="T222" s="27">
        <v>450</v>
      </c>
      <c r="U222" s="18">
        <v>0.5</v>
      </c>
      <c r="V222" s="27">
        <v>0</v>
      </c>
      <c r="W222" s="29">
        <v>0</v>
      </c>
      <c r="X222" s="27">
        <v>400</v>
      </c>
      <c r="Y222" s="27">
        <v>250</v>
      </c>
      <c r="Z222" s="27">
        <v>0</v>
      </c>
      <c r="AA222" s="27">
        <v>20</v>
      </c>
      <c r="AB222" s="27">
        <v>1000</v>
      </c>
      <c r="AC222" s="27">
        <v>20</v>
      </c>
      <c r="AD222" s="27">
        <v>1000</v>
      </c>
    </row>
    <row r="223" spans="1:30" ht="15" x14ac:dyDescent="0.15">
      <c r="A223" s="61" t="s">
        <v>662</v>
      </c>
      <c r="B223" s="13" t="s">
        <v>666</v>
      </c>
      <c r="C223" s="47" t="s">
        <v>222</v>
      </c>
      <c r="D223" s="48" t="s">
        <v>667</v>
      </c>
      <c r="E223" s="45"/>
      <c r="F223" s="45"/>
      <c r="G223" s="47">
        <v>10</v>
      </c>
      <c r="H223" s="47"/>
      <c r="I223" s="47"/>
      <c r="J223" s="47">
        <v>10</v>
      </c>
      <c r="K223" s="47">
        <v>1E-3</v>
      </c>
      <c r="L223" s="19"/>
      <c r="M223" s="64"/>
      <c r="N223" s="16"/>
      <c r="O223" s="16"/>
      <c r="P223" s="50">
        <v>1</v>
      </c>
      <c r="Q223" s="50">
        <v>1</v>
      </c>
      <c r="R223" s="50">
        <v>150</v>
      </c>
      <c r="S223" s="50">
        <v>1</v>
      </c>
      <c r="T223" s="50">
        <v>450</v>
      </c>
      <c r="U223" s="50">
        <v>0.75</v>
      </c>
      <c r="V223" s="50">
        <v>10</v>
      </c>
      <c r="W223" s="50">
        <v>0</v>
      </c>
      <c r="X223" s="50">
        <v>400</v>
      </c>
      <c r="Y223" s="50">
        <v>50</v>
      </c>
      <c r="Z223" s="50">
        <v>0</v>
      </c>
      <c r="AA223" s="50">
        <v>0</v>
      </c>
      <c r="AB223" s="50">
        <v>0</v>
      </c>
      <c r="AC223" s="50">
        <v>0</v>
      </c>
      <c r="AD223" s="41">
        <v>0</v>
      </c>
    </row>
    <row r="224" spans="1:30" ht="15" x14ac:dyDescent="0.15">
      <c r="A224" s="28" t="s">
        <v>668</v>
      </c>
      <c r="B224" s="13" t="s">
        <v>669</v>
      </c>
      <c r="C224" s="47" t="s">
        <v>222</v>
      </c>
      <c r="D224" s="48" t="s">
        <v>667</v>
      </c>
      <c r="E224" s="45"/>
      <c r="F224" s="45"/>
      <c r="G224" s="47">
        <v>10</v>
      </c>
      <c r="H224" s="47"/>
      <c r="I224" s="47"/>
      <c r="J224" s="47">
        <v>10</v>
      </c>
      <c r="K224" s="47">
        <v>1E-3</v>
      </c>
      <c r="L224" s="19"/>
      <c r="M224" s="64"/>
      <c r="N224" s="16"/>
      <c r="O224" s="16"/>
      <c r="P224" s="50">
        <v>1</v>
      </c>
      <c r="Q224" s="50">
        <v>1</v>
      </c>
      <c r="R224" s="50">
        <v>150</v>
      </c>
      <c r="S224" s="50">
        <v>1</v>
      </c>
      <c r="T224" s="50">
        <v>450</v>
      </c>
      <c r="U224" s="50">
        <v>0.75</v>
      </c>
      <c r="V224" s="50">
        <v>10</v>
      </c>
      <c r="W224" s="50">
        <v>0</v>
      </c>
      <c r="X224" s="50">
        <v>800</v>
      </c>
      <c r="Y224" s="50">
        <v>50</v>
      </c>
      <c r="Z224" s="50">
        <v>0</v>
      </c>
      <c r="AA224" s="50">
        <v>0</v>
      </c>
      <c r="AB224" s="50">
        <v>0</v>
      </c>
      <c r="AC224" s="50">
        <v>0</v>
      </c>
      <c r="AD224" s="41">
        <v>0</v>
      </c>
    </row>
    <row r="225" spans="1:30" ht="15" x14ac:dyDescent="0.15">
      <c r="A225" s="54" t="s">
        <v>677</v>
      </c>
      <c r="B225" s="13" t="s">
        <v>672</v>
      </c>
      <c r="C225" s="47" t="s">
        <v>222</v>
      </c>
      <c r="G225" s="49">
        <v>500</v>
      </c>
      <c r="H225" s="14"/>
      <c r="I225" s="49"/>
      <c r="J225" s="49">
        <v>500</v>
      </c>
      <c r="K225" s="48">
        <v>5.8999999999999997E-2</v>
      </c>
      <c r="M225" s="21" t="s">
        <v>221</v>
      </c>
      <c r="N225" s="28" t="str">
        <f>"{'ronglian102', '"&amp;A225&amp;"*1',10,270,10,13 }"</f>
        <v>{'ronglian102', '熔炼石侍卫1*1',10,270,10,13 }</v>
      </c>
      <c r="P225" s="41">
        <f>P169*1.05</f>
        <v>3270325570.0118818</v>
      </c>
      <c r="Q225" s="41">
        <f>Q169*1.05</f>
        <v>96013.58105174599</v>
      </c>
      <c r="R225" s="41">
        <f>R169*1.05</f>
        <v>3429056466.1337862</v>
      </c>
      <c r="S225" s="27">
        <v>100</v>
      </c>
      <c r="T225" s="52">
        <v>450</v>
      </c>
      <c r="U225" s="57">
        <v>0.7</v>
      </c>
      <c r="V225" s="27">
        <f t="shared" ref="V225:V229" si="219">R225*0.005</f>
        <v>17145282.33066893</v>
      </c>
      <c r="W225" s="41">
        <v>0</v>
      </c>
      <c r="X225" s="41">
        <f t="shared" ref="X225:X229" si="220">X138</f>
        <v>200</v>
      </c>
      <c r="Y225" s="41">
        <v>300</v>
      </c>
      <c r="Z225" s="27">
        <v>0</v>
      </c>
      <c r="AA225" s="41">
        <v>20</v>
      </c>
      <c r="AB225" s="41">
        <v>7500</v>
      </c>
      <c r="AC225" s="41">
        <v>20</v>
      </c>
      <c r="AD225" s="41">
        <v>150</v>
      </c>
    </row>
    <row r="226" spans="1:30" ht="15" x14ac:dyDescent="0.15">
      <c r="A226" s="54" t="s">
        <v>678</v>
      </c>
      <c r="B226" s="13" t="s">
        <v>673</v>
      </c>
      <c r="C226" s="47" t="s">
        <v>222</v>
      </c>
      <c r="G226" s="49">
        <v>500</v>
      </c>
      <c r="H226" s="14"/>
      <c r="I226" s="49"/>
      <c r="J226" s="49">
        <v>500</v>
      </c>
      <c r="K226" s="48">
        <v>5.8999999999999997E-2</v>
      </c>
      <c r="M226" s="21" t="s">
        <v>221</v>
      </c>
      <c r="N226" s="28" t="str">
        <f>"{'ronglian103', '"&amp;A226&amp;"*1',10,270,10,13 }"</f>
        <v>{'ronglian103', '熔炼石侍卫2*1',10,270,10,13 }</v>
      </c>
      <c r="P226" s="41">
        <f t="shared" ref="P226:R229" si="221">P170*1.05</f>
        <v>3597358127.0130701</v>
      </c>
      <c r="Q226" s="41">
        <f t="shared" si="221"/>
        <v>105614.93915692061</v>
      </c>
      <c r="R226" s="41">
        <f t="shared" si="221"/>
        <v>3771962112.7471652</v>
      </c>
      <c r="S226" s="27">
        <v>100</v>
      </c>
      <c r="T226" s="52">
        <v>450</v>
      </c>
      <c r="U226" s="57">
        <v>0.7</v>
      </c>
      <c r="V226" s="27">
        <f t="shared" si="219"/>
        <v>18859810.563735828</v>
      </c>
      <c r="W226" s="41">
        <v>0</v>
      </c>
      <c r="X226" s="41">
        <f t="shared" si="220"/>
        <v>200</v>
      </c>
      <c r="Y226" s="41">
        <v>300</v>
      </c>
      <c r="Z226" s="27">
        <v>0</v>
      </c>
      <c r="AA226" s="41">
        <v>20</v>
      </c>
      <c r="AB226" s="41">
        <v>7500</v>
      </c>
      <c r="AC226" s="41">
        <v>20</v>
      </c>
      <c r="AD226" s="41">
        <v>150</v>
      </c>
    </row>
    <row r="227" spans="1:30" ht="15" x14ac:dyDescent="0.15">
      <c r="A227" s="54" t="s">
        <v>679</v>
      </c>
      <c r="B227" s="13" t="s">
        <v>674</v>
      </c>
      <c r="C227" s="47" t="s">
        <v>222</v>
      </c>
      <c r="G227" s="49">
        <v>500</v>
      </c>
      <c r="H227" s="14"/>
      <c r="I227" s="49"/>
      <c r="J227" s="49">
        <v>500</v>
      </c>
      <c r="K227" s="48">
        <v>5.8999999999999997E-2</v>
      </c>
      <c r="M227" s="21" t="s">
        <v>221</v>
      </c>
      <c r="N227" s="28" t="str">
        <f>"{'ronglian104', '"&amp;A227&amp;"*1',10,270,10,13 }"</f>
        <v>{'ronglian104', '熔炼石侍卫3*1',10,270,10,13 }</v>
      </c>
      <c r="P227" s="41">
        <f t="shared" si="221"/>
        <v>3957093939.7143774</v>
      </c>
      <c r="Q227" s="41">
        <f t="shared" si="221"/>
        <v>116176.43307261266</v>
      </c>
      <c r="R227" s="41">
        <f t="shared" si="221"/>
        <v>4149158324.0218821</v>
      </c>
      <c r="S227" s="27">
        <v>100</v>
      </c>
      <c r="T227" s="52">
        <v>450</v>
      </c>
      <c r="U227" s="57">
        <v>0.7</v>
      </c>
      <c r="V227" s="27">
        <f t="shared" si="219"/>
        <v>20745791.620109409</v>
      </c>
      <c r="W227" s="41">
        <v>0</v>
      </c>
      <c r="X227" s="41">
        <f t="shared" si="220"/>
        <v>200</v>
      </c>
      <c r="Y227" s="41">
        <v>300</v>
      </c>
      <c r="Z227" s="27">
        <v>0</v>
      </c>
      <c r="AA227" s="41">
        <v>20</v>
      </c>
      <c r="AB227" s="41">
        <v>7500</v>
      </c>
      <c r="AC227" s="41">
        <v>20</v>
      </c>
      <c r="AD227" s="41">
        <v>150</v>
      </c>
    </row>
    <row r="228" spans="1:30" ht="15" x14ac:dyDescent="0.15">
      <c r="A228" s="54" t="s">
        <v>680</v>
      </c>
      <c r="B228" s="13" t="s">
        <v>675</v>
      </c>
      <c r="C228" s="47" t="s">
        <v>222</v>
      </c>
      <c r="G228" s="49">
        <v>500</v>
      </c>
      <c r="H228" s="14"/>
      <c r="I228" s="49"/>
      <c r="J228" s="49">
        <v>500</v>
      </c>
      <c r="K228" s="48">
        <v>5.8999999999999997E-2</v>
      </c>
      <c r="M228" s="21" t="s">
        <v>221</v>
      </c>
      <c r="N228" s="28" t="str">
        <f>"{'ronglian105', '"&amp;A228&amp;"*1',10,270,10,13 }"</f>
        <v>{'ronglian105', '熔炼石侍卫4*1',10,270,10,13 }</v>
      </c>
      <c r="P228" s="41">
        <f t="shared" si="221"/>
        <v>4352803333.6858158</v>
      </c>
      <c r="Q228" s="41">
        <f t="shared" si="221"/>
        <v>127794.07637987394</v>
      </c>
      <c r="R228" s="41">
        <f t="shared" si="221"/>
        <v>4564074156.4240704</v>
      </c>
      <c r="S228" s="27">
        <v>100</v>
      </c>
      <c r="T228" s="52">
        <v>450</v>
      </c>
      <c r="U228" s="57">
        <v>0.7</v>
      </c>
      <c r="V228" s="27">
        <f t="shared" si="219"/>
        <v>22820370.782120351</v>
      </c>
      <c r="W228" s="41">
        <v>0</v>
      </c>
      <c r="X228" s="41">
        <f t="shared" si="220"/>
        <v>200</v>
      </c>
      <c r="Y228" s="41">
        <v>300</v>
      </c>
      <c r="Z228" s="27">
        <v>0</v>
      </c>
      <c r="AA228" s="41">
        <v>20</v>
      </c>
      <c r="AB228" s="41">
        <v>7500</v>
      </c>
      <c r="AC228" s="41">
        <v>20</v>
      </c>
      <c r="AD228" s="41">
        <v>150</v>
      </c>
    </row>
    <row r="229" spans="1:30" ht="15" x14ac:dyDescent="0.15">
      <c r="A229" s="54" t="s">
        <v>681</v>
      </c>
      <c r="B229" s="13" t="s">
        <v>676</v>
      </c>
      <c r="C229" s="47" t="s">
        <v>222</v>
      </c>
      <c r="G229" s="49">
        <v>500</v>
      </c>
      <c r="H229" s="14"/>
      <c r="I229" s="49"/>
      <c r="J229" s="49">
        <v>500</v>
      </c>
      <c r="K229" s="48">
        <v>5.8999999999999997E-2</v>
      </c>
      <c r="M229" s="21" t="s">
        <v>221</v>
      </c>
      <c r="N229" s="28"/>
      <c r="P229" s="41">
        <f t="shared" si="221"/>
        <v>4788083667.0543976</v>
      </c>
      <c r="Q229" s="41">
        <f t="shared" si="221"/>
        <v>140573.48401786137</v>
      </c>
      <c r="R229" s="41">
        <f t="shared" si="221"/>
        <v>5020481572.0664787</v>
      </c>
      <c r="S229" s="27">
        <v>100</v>
      </c>
      <c r="T229" s="52">
        <v>450</v>
      </c>
      <c r="U229" s="57">
        <v>0.7</v>
      </c>
      <c r="V229" s="27">
        <f t="shared" si="219"/>
        <v>25102407.860332396</v>
      </c>
      <c r="W229" s="41">
        <v>0</v>
      </c>
      <c r="X229" s="41">
        <f t="shared" si="220"/>
        <v>200</v>
      </c>
      <c r="Y229" s="41">
        <v>300</v>
      </c>
      <c r="Z229" s="27">
        <v>0</v>
      </c>
      <c r="AA229" s="41">
        <v>20</v>
      </c>
      <c r="AB229" s="41">
        <v>10000</v>
      </c>
      <c r="AC229" s="41">
        <v>20</v>
      </c>
      <c r="AD229" s="41">
        <v>150</v>
      </c>
    </row>
    <row r="230" spans="1:30" ht="15" x14ac:dyDescent="0.15">
      <c r="A230" s="61" t="s">
        <v>685</v>
      </c>
      <c r="B230" s="13" t="s">
        <v>683</v>
      </c>
      <c r="C230" s="47" t="s">
        <v>222</v>
      </c>
      <c r="D230" s="48" t="s">
        <v>667</v>
      </c>
      <c r="E230" s="45"/>
      <c r="F230" s="45"/>
      <c r="G230" s="47">
        <v>10</v>
      </c>
      <c r="H230" s="47"/>
      <c r="I230" s="47"/>
      <c r="J230" s="47">
        <v>10</v>
      </c>
      <c r="K230" s="47">
        <v>1E-3</v>
      </c>
      <c r="L230" s="19"/>
      <c r="M230" s="64"/>
      <c r="N230" s="16"/>
      <c r="O230" s="16"/>
      <c r="P230" s="50">
        <v>1</v>
      </c>
      <c r="Q230" s="50">
        <v>1</v>
      </c>
      <c r="R230" s="50">
        <v>150</v>
      </c>
      <c r="S230" s="50">
        <v>1</v>
      </c>
      <c r="T230" s="50">
        <v>450</v>
      </c>
      <c r="U230" s="50">
        <v>0.75</v>
      </c>
      <c r="V230" s="50">
        <v>10</v>
      </c>
      <c r="W230" s="50">
        <v>0</v>
      </c>
      <c r="X230" s="50">
        <v>400</v>
      </c>
      <c r="Y230" s="50">
        <v>50</v>
      </c>
      <c r="Z230" s="50">
        <v>0</v>
      </c>
      <c r="AA230" s="50">
        <v>0</v>
      </c>
      <c r="AB230" s="50">
        <v>0</v>
      </c>
      <c r="AC230" s="50">
        <v>0</v>
      </c>
      <c r="AD230" s="41">
        <v>0</v>
      </c>
    </row>
    <row r="231" spans="1:30" ht="14.25" customHeight="1" x14ac:dyDescent="0.15">
      <c r="A231" s="12" t="s">
        <v>687</v>
      </c>
      <c r="B231" s="13" t="s">
        <v>129</v>
      </c>
      <c r="C231" s="7" t="s">
        <v>222</v>
      </c>
      <c r="D231" s="7"/>
      <c r="E231" s="1"/>
      <c r="F231" s="1"/>
      <c r="G231" s="15"/>
      <c r="H231" s="14"/>
      <c r="I231" s="14"/>
      <c r="J231" s="14">
        <v>500</v>
      </c>
      <c r="K231" s="24">
        <v>5.8999999999999997E-2</v>
      </c>
      <c r="L231" s="24"/>
      <c r="M231" s="21" t="s">
        <v>221</v>
      </c>
      <c r="N231" s="1"/>
      <c r="O231" s="26"/>
      <c r="P231" s="27">
        <f t="shared" ref="P231" si="222">P230*3</f>
        <v>3</v>
      </c>
      <c r="Q231" s="27">
        <v>16888</v>
      </c>
      <c r="R231" s="27">
        <v>8888888888</v>
      </c>
      <c r="S231" s="27">
        <v>100</v>
      </c>
      <c r="T231" s="27">
        <v>0</v>
      </c>
      <c r="U231" s="18">
        <v>0.9</v>
      </c>
      <c r="V231" s="27">
        <v>0</v>
      </c>
      <c r="W231" s="29">
        <v>0</v>
      </c>
      <c r="X231" s="27">
        <v>200</v>
      </c>
      <c r="Y231" s="27">
        <v>200</v>
      </c>
      <c r="Z231" s="27">
        <v>0</v>
      </c>
      <c r="AA231" s="27">
        <v>20</v>
      </c>
      <c r="AB231" s="27">
        <v>2000</v>
      </c>
      <c r="AC231" s="27">
        <v>0</v>
      </c>
      <c r="AD231" s="27">
        <v>0</v>
      </c>
    </row>
  </sheetData>
  <phoneticPr fontId="10" type="noConversion"/>
  <pageMargins left="0.7" right="0.7" top="0.75" bottom="0.75" header="0.3" footer="0.3"/>
  <pageSetup paperSize="9" orientation="portrait" horizontalDpi="200" verticalDpi="200" copies="0" r:id="rId1"/>
  <ignoredErrors>
    <ignoredError sqref="P61:R61 Q64 AC99:AD99 AC100:AD100 AC106:AD106 AD10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2020-05-12T16:02:34Z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