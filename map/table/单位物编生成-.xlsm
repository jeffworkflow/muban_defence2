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946C7A33-19B6-4DBA-8F27-37FD5EE3215B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3" i="29" l="1"/>
  <c r="N12" i="29"/>
  <c r="N11" i="29"/>
  <c r="N10" i="29"/>
  <c r="N9" i="29"/>
  <c r="N8" i="29"/>
  <c r="N4" i="29"/>
  <c r="N228" i="29" l="1"/>
  <c r="N227" i="29"/>
  <c r="N226" i="29"/>
  <c r="N225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8" i="29"/>
  <c r="N107" i="29"/>
  <c r="N106" i="29"/>
  <c r="N105" i="29"/>
  <c r="N104" i="29"/>
  <c r="N103" i="29"/>
  <c r="N102" i="29"/>
  <c r="N101" i="29"/>
  <c r="N100" i="29"/>
  <c r="N99" i="29"/>
  <c r="N98" i="29"/>
  <c r="N96" i="29"/>
  <c r="N95" i="29"/>
  <c r="N94" i="29"/>
  <c r="N93" i="29"/>
  <c r="N62" i="29"/>
  <c r="N61" i="29"/>
  <c r="N60" i="29"/>
  <c r="N59" i="29"/>
  <c r="P231" i="29" l="1"/>
  <c r="Q96" i="29" l="1"/>
  <c r="R96" i="29"/>
  <c r="P96" i="29"/>
  <c r="P95" i="29"/>
  <c r="P225" i="29"/>
  <c r="R225" i="29"/>
  <c r="V225" i="29" s="1"/>
  <c r="R226" i="29"/>
  <c r="R227" i="29"/>
  <c r="R228" i="29"/>
  <c r="R229" i="29"/>
  <c r="P226" i="29"/>
  <c r="P227" i="29"/>
  <c r="P228" i="29"/>
  <c r="P229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R110" i="29"/>
  <c r="R99" i="29"/>
  <c r="P99" i="29"/>
  <c r="P101" i="29" s="1"/>
  <c r="R12" i="29"/>
  <c r="P12" i="29"/>
  <c r="V229" i="29" l="1"/>
  <c r="V228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Q12" i="29" s="1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99" i="29" s="1"/>
  <c r="Q98" i="29" s="1"/>
  <c r="Q100" i="29" s="1"/>
  <c r="Q102" i="29" s="1"/>
  <c r="Q104" i="29" s="1"/>
  <c r="Q106" i="29" s="1"/>
  <c r="Q108" i="29" s="1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Q101" i="29" l="1"/>
  <c r="Q103" i="29" s="1"/>
  <c r="Q105" i="29" s="1"/>
  <c r="Q107" i="29" s="1"/>
  <c r="R105" i="29"/>
  <c r="V103" i="29"/>
  <c r="R102" i="29"/>
  <c r="V100" i="29"/>
  <c r="Q109" i="29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Q110" i="29" l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R107" i="29"/>
  <c r="V105" i="29"/>
  <c r="R104" i="29"/>
  <c r="V102" i="29"/>
  <c r="P202" i="29"/>
  <c r="P183" i="29"/>
  <c r="R80" i="29"/>
  <c r="V80" i="29" s="1"/>
  <c r="R18" i="29"/>
  <c r="Q170" i="29" l="1"/>
  <c r="Q225" i="29"/>
  <c r="R109" i="29"/>
  <c r="V107" i="29"/>
  <c r="R106" i="29"/>
  <c r="V104" i="29"/>
  <c r="P184" i="29"/>
  <c r="P203" i="29"/>
  <c r="R81" i="29"/>
  <c r="V81" i="29" s="1"/>
  <c r="R19" i="29"/>
  <c r="Q171" i="29" l="1"/>
  <c r="Q226" i="29"/>
  <c r="V109" i="29"/>
  <c r="R108" i="29"/>
  <c r="V108" i="29" s="1"/>
  <c r="V106" i="29"/>
  <c r="P204" i="29"/>
  <c r="P185" i="29"/>
  <c r="R91" i="29"/>
  <c r="V91" i="29" s="1"/>
  <c r="R82" i="29"/>
  <c r="V82" i="29" s="1"/>
  <c r="R20" i="29"/>
  <c r="Q172" i="29" l="1"/>
  <c r="Q227" i="29"/>
  <c r="V110" i="29"/>
  <c r="R111" i="29"/>
  <c r="P186" i="29"/>
  <c r="P205" i="29"/>
  <c r="R83" i="29"/>
  <c r="V83" i="29" s="1"/>
  <c r="R21" i="29"/>
  <c r="Q173" i="29" l="1"/>
  <c r="Q228" i="29"/>
  <c r="R112" i="29"/>
  <c r="V111" i="29"/>
  <c r="P187" i="29"/>
  <c r="P206" i="29"/>
  <c r="R84" i="29"/>
  <c r="V84" i="29" s="1"/>
  <c r="R22" i="29"/>
  <c r="Q174" i="29" l="1"/>
  <c r="Q175" i="29" s="1"/>
  <c r="Q176" i="29" s="1"/>
  <c r="Q177" i="29" s="1"/>
  <c r="Q178" i="29" s="1"/>
  <c r="Q179" i="29" s="1"/>
  <c r="Q182" i="29" s="1"/>
  <c r="Q229" i="29"/>
  <c r="R113" i="29"/>
  <c r="V112" i="29"/>
  <c r="P188" i="29"/>
  <c r="P207" i="29"/>
  <c r="R85" i="29"/>
  <c r="V85" i="29" s="1"/>
  <c r="R23" i="29"/>
  <c r="Q202" i="29" l="1"/>
  <c r="Q183" i="29"/>
  <c r="R114" i="29"/>
  <c r="V113" i="29"/>
  <c r="P189" i="29"/>
  <c r="P208" i="29"/>
  <c r="R86" i="29"/>
  <c r="V86" i="29" s="1"/>
  <c r="R24" i="29"/>
  <c r="Q184" i="29" l="1"/>
  <c r="Q203" i="29"/>
  <c r="R115" i="29"/>
  <c r="V114" i="29"/>
  <c r="P190" i="29"/>
  <c r="P209" i="29"/>
  <c r="R87" i="29"/>
  <c r="R25" i="29"/>
  <c r="Q204" i="29" l="1"/>
  <c r="Q185" i="29"/>
  <c r="R116" i="29"/>
  <c r="V115" i="29"/>
  <c r="P191" i="29"/>
  <c r="P210" i="29"/>
  <c r="V87" i="29"/>
  <c r="R92" i="29"/>
  <c r="V92" i="29" s="1"/>
  <c r="R26" i="29"/>
  <c r="Q186" i="29" l="1"/>
  <c r="Q205" i="29"/>
  <c r="R117" i="29"/>
  <c r="V116" i="29"/>
  <c r="P192" i="29"/>
  <c r="P211" i="29"/>
  <c r="R27" i="29"/>
  <c r="Q206" i="29" l="1"/>
  <c r="Q187" i="29"/>
  <c r="R118" i="29"/>
  <c r="V117" i="29"/>
  <c r="P193" i="29"/>
  <c r="P212" i="29"/>
  <c r="R28" i="29"/>
  <c r="Q188" i="29" l="1"/>
  <c r="Q207" i="29"/>
  <c r="R119" i="29"/>
  <c r="V118" i="29"/>
  <c r="P194" i="29"/>
  <c r="P213" i="29"/>
  <c r="Q189" i="29" l="1"/>
  <c r="Q208" i="29"/>
  <c r="R120" i="29"/>
  <c r="V119" i="29"/>
  <c r="P195" i="29"/>
  <c r="P214" i="29"/>
  <c r="Q190" i="29" l="1"/>
  <c r="Q209" i="29"/>
  <c r="V120" i="29"/>
  <c r="R121" i="29"/>
  <c r="P196" i="29"/>
  <c r="P215" i="29"/>
  <c r="Q191" i="29" l="1"/>
  <c r="Q210" i="29"/>
  <c r="R122" i="29"/>
  <c r="V121" i="29"/>
  <c r="P197" i="29"/>
  <c r="P216" i="29"/>
  <c r="Q192" i="29" l="1"/>
  <c r="Q211" i="29"/>
  <c r="V122" i="29"/>
  <c r="R123" i="29"/>
  <c r="P198" i="29"/>
  <c r="P217" i="29"/>
  <c r="Q212" i="29" l="1"/>
  <c r="Q193" i="29"/>
  <c r="V123" i="29"/>
  <c r="R124" i="29"/>
  <c r="P199" i="29"/>
  <c r="P218" i="29"/>
  <c r="Q194" i="29" l="1"/>
  <c r="Q213" i="29"/>
  <c r="V124" i="29"/>
  <c r="R125" i="29"/>
  <c r="P200" i="29"/>
  <c r="P219" i="29"/>
  <c r="Q195" i="29" l="1"/>
  <c r="Q214" i="29"/>
  <c r="V125" i="29"/>
  <c r="R126" i="29"/>
  <c r="P201" i="29"/>
  <c r="P221" i="29" s="1"/>
  <c r="P220" i="29"/>
  <c r="Q196" i="29" l="1"/>
  <c r="Q215" i="29"/>
  <c r="V126" i="29"/>
  <c r="R127" i="29"/>
  <c r="Q197" i="29" l="1"/>
  <c r="Q216" i="29"/>
  <c r="V127" i="29"/>
  <c r="R128" i="29"/>
  <c r="Q198" i="29" l="1"/>
  <c r="Q217" i="29"/>
  <c r="V128" i="29"/>
  <c r="R129" i="29"/>
  <c r="Q199" i="29" l="1"/>
  <c r="Q218" i="29"/>
  <c r="V129" i="29"/>
  <c r="R130" i="29"/>
  <c r="Q200" i="29" l="1"/>
  <c r="Q219" i="29"/>
  <c r="V130" i="29"/>
  <c r="R131" i="29"/>
  <c r="Q201" i="29" l="1"/>
  <c r="Q221" i="29" s="1"/>
  <c r="Q220" i="29"/>
  <c r="R132" i="29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<sst xmlns="http://schemas.openxmlformats.org/spreadsheetml/2006/main" count="1921" uniqueCount="688">
  <si>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</si>
  <si>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</si>
  <si>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</si>
  <si>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</si>
  <si>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</si>
  <si>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</si>
  <si>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</si>
  <si>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</si>
  <si>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</si>
  <si>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</si>
  <si>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</si>
  <si>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</si>
  <si>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</si>
  <si>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</si>
  <si>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</si>
  <si>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</si>
  <si>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</si>
  <si>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</si>
  <si>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</si>
  <si>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</si>
  <si>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</si>
  <si>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</si>
  <si>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</si>
  <si>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</si>
  <si>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</si>
  <si>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</si>
  <si>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</si>
  <si>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</si>
  <si>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</si>
  <si>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</si>
  <si>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</si>
  <si>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</si>
  <si>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</si>
  <si>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</si>
  <si>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</si>
  <si>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</si>
  <si>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</si>
  <si>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</si>
  <si>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</si>
  <si>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</si>
  <si>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</si>
  <si>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</si>
  <si>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</si>
  <si>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</si>
  <si>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</si>
  <si>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</si>
  <si>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</si>
  <si>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</si>
  <si>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</si>
  <si>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</si>
  <si>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</si>
  <si>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</si>
  <si>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</si>
  <si>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</si>
  <si>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</si>
  <si>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</si>
  <si>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</si>
  <si>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</si>
  <si>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</si>
  <si>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</si>
  <si>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</si>
  <si>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</si>
  <si>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</si>
  <si>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</si>
  <si>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</si>
  <si>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</si>
  <si>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</si>
  <si>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</si>
  <si>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</si>
  <si>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</si>
  <si>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</si>
  <si>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</si>
  <si>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</si>
  <si>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</si>
  <si>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</si>
  <si>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</si>
  <si>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</si>
  <si>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</si>
  <si>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</si>
  <si>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</si>
  <si>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</si>
  <si>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</si>
  <si>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</si>
  <si>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</si>
  <si>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</si>
  <si>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</si>
  <si>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</si>
  <si>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</si>
  <si>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</si>
  <si>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</si>
  <si>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</si>
  <si>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</si>
  <si>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</si>
  <si>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</si>
  <si>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</si>
  <si>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</si>
  <si>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</si>
  <si>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</si>
  <si>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</si>
  <si>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</si>
  <si>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</si>
  <si>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</si>
  <si>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</si>
  <si>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</si>
  <si>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</si>
  <si>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</si>
  <si>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</si>
  <si>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</si>
  <si>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</si>
  <si>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</si>
  <si>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</si>
  <si>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</si>
  <si>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</si>
  <si>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</si>
  <si>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</si>
  <si>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</si>
  <si>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</si>
  <si>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</si>
  <si>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</si>
  <si>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</si>
  <si>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</si>
  <si>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</si>
  <si>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</si>
  <si>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</si>
  <si>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</si>
  <si>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</si>
  <si>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</si>
  <si>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</si>
  <si>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</si>
  <si>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</si>
  <si>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</si>
  <si>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</si>
  <si>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</si>
  <si>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</si>
  <si>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</si>
  <si>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</si>
  <si>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</si>
  <si>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</si>
  <si>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</si>
  <si>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</si>
  <si>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</si>
  <si>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</si>
  <si>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</si>
  <si>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</si>
  <si>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</si>
  <si>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</si>
  <si>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</si>
  <si>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</si>
  <si>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</si>
  <si>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</si>
  <si>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</si>
  <si>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</si>
  <si>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</si>
  <si>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</si>
  <si>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</si>
  <si>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</si>
  <si>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</si>
  <si>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</si>
  <si>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</si>
  <si>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</si>
  <si>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</si>
  <si>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</si>
  <si>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</si>
  <si>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</si>
  <si>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</si>
  <si>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</si>
  <si>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</si>
  <si>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</si>
  <si>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</si>
  <si>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</si>
  <si>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</si>
  <si>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</si>
  <si>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</si>
  <si>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</si>
  <si>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</si>
  <si>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</si>
  <si>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</si>
  <si>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</si>
  <si>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</si>
  <si>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</si>
  <si>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</si>
  <si>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</si>
  <si>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</si>
  <si>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</si>
  <si>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</si>
  <si>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</si>
  <si>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</si>
  <si>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</si>
  <si>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</si>
  <si>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</si>
  <si>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</si>
  <si>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</si>
  <si>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</si>
  <si>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</si>
  <si>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</si>
  <si>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</si>
  <si>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</si>
  <si>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</si>
  <si>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</si>
  <si>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</si>
  <si>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</si>
  <si>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</si>
  <si>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</si>
  <si>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</si>
  <si>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</si>
  <si>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</si>
  <si>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</si>
  <si>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</si>
  <si>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</si>
  <si>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</si>
  <si>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</si>
  <si>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</si>
  <si>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</si>
  <si>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</si>
  <si>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</si>
  <si>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</si>
  <si>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</si>
  <si>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</si>
  <si>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</si>
  <si>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</si>
  <si>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</si>
  <si>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</si>
  <si>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</si>
  <si>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</si>
  <si>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</si>
  <si>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</si>
  <si>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</si>
  <si>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</si>
  <si>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</si>
  <si>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</si>
  <si>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</si>
  <si>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</si>
  <si>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</si>
  <si>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</si>
  <si>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</si>
  <si>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</si>
  <si>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</si>
  <si>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</si>
  <si>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</si>
  <si>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</si>
  <si>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</si>
  <si>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</si>
  <si>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</si>
  <si>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</si>
  <si>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</si>
  <si>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</si>
  <si>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</si>
  <si>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</si>
  <si>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</si>
  <si>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</si>
  <si>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</si>
  <si>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</si>
  <si>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</si>
  <si>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</si>
  <si>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</si>
  <si>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</si>
  <si>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</si>
  <si>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</si>
  <si>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</si>
  <si>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</si>
  <si>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</si>
  <si>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</si>
  <si>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</si>
  <si>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</si>
  <si>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</si>
  <si>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</si>
  <si>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</si>
  <si>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</si>
  <si>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</si>
  <si>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</si>
  <si>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</si>
  <si>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</si>
  <si>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</si>
  <si>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</si>
  <si>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</si>
  <si>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</si>
  <si>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</si>
  <si>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</si>
  <si>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</si>
  <si>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</si>
  <si>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</si>
  <si>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</si>
  <si>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</si>
  <si>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</si>
  <si>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</si>
  <si>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</si>
  <si>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</si>
  <si>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</si>
  <si>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</si>
  <si>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</si>
  <si>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</si>
  <si>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</si>
  <si>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</si>
  <si>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</si>
  <si>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</si>
  <si>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</si>
  <si>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</si>
  <si>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</si>
  <si>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</si>
  <si>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</si>
  <si>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</si>
  <si>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</si>
  <si>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</si>
  <si>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</si>
  <si>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</si>
  <si>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</si>
  <si>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</si>
  <si>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</si>
  <si>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</si>
  <si>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</si>
  <si>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</si>
  <si>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</si>
  <si>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</si>
  <si>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</si>
  <si>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</si>
  <si>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</si>
  <si>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</si>
  <si>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</si>
  <si>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</si>
  <si>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</si>
  <si>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</si>
  <si>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</si>
  <si>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</si>
  <si>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</si>
  <si>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</si>
  <si>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</si>
  <si>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</si>
  <si>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</si>
  <si>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</si>
  <si>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</si>
  <si>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</si>
  <si>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</si>
  <si>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</si>
  <si>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</si>
  <si>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</si>
  <si>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</si>
  <si>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</si>
  <si>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</si>
  <si>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</si>
  <si>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</si>
  <si>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</si>
  <si>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</si>
  <si>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</si>
  <si>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</si>
  <si>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</si>
  <si>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</si>
  <si>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</si>
  <si>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</si>
  <si>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</si>
  <si>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</si>
  <si>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</si>
  <si>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</si>
  <si>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</si>
  <si>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</si>
  <si>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</si>
  <si>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</si>
  <si>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</si>
  <si>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</si>
  <si>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</si>
  <si>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</si>
  <si>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</si>
  <si>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</si>
  <si>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</si>
  <si>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</si>
  <si>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</si>
  <si>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</si>
  <si>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</si>
  <si>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</si>
  <si>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</si>
  <si>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</si>
  <si>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</si>
  <si>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</si>
  <si>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</si>
  <si>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</si>
  <si>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</si>
  <si>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</si>
  <si>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</si>
  <si>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</si>
  <si>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</si>
  <si>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</si>
  <si>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</si>
  <si>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</si>
  <si>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</si>
  <si>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</si>
  <si>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</si>
  <si>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</si>
  <si>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</si>
  <si>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</si>
  <si>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</si>
  <si>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</si>
  <si>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</si>
  <si>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</si>
  <si>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</si>
  <si>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</si>
  <si>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</si>
  <si>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</si>
  <si>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</si>
  <si>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</si>
  <si>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</si>
  <si>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</si>
  <si>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</si>
  <si>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</si>
  <si>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</si>
  <si>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</si>
  <si>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</si>
  <si>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</si>
  <si>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</si>
  <si>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</si>
  <si>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</si>
  <si>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</si>
  <si>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</si>
  <si>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</si>
  <si>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</si>
  <si>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</si>
  <si>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</si>
  <si>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</si>
  <si>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</si>
  <si>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</si>
  <si>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FireTempleKeeperElemental.mdx</t>
  </si>
  <si>
    <t>gw32.mdx</t>
  </si>
  <si>
    <t>Mr.War3_KLW1.mdx</t>
  </si>
  <si>
    <t>二郎</t>
  </si>
  <si>
    <t>判官</t>
  </si>
  <si>
    <t>rongyanxieziqing.mdx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</si>
  <si>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</si>
  <si>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</si>
  <si>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</si>
  <si>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</si>
  <si>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</si>
  <si>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</si>
  <si>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</si>
  <si>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</si>
  <si>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</si>
  <si>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</si>
  <si>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</si>
  <si>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</si>
  <si>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</si>
  <si>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</si>
  <si>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</si>
  <si>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</si>
  <si>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</si>
  <si>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</si>
  <si>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</si>
  <si>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</si>
  <si>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</si>
  <si>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</si>
  <si>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</si>
  <si>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</si>
  <si>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</si>
  <si>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</si>
  <si>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</si>
  <si>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</si>
  <si>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</si>
  <si>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</si>
  <si>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</si>
  <si>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</si>
  <si>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</si>
  <si>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</si>
  <si>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</si>
  <si>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</si>
  <si>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</si>
  <si>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</si>
  <si>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</si>
  <si>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</si>
  <si>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</si>
  <si>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</si>
  <si>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</si>
  <si>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</si>
  <si>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</si>
  <si>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</si>
  <si>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</si>
  <si>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</si>
  <si>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</si>
  <si>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</si>
  <si>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</si>
  <si>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</si>
  <si>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</si>
  <si>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</si>
  <si>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</si>
  <si>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</si>
  <si>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</si>
  <si>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</si>
  <si>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</si>
  <si>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</si>
  <si>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</si>
  <si>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</si>
  <si>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</si>
  <si>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</si>
  <si>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</si>
  <si>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</si>
  <si>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</si>
  <si>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</si>
  <si>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</si>
  <si>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</si>
  <si>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</si>
  <si>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</si>
  <si>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</si>
  <si>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</si>
  <si>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</si>
  <si>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</si>
  <si>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</si>
  <si>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</si>
  <si>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</si>
  <si>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</si>
  <si>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</si>
  <si>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</si>
  <si>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</si>
  <si>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</si>
  <si>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</si>
  <si>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</si>
  <si>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</si>
  <si>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</si>
  <si>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</si>
  <si>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</si>
  <si>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</si>
  <si>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</si>
  <si>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</si>
  <si>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</si>
  <si>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</si>
  <si>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</si>
  <si>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</si>
  <si>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</si>
  <si>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</si>
  <si>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</si>
  <si>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</si>
  <si>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</si>
  <si>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</si>
  <si>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</si>
  <si>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</si>
  <si>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</si>
  <si>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</si>
  <si>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</si>
  <si>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</si>
  <si>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</si>
  <si>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</si>
  <si>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</si>
  <si>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</si>
  <si>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</si>
  <si>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</si>
  <si>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</si>
  <si>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</si>
  <si>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</si>
  <si>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</si>
  <si>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</si>
  <si>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</si>
  <si>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</si>
  <si>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</si>
  <si>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</si>
  <si>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</si>
  <si>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</si>
  <si>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</si>
  <si>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</si>
  <si>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</si>
  <si>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</si>
  <si>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</si>
  <si>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</si>
  <si>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</si>
  <si>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crystaldragon.mdx</t>
  </si>
  <si>
    <t>DracoLich_High.mdx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</si>
  <si>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</si>
  <si>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</si>
  <si>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</si>
  <si>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</si>
  <si>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</si>
  <si>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</si>
  <si>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</si>
  <si>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</si>
  <si>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</si>
  <si>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</si>
  <si>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</si>
  <si>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</si>
  <si>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</si>
  <si>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</si>
  <si>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</si>
  <si>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</si>
  <si>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</si>
  <si>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</si>
  <si>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</si>
  <si>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</si>
  <si>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</si>
  <si>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</si>
  <si>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</si>
  <si>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</si>
  <si>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</si>
  <si>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</si>
  <si>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</si>
  <si>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</si>
  <si>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</si>
  <si>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</si>
  <si>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</si>
  <si>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</si>
  <si>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</si>
  <si>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</si>
  <si>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</si>
  <si>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</si>
  <si>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</si>
  <si>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</si>
  <si>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</si>
  <si>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</si>
  <si>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</si>
  <si>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</si>
  <si>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</si>
  <si>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</si>
  <si>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</si>
  <si>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</si>
  <si>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</si>
  <si>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</si>
  <si>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</si>
  <si>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</si>
  <si>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</si>
  <si>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</si>
  <si>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</si>
  <si>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</si>
  <si>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</si>
  <si>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</si>
  <si>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</si>
  <si>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</si>
  <si>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</si>
  <si>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</si>
  <si>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</si>
  <si>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</si>
  <si>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</si>
  <si>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</si>
  <si>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</si>
  <si>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</si>
  <si>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</si>
  <si>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</si>
  <si>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</si>
  <si>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</si>
  <si>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</si>
  <si>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</si>
  <si>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</si>
  <si>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</si>
  <si>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</si>
  <si>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</si>
  <si>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</si>
  <si>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</si>
  <si>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</si>
  <si>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</si>
  <si>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</si>
  <si>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</si>
  <si>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</si>
  <si>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</si>
  <si>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</si>
  <si>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</si>
  <si>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</si>
  <si>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</si>
  <si>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</si>
  <si>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</si>
  <si>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</si>
  <si>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</si>
  <si>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</si>
  <si>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</si>
  <si>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</si>
  <si>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</si>
  <si>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</si>
  <si>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</si>
  <si>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</si>
  <si>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</si>
  <si>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</si>
  <si>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</si>
  <si>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</si>
  <si>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</si>
  <si>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</si>
  <si>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</si>
  <si>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</si>
  <si>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</si>
  <si>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</si>
  <si>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</si>
  <si>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</si>
  <si>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</si>
  <si>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</si>
  <si>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</si>
  <si>
    <t>u227</t>
  </si>
  <si>
    <t>huolinger.mdx</t>
    <phoneticPr fontId="10" type="noConversion"/>
  </si>
  <si>
    <t>风骚</t>
    <phoneticPr fontId="10" type="noConversion"/>
  </si>
  <si>
    <t>u228</t>
  </si>
  <si>
    <t>爱我你就爆了我6</t>
    <phoneticPr fontId="10" type="noConversion"/>
  </si>
  <si>
    <t>celsiusattacksspecial2.mdx</t>
    <phoneticPr fontId="10" type="noConversion"/>
  </si>
  <si>
    <t>888666 (7).mdx</t>
    <phoneticPr fontId="10" type="noConversion"/>
  </si>
  <si>
    <t>Beth`tilac.mdx</t>
    <phoneticPr fontId="10" type="noConversion"/>
  </si>
  <si>
    <t>FireElemental.mdx</t>
    <phoneticPr fontId="10" type="noConversion"/>
  </si>
  <si>
    <t>CrystalDryad.mdx</t>
    <phoneticPr fontId="10" type="noConversion"/>
  </si>
  <si>
    <t>VioletNetherDrake.mdx</t>
    <phoneticPr fontId="10" type="noConversion"/>
  </si>
  <si>
    <t>rongyanxiezihuang.mdx</t>
    <phoneticPr fontId="10" type="noConversion"/>
  </si>
  <si>
    <t>PaladinJudgement.mdx</t>
    <phoneticPr fontId="10" type="noConversion"/>
  </si>
  <si>
    <t>Udre</t>
    <phoneticPr fontId="10" type="noConversion"/>
  </si>
  <si>
    <t>nvlw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</si>
</sst>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31"/>
  <sheetViews>
    <sheetView tabSelected="1" workbookViewId="0">
      <pane xSplit="1" ySplit="3" topLeftCell="B70" activePane="bottomRight" state="frozen"/>
      <selection pane="topRight"/>
      <selection pane="bottomLeft"/>
      <selection pane="bottomRight" activeCell="L78" sqref="L78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678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651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355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342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651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651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651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651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651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357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357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357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357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357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340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341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339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326</v>
      </c>
      <c r="B89" s="13" t="s">
        <v>283</v>
      </c>
      <c r="C89" s="35" t="s">
        <v>29</v>
      </c>
      <c r="D89" s="43" t="s">
        <v>680</v>
      </c>
      <c r="F89" s="3"/>
      <c r="G89" s="43">
        <v>1.05</v>
      </c>
      <c r="I89" s="6">
        <v>60</v>
      </c>
    </row>
    <row r="90" spans="1:9" ht="15" x14ac:dyDescent="0.15">
      <c r="A90" s="44" t="s">
        <v>327</v>
      </c>
      <c r="B90" s="13" t="s">
        <v>284</v>
      </c>
      <c r="C90" s="35" t="s">
        <v>29</v>
      </c>
      <c r="D90" s="6" t="s">
        <v>322</v>
      </c>
      <c r="F90" s="3"/>
      <c r="G90" s="43">
        <v>2.1</v>
      </c>
      <c r="I90" s="6">
        <v>60</v>
      </c>
    </row>
    <row r="91" spans="1:9" ht="15" x14ac:dyDescent="0.15">
      <c r="A91" s="42" t="s">
        <v>324</v>
      </c>
      <c r="B91" s="13" t="s">
        <v>285</v>
      </c>
      <c r="C91" s="35" t="s">
        <v>29</v>
      </c>
      <c r="D91" s="43" t="s">
        <v>323</v>
      </c>
      <c r="F91" s="3"/>
      <c r="G91" s="43">
        <v>2.5</v>
      </c>
      <c r="I91" s="6">
        <v>60</v>
      </c>
    </row>
    <row r="92" spans="1:9" ht="15" x14ac:dyDescent="0.15">
      <c r="A92" s="42" t="s">
        <v>328</v>
      </c>
      <c r="B92" s="13" t="s">
        <v>333</v>
      </c>
      <c r="C92" s="35" t="s">
        <v>29</v>
      </c>
      <c r="D92" s="6" t="s">
        <v>325</v>
      </c>
      <c r="F92" s="3"/>
      <c r="G92" s="6">
        <v>1.5</v>
      </c>
      <c r="I92" s="6">
        <v>60</v>
      </c>
    </row>
    <row r="93" spans="1:9" ht="15" x14ac:dyDescent="0.15">
      <c r="A93" s="46" t="s">
        <v>329</v>
      </c>
      <c r="B93" s="13" t="s">
        <v>334</v>
      </c>
      <c r="C93" s="35" t="s">
        <v>29</v>
      </c>
      <c r="D93" s="3" t="s">
        <v>337</v>
      </c>
      <c r="G93" s="43">
        <v>0.7</v>
      </c>
      <c r="I93" s="6">
        <v>60</v>
      </c>
    </row>
    <row r="94" spans="1:9" ht="15" x14ac:dyDescent="0.15">
      <c r="A94" s="46" t="s">
        <v>330</v>
      </c>
      <c r="B94" s="13" t="s">
        <v>335</v>
      </c>
      <c r="C94" s="35" t="s">
        <v>29</v>
      </c>
      <c r="D94" s="3" t="s">
        <v>336</v>
      </c>
      <c r="G94" s="43">
        <v>0.8</v>
      </c>
      <c r="I94" s="6">
        <v>60</v>
      </c>
    </row>
    <row r="95" spans="1:9" ht="15" x14ac:dyDescent="0.15">
      <c r="A95" s="46" t="s">
        <v>331</v>
      </c>
      <c r="B95" s="13" t="s">
        <v>338</v>
      </c>
      <c r="C95" s="35" t="s">
        <v>29</v>
      </c>
      <c r="D95" s="3" t="s">
        <v>336</v>
      </c>
      <c r="G95" s="43">
        <v>0.9</v>
      </c>
      <c r="I95" s="6">
        <v>60</v>
      </c>
    </row>
    <row r="96" spans="1:9" ht="15" x14ac:dyDescent="0.15">
      <c r="A96" s="46" t="s">
        <v>332</v>
      </c>
      <c r="B96" s="13" t="s">
        <v>344</v>
      </c>
      <c r="C96" s="35" t="s">
        <v>29</v>
      </c>
      <c r="D96" s="3" t="s">
        <v>336</v>
      </c>
      <c r="G96">
        <v>1</v>
      </c>
      <c r="I96" s="6">
        <v>60</v>
      </c>
    </row>
    <row r="97" spans="1:9" ht="15" x14ac:dyDescent="0.15">
      <c r="A97" s="46" t="s">
        <v>345</v>
      </c>
      <c r="B97" s="13" t="s">
        <v>346</v>
      </c>
      <c r="C97" s="35" t="s">
        <v>347</v>
      </c>
      <c r="D97" s="3" t="s">
        <v>356</v>
      </c>
      <c r="G97">
        <v>2</v>
      </c>
      <c r="I97" s="6">
        <v>60</v>
      </c>
    </row>
    <row r="98" spans="1:9" ht="15" x14ac:dyDescent="0.15">
      <c r="A98" s="28" t="s">
        <v>359</v>
      </c>
      <c r="B98" s="13" t="s">
        <v>361</v>
      </c>
      <c r="C98" s="35" t="s">
        <v>29</v>
      </c>
      <c r="D98" s="3" t="s">
        <v>363</v>
      </c>
      <c r="G98" s="9">
        <v>1</v>
      </c>
      <c r="I98" s="9">
        <v>10</v>
      </c>
    </row>
    <row r="99" spans="1:9" ht="15" x14ac:dyDescent="0.15">
      <c r="A99" s="28" t="s">
        <v>360</v>
      </c>
      <c r="B99" s="13" t="s">
        <v>362</v>
      </c>
      <c r="C99" s="35" t="s">
        <v>29</v>
      </c>
      <c r="D99" s="3" t="s">
        <v>364</v>
      </c>
      <c r="G99">
        <v>1.5</v>
      </c>
      <c r="I99" s="6">
        <v>60</v>
      </c>
    </row>
    <row r="100" spans="1:9" ht="15" x14ac:dyDescent="0.15">
      <c r="A100" s="28" t="s">
        <v>365</v>
      </c>
      <c r="B100" s="13" t="s">
        <v>367</v>
      </c>
      <c r="C100" s="35" t="s">
        <v>29</v>
      </c>
      <c r="D100" s="3" t="s">
        <v>374</v>
      </c>
      <c r="G100" s="9">
        <v>1.75</v>
      </c>
      <c r="I100" s="9">
        <v>10</v>
      </c>
    </row>
    <row r="101" spans="1:9" ht="15" x14ac:dyDescent="0.15">
      <c r="A101" s="28" t="s">
        <v>366</v>
      </c>
      <c r="B101" s="13" t="s">
        <v>368</v>
      </c>
      <c r="C101" s="35" t="s">
        <v>29</v>
      </c>
      <c r="D101" s="3" t="s">
        <v>375</v>
      </c>
      <c r="G101">
        <v>2.5499999999999998</v>
      </c>
      <c r="I101" s="6">
        <v>60</v>
      </c>
    </row>
    <row r="102" spans="1:9" ht="15" x14ac:dyDescent="0.15">
      <c r="A102" s="11" t="s">
        <v>369</v>
      </c>
      <c r="B102" s="13" t="s">
        <v>370</v>
      </c>
      <c r="C102" s="35" t="s">
        <v>29</v>
      </c>
      <c r="D102" s="3" t="s">
        <v>372</v>
      </c>
      <c r="G102" s="9">
        <v>2.25</v>
      </c>
      <c r="I102" s="9">
        <v>10</v>
      </c>
    </row>
    <row r="103" spans="1:9" ht="15" x14ac:dyDescent="0.15">
      <c r="A103" s="11" t="s">
        <v>394</v>
      </c>
      <c r="B103" s="13" t="s">
        <v>371</v>
      </c>
      <c r="C103" s="35" t="s">
        <v>29</v>
      </c>
      <c r="D103" s="3" t="s">
        <v>373</v>
      </c>
      <c r="G103">
        <v>1.5</v>
      </c>
      <c r="I103" s="6">
        <v>60</v>
      </c>
    </row>
    <row r="104" spans="1:9" ht="15" x14ac:dyDescent="0.15">
      <c r="A104" s="28" t="s">
        <v>376</v>
      </c>
      <c r="B104" s="13" t="s">
        <v>378</v>
      </c>
      <c r="C104" s="35" t="s">
        <v>687</v>
      </c>
      <c r="G104" s="9">
        <v>1.4</v>
      </c>
      <c r="I104" s="9">
        <v>10</v>
      </c>
    </row>
    <row r="105" spans="1:9" ht="15" x14ac:dyDescent="0.15">
      <c r="A105" s="28" t="s">
        <v>377</v>
      </c>
      <c r="B105" s="13" t="s">
        <v>379</v>
      </c>
      <c r="C105" s="35" t="s">
        <v>29</v>
      </c>
      <c r="D105" s="3" t="s">
        <v>380</v>
      </c>
      <c r="G105">
        <v>1.5</v>
      </c>
      <c r="I105" s="6">
        <v>60</v>
      </c>
    </row>
    <row r="106" spans="1:9" ht="15" x14ac:dyDescent="0.15">
      <c r="A106" s="28" t="s">
        <v>381</v>
      </c>
      <c r="B106" s="13" t="s">
        <v>383</v>
      </c>
      <c r="C106" s="35" t="s">
        <v>29</v>
      </c>
      <c r="D106" s="3" t="s">
        <v>385</v>
      </c>
      <c r="G106" s="9">
        <v>1</v>
      </c>
      <c r="I106" s="9">
        <v>10</v>
      </c>
    </row>
    <row r="107" spans="1:9" ht="15" x14ac:dyDescent="0.15">
      <c r="A107" s="28" t="s">
        <v>382</v>
      </c>
      <c r="B107" s="13" t="s">
        <v>384</v>
      </c>
      <c r="C107" s="35" t="s">
        <v>29</v>
      </c>
      <c r="D107" s="3" t="s">
        <v>386</v>
      </c>
      <c r="G107">
        <v>1.5</v>
      </c>
      <c r="I107" s="6">
        <v>60</v>
      </c>
    </row>
    <row r="108" spans="1:9" ht="15" x14ac:dyDescent="0.15">
      <c r="A108" s="28" t="s">
        <v>387</v>
      </c>
      <c r="B108" s="13" t="s">
        <v>389</v>
      </c>
      <c r="C108" s="35" t="s">
        <v>29</v>
      </c>
      <c r="D108" s="3" t="s">
        <v>391</v>
      </c>
      <c r="G108" s="9">
        <v>1</v>
      </c>
      <c r="I108" s="9">
        <v>10</v>
      </c>
    </row>
    <row r="109" spans="1:9" ht="15" x14ac:dyDescent="0.15">
      <c r="A109" s="28" t="s">
        <v>388</v>
      </c>
      <c r="B109" s="13" t="s">
        <v>390</v>
      </c>
      <c r="C109" s="35" t="s">
        <v>29</v>
      </c>
      <c r="D109" s="3" t="s">
        <v>393</v>
      </c>
      <c r="G109">
        <v>1.8</v>
      </c>
      <c r="I109" s="6">
        <v>60</v>
      </c>
    </row>
    <row r="110" spans="1:9" ht="15" x14ac:dyDescent="0.15">
      <c r="A110" s="54" t="s">
        <v>395</v>
      </c>
      <c r="B110" s="13" t="s">
        <v>405</v>
      </c>
      <c r="C110" s="35" t="s">
        <v>29</v>
      </c>
      <c r="D110" s="54" t="s">
        <v>415</v>
      </c>
      <c r="G110">
        <v>1.8</v>
      </c>
      <c r="I110" s="6">
        <v>60</v>
      </c>
    </row>
    <row r="111" spans="1:9" ht="15" x14ac:dyDescent="0.15">
      <c r="A111" s="54" t="s">
        <v>396</v>
      </c>
      <c r="B111" s="13" t="s">
        <v>406</v>
      </c>
      <c r="C111" s="35" t="s">
        <v>29</v>
      </c>
      <c r="D111" s="54" t="s">
        <v>567</v>
      </c>
      <c r="G111">
        <v>1.8</v>
      </c>
      <c r="I111" s="6">
        <v>60</v>
      </c>
    </row>
    <row r="112" spans="1:9" ht="15" x14ac:dyDescent="0.15">
      <c r="A112" s="54" t="s">
        <v>397</v>
      </c>
      <c r="B112" s="13" t="s">
        <v>407</v>
      </c>
      <c r="C112" s="35" t="s">
        <v>29</v>
      </c>
      <c r="D112" s="54" t="s">
        <v>416</v>
      </c>
      <c r="G112">
        <v>1.1000000000000001</v>
      </c>
      <c r="I112" s="6">
        <v>60</v>
      </c>
    </row>
    <row r="113" spans="1:9" ht="15" x14ac:dyDescent="0.15">
      <c r="A113" s="54" t="s">
        <v>398</v>
      </c>
      <c r="B113" s="13" t="s">
        <v>408</v>
      </c>
      <c r="C113" s="35" t="s">
        <v>29</v>
      </c>
      <c r="D113" s="54" t="s">
        <v>417</v>
      </c>
      <c r="G113">
        <v>2.5</v>
      </c>
      <c r="I113" s="6">
        <v>60</v>
      </c>
    </row>
    <row r="114" spans="1:9" ht="15" x14ac:dyDescent="0.15">
      <c r="A114" s="54" t="s">
        <v>399</v>
      </c>
      <c r="B114" s="13" t="s">
        <v>409</v>
      </c>
      <c r="C114" s="35" t="s">
        <v>686</v>
      </c>
      <c r="D114" s="54"/>
      <c r="G114">
        <v>2.2000000000000002</v>
      </c>
      <c r="I114" s="6">
        <v>60</v>
      </c>
    </row>
    <row r="115" spans="1:9" ht="15" x14ac:dyDescent="0.15">
      <c r="A115" s="54" t="s">
        <v>400</v>
      </c>
      <c r="B115" s="13" t="s">
        <v>410</v>
      </c>
      <c r="C115" s="35" t="s">
        <v>29</v>
      </c>
      <c r="D115" s="54" t="s">
        <v>679</v>
      </c>
      <c r="G115">
        <v>1.9</v>
      </c>
      <c r="I115" s="6">
        <v>60</v>
      </c>
    </row>
    <row r="116" spans="1:9" ht="15" x14ac:dyDescent="0.15">
      <c r="A116" s="54" t="s">
        <v>401</v>
      </c>
      <c r="B116" s="13" t="s">
        <v>411</v>
      </c>
      <c r="C116" s="35" t="s">
        <v>29</v>
      </c>
      <c r="D116" s="54" t="s">
        <v>678</v>
      </c>
      <c r="G116">
        <v>2</v>
      </c>
      <c r="I116" s="6">
        <v>60</v>
      </c>
    </row>
    <row r="117" spans="1:9" ht="15" x14ac:dyDescent="0.15">
      <c r="A117" s="54" t="s">
        <v>402</v>
      </c>
      <c r="B117" s="13" t="s">
        <v>412</v>
      </c>
      <c r="C117" s="35" t="s">
        <v>29</v>
      </c>
      <c r="D117" s="54" t="s">
        <v>418</v>
      </c>
      <c r="G117">
        <v>1.5</v>
      </c>
      <c r="I117" s="6">
        <v>60</v>
      </c>
    </row>
    <row r="118" spans="1:9" ht="15" x14ac:dyDescent="0.15">
      <c r="A118" s="54" t="s">
        <v>403</v>
      </c>
      <c r="B118" s="13" t="s">
        <v>413</v>
      </c>
      <c r="C118" s="35" t="s">
        <v>29</v>
      </c>
      <c r="D118" s="54" t="s">
        <v>419</v>
      </c>
      <c r="G118">
        <v>1.5</v>
      </c>
      <c r="I118" s="6">
        <v>60</v>
      </c>
    </row>
    <row r="119" spans="1:9" ht="15" x14ac:dyDescent="0.15">
      <c r="A119" s="54" t="s">
        <v>404</v>
      </c>
      <c r="B119" s="13" t="s">
        <v>414</v>
      </c>
      <c r="C119" s="35" t="s">
        <v>29</v>
      </c>
      <c r="D119" s="54" t="s">
        <v>420</v>
      </c>
      <c r="G119">
        <v>2.2000000000000002</v>
      </c>
      <c r="I119" s="6">
        <v>60</v>
      </c>
    </row>
    <row r="120" spans="1:9" ht="15" x14ac:dyDescent="0.15">
      <c r="A120" s="54" t="s">
        <v>446</v>
      </c>
      <c r="B120" s="13" t="s">
        <v>427</v>
      </c>
      <c r="C120" s="35" t="s">
        <v>29</v>
      </c>
      <c r="D120" s="54" t="s">
        <v>437</v>
      </c>
      <c r="G120">
        <v>1.3</v>
      </c>
      <c r="I120" s="6">
        <v>60</v>
      </c>
    </row>
    <row r="121" spans="1:9" ht="15" x14ac:dyDescent="0.15">
      <c r="A121" s="54" t="s">
        <v>447</v>
      </c>
      <c r="B121" s="13" t="s">
        <v>428</v>
      </c>
      <c r="C121" s="35" t="s">
        <v>29</v>
      </c>
      <c r="D121" s="54" t="s">
        <v>437</v>
      </c>
      <c r="G121">
        <v>1.35</v>
      </c>
      <c r="I121" s="6">
        <v>60</v>
      </c>
    </row>
    <row r="122" spans="1:9" ht="15" x14ac:dyDescent="0.15">
      <c r="A122" s="54" t="s">
        <v>448</v>
      </c>
      <c r="B122" s="13" t="s">
        <v>429</v>
      </c>
      <c r="C122" s="35" t="s">
        <v>29</v>
      </c>
      <c r="D122" s="54" t="s">
        <v>437</v>
      </c>
      <c r="G122">
        <v>1.4</v>
      </c>
      <c r="I122" s="6">
        <v>60</v>
      </c>
    </row>
    <row r="123" spans="1:9" ht="15" x14ac:dyDescent="0.15">
      <c r="A123" s="54" t="s">
        <v>449</v>
      </c>
      <c r="B123" s="13" t="s">
        <v>430</v>
      </c>
      <c r="C123" s="35" t="s">
        <v>29</v>
      </c>
      <c r="D123" s="54" t="s">
        <v>437</v>
      </c>
      <c r="G123">
        <v>1.45</v>
      </c>
      <c r="I123" s="6">
        <v>60</v>
      </c>
    </row>
    <row r="124" spans="1:9" ht="15" x14ac:dyDescent="0.15">
      <c r="A124" s="54" t="s">
        <v>421</v>
      </c>
      <c r="B124" s="13" t="s">
        <v>431</v>
      </c>
      <c r="C124" s="35" t="s">
        <v>29</v>
      </c>
      <c r="D124" s="54" t="s">
        <v>423</v>
      </c>
      <c r="G124">
        <v>1.5</v>
      </c>
      <c r="I124" s="6">
        <v>60</v>
      </c>
    </row>
    <row r="125" spans="1:9" ht="15" x14ac:dyDescent="0.15">
      <c r="A125" s="54" t="s">
        <v>451</v>
      </c>
      <c r="B125" s="13" t="s">
        <v>432</v>
      </c>
      <c r="C125" s="35" t="s">
        <v>29</v>
      </c>
      <c r="D125" s="54" t="s">
        <v>438</v>
      </c>
      <c r="G125">
        <v>1.3</v>
      </c>
      <c r="I125" s="6">
        <v>60</v>
      </c>
    </row>
    <row r="126" spans="1:9" ht="15" x14ac:dyDescent="0.15">
      <c r="A126" s="54" t="s">
        <v>452</v>
      </c>
      <c r="B126" s="13" t="s">
        <v>433</v>
      </c>
      <c r="C126" s="35" t="s">
        <v>29</v>
      </c>
      <c r="D126" s="54" t="s">
        <v>438</v>
      </c>
      <c r="G126">
        <v>1.35</v>
      </c>
      <c r="I126" s="6">
        <v>60</v>
      </c>
    </row>
    <row r="127" spans="1:9" ht="15" x14ac:dyDescent="0.15">
      <c r="A127" s="54" t="s">
        <v>453</v>
      </c>
      <c r="B127" s="13" t="s">
        <v>434</v>
      </c>
      <c r="C127" s="35" t="s">
        <v>29</v>
      </c>
      <c r="D127" s="54" t="s">
        <v>438</v>
      </c>
      <c r="G127">
        <v>1.4</v>
      </c>
      <c r="I127" s="6">
        <v>60</v>
      </c>
    </row>
    <row r="128" spans="1:9" ht="15" x14ac:dyDescent="0.15">
      <c r="A128" s="54" t="s">
        <v>454</v>
      </c>
      <c r="B128" s="13" t="s">
        <v>435</v>
      </c>
      <c r="C128" s="35" t="s">
        <v>29</v>
      </c>
      <c r="D128" s="54" t="s">
        <v>438</v>
      </c>
      <c r="G128">
        <v>1.45</v>
      </c>
      <c r="I128" s="6">
        <v>60</v>
      </c>
    </row>
    <row r="129" spans="1:9" ht="15" x14ac:dyDescent="0.15">
      <c r="A129" s="54" t="s">
        <v>450</v>
      </c>
      <c r="B129" s="13" t="s">
        <v>436</v>
      </c>
      <c r="C129" s="35" t="s">
        <v>29</v>
      </c>
      <c r="D129" s="54" t="s">
        <v>684</v>
      </c>
      <c r="G129">
        <v>1.5</v>
      </c>
      <c r="I129" s="6">
        <v>60</v>
      </c>
    </row>
    <row r="130" spans="1:9" ht="15" x14ac:dyDescent="0.15">
      <c r="A130" s="54" t="s">
        <v>455</v>
      </c>
      <c r="B130" s="13" t="s">
        <v>494</v>
      </c>
      <c r="C130" s="35" t="s">
        <v>29</v>
      </c>
      <c r="D130" s="54" t="s">
        <v>439</v>
      </c>
      <c r="G130">
        <v>1.5</v>
      </c>
      <c r="I130" s="6">
        <v>60</v>
      </c>
    </row>
    <row r="131" spans="1:9" ht="15" x14ac:dyDescent="0.15">
      <c r="A131" s="54" t="s">
        <v>456</v>
      </c>
      <c r="B131" s="13" t="s">
        <v>495</v>
      </c>
      <c r="C131" s="35" t="s">
        <v>29</v>
      </c>
      <c r="D131" s="54" t="s">
        <v>439</v>
      </c>
      <c r="G131">
        <v>1.55</v>
      </c>
      <c r="I131" s="6">
        <v>60</v>
      </c>
    </row>
    <row r="132" spans="1:9" ht="15" x14ac:dyDescent="0.15">
      <c r="A132" s="54" t="s">
        <v>457</v>
      </c>
      <c r="B132" s="13" t="s">
        <v>496</v>
      </c>
      <c r="C132" s="35" t="s">
        <v>29</v>
      </c>
      <c r="D132" s="54" t="s">
        <v>439</v>
      </c>
      <c r="G132">
        <v>1.6</v>
      </c>
      <c r="I132" s="6">
        <v>60</v>
      </c>
    </row>
    <row r="133" spans="1:9" ht="15" x14ac:dyDescent="0.15">
      <c r="A133" s="54" t="s">
        <v>458</v>
      </c>
      <c r="B133" s="13" t="s">
        <v>497</v>
      </c>
      <c r="C133" s="35" t="s">
        <v>29</v>
      </c>
      <c r="D133" s="54" t="s">
        <v>439</v>
      </c>
      <c r="G133">
        <v>1.65</v>
      </c>
      <c r="I133" s="6">
        <v>60</v>
      </c>
    </row>
    <row r="134" spans="1:9" ht="15" x14ac:dyDescent="0.15">
      <c r="A134" s="54" t="s">
        <v>422</v>
      </c>
      <c r="B134" s="13" t="s">
        <v>498</v>
      </c>
      <c r="C134" s="35" t="s">
        <v>29</v>
      </c>
      <c r="D134" s="54" t="s">
        <v>685</v>
      </c>
      <c r="G134">
        <v>1.9</v>
      </c>
      <c r="I134" s="6">
        <v>60</v>
      </c>
    </row>
    <row r="135" spans="1:9" ht="15" x14ac:dyDescent="0.15">
      <c r="A135" s="54" t="s">
        <v>460</v>
      </c>
      <c r="B135" s="13" t="s">
        <v>499</v>
      </c>
      <c r="C135" s="35" t="s">
        <v>29</v>
      </c>
      <c r="D135" s="54" t="s">
        <v>440</v>
      </c>
      <c r="G135">
        <v>1.7</v>
      </c>
      <c r="I135" s="6">
        <v>60</v>
      </c>
    </row>
    <row r="136" spans="1:9" ht="15" x14ac:dyDescent="0.15">
      <c r="A136" s="54" t="s">
        <v>461</v>
      </c>
      <c r="B136" s="13" t="s">
        <v>500</v>
      </c>
      <c r="C136" s="35" t="s">
        <v>29</v>
      </c>
      <c r="D136" s="54" t="s">
        <v>440</v>
      </c>
      <c r="G136">
        <v>1.75</v>
      </c>
      <c r="I136" s="6">
        <v>60</v>
      </c>
    </row>
    <row r="137" spans="1:9" ht="15" x14ac:dyDescent="0.15">
      <c r="A137" s="54" t="s">
        <v>462</v>
      </c>
      <c r="B137" s="13" t="s">
        <v>501</v>
      </c>
      <c r="C137" s="35" t="s">
        <v>29</v>
      </c>
      <c r="D137" s="54" t="s">
        <v>440</v>
      </c>
      <c r="G137">
        <v>1.8</v>
      </c>
      <c r="I137" s="6">
        <v>60</v>
      </c>
    </row>
    <row r="138" spans="1:9" ht="15" x14ac:dyDescent="0.15">
      <c r="A138" s="54" t="s">
        <v>463</v>
      </c>
      <c r="B138" s="13" t="s">
        <v>502</v>
      </c>
      <c r="C138" s="35" t="s">
        <v>29</v>
      </c>
      <c r="D138" s="54" t="s">
        <v>440</v>
      </c>
      <c r="G138">
        <v>1.85</v>
      </c>
      <c r="I138" s="6">
        <v>60</v>
      </c>
    </row>
    <row r="139" spans="1:9" ht="15" x14ac:dyDescent="0.15">
      <c r="A139" s="54" t="s">
        <v>459</v>
      </c>
      <c r="B139" s="13" t="s">
        <v>503</v>
      </c>
      <c r="C139" s="35" t="s">
        <v>29</v>
      </c>
      <c r="D139" s="54" t="s">
        <v>392</v>
      </c>
      <c r="G139">
        <v>1.5</v>
      </c>
      <c r="I139" s="6">
        <v>60</v>
      </c>
    </row>
    <row r="140" spans="1:9" ht="15" x14ac:dyDescent="0.15">
      <c r="A140" s="54" t="s">
        <v>465</v>
      </c>
      <c r="B140" s="13" t="s">
        <v>504</v>
      </c>
      <c r="C140" s="35" t="s">
        <v>29</v>
      </c>
      <c r="D140" s="54" t="s">
        <v>440</v>
      </c>
      <c r="G140">
        <v>1.7</v>
      </c>
      <c r="I140" s="6">
        <v>60</v>
      </c>
    </row>
    <row r="141" spans="1:9" ht="15" x14ac:dyDescent="0.15">
      <c r="A141" s="54" t="s">
        <v>466</v>
      </c>
      <c r="B141" s="13" t="s">
        <v>505</v>
      </c>
      <c r="C141" s="35" t="s">
        <v>29</v>
      </c>
      <c r="D141" s="54" t="s">
        <v>440</v>
      </c>
      <c r="G141">
        <v>1.75</v>
      </c>
      <c r="I141" s="6">
        <v>60</v>
      </c>
    </row>
    <row r="142" spans="1:9" ht="15" x14ac:dyDescent="0.15">
      <c r="A142" s="54" t="s">
        <v>467</v>
      </c>
      <c r="B142" s="13" t="s">
        <v>506</v>
      </c>
      <c r="C142" s="35" t="s">
        <v>29</v>
      </c>
      <c r="D142" s="54" t="s">
        <v>440</v>
      </c>
      <c r="G142">
        <v>1.8</v>
      </c>
      <c r="I142" s="6">
        <v>60</v>
      </c>
    </row>
    <row r="143" spans="1:9" ht="15" x14ac:dyDescent="0.15">
      <c r="A143" s="54" t="s">
        <v>468</v>
      </c>
      <c r="B143" s="13" t="s">
        <v>507</v>
      </c>
      <c r="C143" s="35" t="s">
        <v>29</v>
      </c>
      <c r="D143" s="54" t="s">
        <v>440</v>
      </c>
      <c r="G143">
        <v>1.85</v>
      </c>
      <c r="I143" s="6">
        <v>60</v>
      </c>
    </row>
    <row r="144" spans="1:9" ht="15" x14ac:dyDescent="0.15">
      <c r="A144" s="54" t="s">
        <v>464</v>
      </c>
      <c r="B144" s="13" t="s">
        <v>508</v>
      </c>
      <c r="C144" s="35" t="s">
        <v>29</v>
      </c>
      <c r="D144" s="54" t="s">
        <v>392</v>
      </c>
      <c r="G144">
        <v>1.5</v>
      </c>
      <c r="I144" s="6">
        <v>60</v>
      </c>
    </row>
    <row r="145" spans="1:9" ht="15" x14ac:dyDescent="0.15">
      <c r="A145" s="54" t="s">
        <v>470</v>
      </c>
      <c r="B145" s="13" t="s">
        <v>509</v>
      </c>
      <c r="C145" s="35" t="s">
        <v>29</v>
      </c>
      <c r="D145" s="54" t="s">
        <v>441</v>
      </c>
      <c r="G145">
        <v>1.7</v>
      </c>
      <c r="I145" s="6">
        <v>60</v>
      </c>
    </row>
    <row r="146" spans="1:9" ht="15" x14ac:dyDescent="0.15">
      <c r="A146" s="54" t="s">
        <v>471</v>
      </c>
      <c r="B146" s="13" t="s">
        <v>510</v>
      </c>
      <c r="C146" s="35" t="s">
        <v>29</v>
      </c>
      <c r="D146" s="54" t="s">
        <v>441</v>
      </c>
      <c r="G146">
        <v>1.75</v>
      </c>
      <c r="I146" s="6">
        <v>60</v>
      </c>
    </row>
    <row r="147" spans="1:9" ht="15" x14ac:dyDescent="0.15">
      <c r="A147" s="54" t="s">
        <v>472</v>
      </c>
      <c r="B147" s="13" t="s">
        <v>511</v>
      </c>
      <c r="C147" s="35" t="s">
        <v>29</v>
      </c>
      <c r="D147" s="54" t="s">
        <v>441</v>
      </c>
      <c r="G147">
        <v>1.8</v>
      </c>
      <c r="I147" s="6">
        <v>60</v>
      </c>
    </row>
    <row r="148" spans="1:9" ht="15" x14ac:dyDescent="0.15">
      <c r="A148" s="54" t="s">
        <v>473</v>
      </c>
      <c r="B148" s="13" t="s">
        <v>512</v>
      </c>
      <c r="C148" s="35" t="s">
        <v>29</v>
      </c>
      <c r="D148" s="54" t="s">
        <v>441</v>
      </c>
      <c r="G148">
        <v>1.85</v>
      </c>
      <c r="I148" s="6">
        <v>60</v>
      </c>
    </row>
    <row r="149" spans="1:9" ht="15" x14ac:dyDescent="0.15">
      <c r="A149" s="54" t="s">
        <v>469</v>
      </c>
      <c r="B149" s="13" t="s">
        <v>513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475</v>
      </c>
      <c r="B150" s="13" t="s">
        <v>514</v>
      </c>
      <c r="C150" s="35" t="s">
        <v>29</v>
      </c>
      <c r="D150" s="54" t="s">
        <v>442</v>
      </c>
      <c r="G150">
        <v>1.5</v>
      </c>
      <c r="I150" s="6">
        <v>60</v>
      </c>
    </row>
    <row r="151" spans="1:9" ht="15" x14ac:dyDescent="0.15">
      <c r="A151" s="54" t="s">
        <v>476</v>
      </c>
      <c r="B151" s="13" t="s">
        <v>515</v>
      </c>
      <c r="C151" s="35" t="s">
        <v>29</v>
      </c>
      <c r="D151" s="54" t="s">
        <v>442</v>
      </c>
      <c r="G151">
        <v>1.55</v>
      </c>
      <c r="I151" s="6">
        <v>60</v>
      </c>
    </row>
    <row r="152" spans="1:9" ht="15" x14ac:dyDescent="0.15">
      <c r="A152" s="54" t="s">
        <v>477</v>
      </c>
      <c r="B152" s="13" t="s">
        <v>516</v>
      </c>
      <c r="C152" s="35" t="s">
        <v>29</v>
      </c>
      <c r="D152" s="54" t="s">
        <v>442</v>
      </c>
      <c r="G152">
        <v>1.6</v>
      </c>
      <c r="I152" s="6">
        <v>60</v>
      </c>
    </row>
    <row r="153" spans="1:9" ht="15" x14ac:dyDescent="0.15">
      <c r="A153" s="54" t="s">
        <v>478</v>
      </c>
      <c r="B153" s="13" t="s">
        <v>517</v>
      </c>
      <c r="C153" s="35" t="s">
        <v>29</v>
      </c>
      <c r="D153" s="54" t="s">
        <v>442</v>
      </c>
      <c r="G153">
        <v>1.65</v>
      </c>
      <c r="I153" s="6">
        <v>60</v>
      </c>
    </row>
    <row r="154" spans="1:9" ht="15" x14ac:dyDescent="0.15">
      <c r="A154" s="54" t="s">
        <v>474</v>
      </c>
      <c r="B154" s="13" t="s">
        <v>518</v>
      </c>
      <c r="C154" s="35" t="s">
        <v>29</v>
      </c>
      <c r="D154" s="54" t="s">
        <v>424</v>
      </c>
      <c r="G154">
        <v>1.3</v>
      </c>
      <c r="I154" s="6">
        <v>60</v>
      </c>
    </row>
    <row r="155" spans="1:9" ht="15" x14ac:dyDescent="0.15">
      <c r="A155" s="54" t="s">
        <v>480</v>
      </c>
      <c r="B155" s="13" t="s">
        <v>519</v>
      </c>
      <c r="C155" s="35" t="s">
        <v>313</v>
      </c>
      <c r="D155" s="54" t="s">
        <v>443</v>
      </c>
      <c r="G155">
        <v>1.7</v>
      </c>
      <c r="I155" s="6">
        <v>60</v>
      </c>
    </row>
    <row r="156" spans="1:9" ht="15" x14ac:dyDescent="0.15">
      <c r="A156" s="54" t="s">
        <v>481</v>
      </c>
      <c r="B156" s="13" t="s">
        <v>520</v>
      </c>
      <c r="C156" s="35" t="s">
        <v>313</v>
      </c>
      <c r="D156" s="54" t="s">
        <v>443</v>
      </c>
      <c r="G156">
        <v>1.75</v>
      </c>
      <c r="I156" s="6">
        <v>60</v>
      </c>
    </row>
    <row r="157" spans="1:9" ht="15" x14ac:dyDescent="0.15">
      <c r="A157" s="54" t="s">
        <v>482</v>
      </c>
      <c r="B157" s="13" t="s">
        <v>521</v>
      </c>
      <c r="C157" s="35" t="s">
        <v>313</v>
      </c>
      <c r="D157" s="54" t="s">
        <v>443</v>
      </c>
      <c r="G157">
        <v>1.8</v>
      </c>
      <c r="I157" s="6">
        <v>60</v>
      </c>
    </row>
    <row r="158" spans="1:9" ht="15" x14ac:dyDescent="0.15">
      <c r="A158" s="54" t="s">
        <v>483</v>
      </c>
      <c r="B158" s="13" t="s">
        <v>522</v>
      </c>
      <c r="C158" s="35" t="s">
        <v>313</v>
      </c>
      <c r="D158" s="54" t="s">
        <v>443</v>
      </c>
      <c r="G158">
        <v>1.85</v>
      </c>
      <c r="I158" s="6">
        <v>60</v>
      </c>
    </row>
    <row r="159" spans="1:9" ht="15" x14ac:dyDescent="0.15">
      <c r="A159" s="54" t="s">
        <v>479</v>
      </c>
      <c r="B159" s="13" t="s">
        <v>523</v>
      </c>
      <c r="C159" s="35" t="s">
        <v>29</v>
      </c>
      <c r="D159" s="54" t="s">
        <v>682</v>
      </c>
      <c r="G159">
        <v>3.5</v>
      </c>
      <c r="I159" s="6">
        <v>60</v>
      </c>
    </row>
    <row r="160" spans="1:9" ht="15" x14ac:dyDescent="0.15">
      <c r="A160" s="54" t="s">
        <v>485</v>
      </c>
      <c r="B160" s="13" t="s">
        <v>524</v>
      </c>
      <c r="C160" s="35" t="s">
        <v>29</v>
      </c>
      <c r="D160" s="54" t="s">
        <v>444</v>
      </c>
      <c r="G160">
        <v>1.5</v>
      </c>
      <c r="I160" s="6">
        <v>60</v>
      </c>
    </row>
    <row r="161" spans="1:9" ht="15" x14ac:dyDescent="0.15">
      <c r="A161" s="54" t="s">
        <v>486</v>
      </c>
      <c r="B161" s="13" t="s">
        <v>525</v>
      </c>
      <c r="C161" s="35" t="s">
        <v>29</v>
      </c>
      <c r="D161" s="54" t="s">
        <v>444</v>
      </c>
      <c r="G161">
        <v>1.55</v>
      </c>
      <c r="I161" s="6">
        <v>60</v>
      </c>
    </row>
    <row r="162" spans="1:9" ht="15" x14ac:dyDescent="0.15">
      <c r="A162" s="54" t="s">
        <v>487</v>
      </c>
      <c r="B162" s="13" t="s">
        <v>526</v>
      </c>
      <c r="C162" s="35" t="s">
        <v>29</v>
      </c>
      <c r="D162" s="54" t="s">
        <v>444</v>
      </c>
      <c r="G162">
        <v>1.6</v>
      </c>
      <c r="I162" s="6">
        <v>60</v>
      </c>
    </row>
    <row r="163" spans="1:9" ht="15" x14ac:dyDescent="0.15">
      <c r="A163" s="54" t="s">
        <v>488</v>
      </c>
      <c r="B163" s="13" t="s">
        <v>527</v>
      </c>
      <c r="C163" s="35" t="s">
        <v>29</v>
      </c>
      <c r="D163" s="54" t="s">
        <v>444</v>
      </c>
      <c r="G163">
        <v>1.65</v>
      </c>
      <c r="I163" s="6">
        <v>60</v>
      </c>
    </row>
    <row r="164" spans="1:9" ht="15" x14ac:dyDescent="0.15">
      <c r="A164" s="54" t="s">
        <v>484</v>
      </c>
      <c r="B164" s="13" t="s">
        <v>528</v>
      </c>
      <c r="C164" s="35" t="s">
        <v>29</v>
      </c>
      <c r="D164" s="54" t="s">
        <v>425</v>
      </c>
      <c r="G164">
        <v>1.75</v>
      </c>
      <c r="I164" s="6">
        <v>60</v>
      </c>
    </row>
    <row r="165" spans="1:9" ht="15" x14ac:dyDescent="0.15">
      <c r="A165" s="54" t="s">
        <v>490</v>
      </c>
      <c r="B165" s="13" t="s">
        <v>529</v>
      </c>
      <c r="C165" s="35" t="s">
        <v>29</v>
      </c>
      <c r="D165" s="54" t="s">
        <v>445</v>
      </c>
      <c r="G165">
        <v>1.5</v>
      </c>
      <c r="I165" s="6">
        <v>60</v>
      </c>
    </row>
    <row r="166" spans="1:9" ht="15" x14ac:dyDescent="0.15">
      <c r="A166" s="54" t="s">
        <v>491</v>
      </c>
      <c r="B166" s="13" t="s">
        <v>530</v>
      </c>
      <c r="C166" s="35" t="s">
        <v>29</v>
      </c>
      <c r="D166" s="54" t="s">
        <v>445</v>
      </c>
      <c r="G166">
        <v>1.55</v>
      </c>
      <c r="I166" s="6">
        <v>60</v>
      </c>
    </row>
    <row r="167" spans="1:9" ht="15" x14ac:dyDescent="0.15">
      <c r="A167" s="54" t="s">
        <v>492</v>
      </c>
      <c r="B167" s="13" t="s">
        <v>531</v>
      </c>
      <c r="C167" s="35" t="s">
        <v>29</v>
      </c>
      <c r="D167" s="54" t="s">
        <v>445</v>
      </c>
      <c r="G167">
        <v>1.6</v>
      </c>
      <c r="I167" s="6">
        <v>60</v>
      </c>
    </row>
    <row r="168" spans="1:9" ht="15" x14ac:dyDescent="0.15">
      <c r="A168" s="54" t="s">
        <v>493</v>
      </c>
      <c r="B168" s="13" t="s">
        <v>532</v>
      </c>
      <c r="C168" s="35" t="s">
        <v>29</v>
      </c>
      <c r="D168" s="54" t="s">
        <v>445</v>
      </c>
      <c r="G168">
        <v>1.65</v>
      </c>
      <c r="I168" s="6">
        <v>60</v>
      </c>
    </row>
    <row r="169" spans="1:9" ht="15" x14ac:dyDescent="0.15">
      <c r="A169" s="54" t="s">
        <v>489</v>
      </c>
      <c r="B169" s="13" t="s">
        <v>533</v>
      </c>
      <c r="C169" s="35" t="s">
        <v>29</v>
      </c>
      <c r="D169" s="54" t="s">
        <v>426</v>
      </c>
      <c r="G169">
        <v>1.2</v>
      </c>
      <c r="I169" s="6">
        <v>60</v>
      </c>
    </row>
    <row r="170" spans="1:9" ht="15" x14ac:dyDescent="0.15">
      <c r="A170" s="54" t="s">
        <v>534</v>
      </c>
      <c r="B170" s="13" t="s">
        <v>544</v>
      </c>
      <c r="C170" s="35" t="s">
        <v>29</v>
      </c>
      <c r="D170" s="54" t="s">
        <v>554</v>
      </c>
      <c r="G170">
        <v>0.8</v>
      </c>
      <c r="I170" s="6">
        <v>60</v>
      </c>
    </row>
    <row r="171" spans="1:9" ht="15" x14ac:dyDescent="0.15">
      <c r="A171" s="54" t="s">
        <v>535</v>
      </c>
      <c r="B171" s="13" t="s">
        <v>545</v>
      </c>
      <c r="C171" s="35" t="s">
        <v>29</v>
      </c>
      <c r="D171" s="54" t="s">
        <v>555</v>
      </c>
      <c r="G171">
        <v>0.56999999999999995</v>
      </c>
      <c r="I171" s="6">
        <v>60</v>
      </c>
    </row>
    <row r="172" spans="1:9" ht="15" x14ac:dyDescent="0.15">
      <c r="A172" s="54" t="s">
        <v>536</v>
      </c>
      <c r="B172" s="13" t="s">
        <v>546</v>
      </c>
      <c r="C172" s="35" t="s">
        <v>313</v>
      </c>
      <c r="D172" s="54" t="s">
        <v>556</v>
      </c>
      <c r="G172">
        <v>1</v>
      </c>
      <c r="I172" s="6">
        <v>60</v>
      </c>
    </row>
    <row r="173" spans="1:9" ht="15" x14ac:dyDescent="0.15">
      <c r="A173" s="54" t="s">
        <v>537</v>
      </c>
      <c r="B173" s="13" t="s">
        <v>547</v>
      </c>
      <c r="C173" s="35" t="s">
        <v>313</v>
      </c>
      <c r="D173" s="54" t="s">
        <v>683</v>
      </c>
      <c r="G173">
        <v>2</v>
      </c>
      <c r="I173" s="6">
        <v>60</v>
      </c>
    </row>
    <row r="174" spans="1:9" ht="15" x14ac:dyDescent="0.15">
      <c r="A174" s="54" t="s">
        <v>538</v>
      </c>
      <c r="B174" s="13" t="s">
        <v>548</v>
      </c>
      <c r="C174" s="35" t="s">
        <v>29</v>
      </c>
      <c r="D174" s="54" t="s">
        <v>557</v>
      </c>
      <c r="G174">
        <v>0.62</v>
      </c>
      <c r="I174" s="6">
        <v>60</v>
      </c>
    </row>
    <row r="175" spans="1:9" ht="15" x14ac:dyDescent="0.15">
      <c r="A175" s="54" t="s">
        <v>539</v>
      </c>
      <c r="B175" s="13" t="s">
        <v>549</v>
      </c>
      <c r="C175" s="35" t="s">
        <v>29</v>
      </c>
      <c r="D175" s="54" t="s">
        <v>558</v>
      </c>
      <c r="G175">
        <v>0.7</v>
      </c>
      <c r="I175" s="6">
        <v>60</v>
      </c>
    </row>
    <row r="176" spans="1:9" ht="15" x14ac:dyDescent="0.15">
      <c r="A176" s="54" t="s">
        <v>540</v>
      </c>
      <c r="B176" s="13" t="s">
        <v>550</v>
      </c>
      <c r="C176" s="35" t="s">
        <v>29</v>
      </c>
      <c r="D176" s="54" t="s">
        <v>336</v>
      </c>
      <c r="G176">
        <v>0.75</v>
      </c>
      <c r="I176" s="6">
        <v>60</v>
      </c>
    </row>
    <row r="177" spans="1:9" ht="15" x14ac:dyDescent="0.15">
      <c r="A177" s="54" t="s">
        <v>541</v>
      </c>
      <c r="B177" s="13" t="s">
        <v>551</v>
      </c>
      <c r="C177" s="35" t="s">
        <v>29</v>
      </c>
      <c r="D177" s="54" t="s">
        <v>681</v>
      </c>
      <c r="G177">
        <v>2</v>
      </c>
      <c r="I177" s="6">
        <v>60</v>
      </c>
    </row>
    <row r="178" spans="1:9" ht="15" x14ac:dyDescent="0.15">
      <c r="A178" s="54" t="s">
        <v>542</v>
      </c>
      <c r="B178" s="13" t="s">
        <v>552</v>
      </c>
      <c r="C178" s="35" t="s">
        <v>29</v>
      </c>
      <c r="D178" s="54" t="s">
        <v>568</v>
      </c>
      <c r="G178">
        <v>1</v>
      </c>
      <c r="I178" s="6">
        <v>60</v>
      </c>
    </row>
    <row r="179" spans="1:9" ht="15" x14ac:dyDescent="0.15">
      <c r="A179" s="54" t="s">
        <v>543</v>
      </c>
      <c r="B179" s="13" t="s">
        <v>553</v>
      </c>
      <c r="C179" s="35" t="s">
        <v>29</v>
      </c>
      <c r="D179" s="54" t="s">
        <v>559</v>
      </c>
      <c r="G179">
        <v>1.2</v>
      </c>
      <c r="I179" s="6">
        <v>60</v>
      </c>
    </row>
    <row r="180" spans="1:9" ht="15" x14ac:dyDescent="0.15">
      <c r="A180" s="5" t="s">
        <v>564</v>
      </c>
      <c r="B180" s="13" t="s">
        <v>562</v>
      </c>
      <c r="C180" s="12" t="s">
        <v>29</v>
      </c>
      <c r="D180" s="3" t="s">
        <v>561</v>
      </c>
      <c r="G180" s="6">
        <v>1</v>
      </c>
      <c r="I180" s="6">
        <v>10</v>
      </c>
    </row>
    <row r="181" spans="1:9" ht="15" x14ac:dyDescent="0.15">
      <c r="A181" s="46" t="s">
        <v>565</v>
      </c>
      <c r="B181" s="13" t="s">
        <v>566</v>
      </c>
      <c r="C181" s="12" t="s">
        <v>29</v>
      </c>
      <c r="D181" s="3" t="s">
        <v>356</v>
      </c>
      <c r="G181">
        <v>3.5</v>
      </c>
      <c r="I181" s="6">
        <v>60</v>
      </c>
    </row>
    <row r="182" spans="1:9" ht="15" x14ac:dyDescent="0.15">
      <c r="A182" s="28" t="s">
        <v>569</v>
      </c>
      <c r="B182" s="13" t="s">
        <v>589</v>
      </c>
      <c r="C182" s="12" t="s">
        <v>29</v>
      </c>
      <c r="D182" s="3" t="s">
        <v>609</v>
      </c>
      <c r="G182">
        <v>1</v>
      </c>
      <c r="I182" s="6">
        <v>60</v>
      </c>
    </row>
    <row r="183" spans="1:9" ht="15" x14ac:dyDescent="0.15">
      <c r="A183" s="28" t="s">
        <v>570</v>
      </c>
      <c r="B183" s="13" t="s">
        <v>590</v>
      </c>
      <c r="C183" s="12" t="s">
        <v>29</v>
      </c>
      <c r="D183" s="3" t="s">
        <v>609</v>
      </c>
      <c r="G183">
        <v>1.05</v>
      </c>
      <c r="I183" s="6">
        <v>60</v>
      </c>
    </row>
    <row r="184" spans="1:9" ht="15" x14ac:dyDescent="0.15">
      <c r="A184" s="28" t="s">
        <v>571</v>
      </c>
      <c r="B184" s="13" t="s">
        <v>591</v>
      </c>
      <c r="C184" s="12" t="s">
        <v>29</v>
      </c>
      <c r="D184" s="3" t="s">
        <v>609</v>
      </c>
      <c r="G184">
        <v>1.1000000000000001</v>
      </c>
      <c r="I184" s="6">
        <v>60</v>
      </c>
    </row>
    <row r="185" spans="1:9" ht="15" x14ac:dyDescent="0.15">
      <c r="A185" s="28" t="s">
        <v>572</v>
      </c>
      <c r="B185" s="13" t="s">
        <v>592</v>
      </c>
      <c r="C185" s="12" t="s">
        <v>29</v>
      </c>
      <c r="D185" s="3" t="s">
        <v>609</v>
      </c>
      <c r="G185">
        <v>1.1499999999999999</v>
      </c>
      <c r="I185" s="6">
        <v>60</v>
      </c>
    </row>
    <row r="186" spans="1:9" ht="15" x14ac:dyDescent="0.15">
      <c r="A186" s="28" t="s">
        <v>573</v>
      </c>
      <c r="B186" s="13" t="s">
        <v>593</v>
      </c>
      <c r="C186" s="12" t="s">
        <v>29</v>
      </c>
      <c r="D186" s="3" t="s">
        <v>609</v>
      </c>
      <c r="G186">
        <v>1.2</v>
      </c>
      <c r="I186" s="6">
        <v>60</v>
      </c>
    </row>
    <row r="187" spans="1:9" ht="15" x14ac:dyDescent="0.15">
      <c r="A187" s="28" t="s">
        <v>574</v>
      </c>
      <c r="B187" s="13" t="s">
        <v>594</v>
      </c>
      <c r="C187" s="12" t="s">
        <v>29</v>
      </c>
      <c r="D187" s="3" t="s">
        <v>609</v>
      </c>
      <c r="G187">
        <v>1.25</v>
      </c>
      <c r="I187" s="6">
        <v>60</v>
      </c>
    </row>
    <row r="188" spans="1:9" ht="15" x14ac:dyDescent="0.15">
      <c r="A188" s="28" t="s">
        <v>575</v>
      </c>
      <c r="B188" s="13" t="s">
        <v>595</v>
      </c>
      <c r="C188" s="12" t="s">
        <v>29</v>
      </c>
      <c r="D188" s="3" t="s">
        <v>609</v>
      </c>
      <c r="G188">
        <v>1.3</v>
      </c>
      <c r="I188" s="6">
        <v>60</v>
      </c>
    </row>
    <row r="189" spans="1:9" ht="15" x14ac:dyDescent="0.15">
      <c r="A189" s="28" t="s">
        <v>576</v>
      </c>
      <c r="B189" s="13" t="s">
        <v>596</v>
      </c>
      <c r="C189" s="12" t="s">
        <v>29</v>
      </c>
      <c r="D189" s="3" t="s">
        <v>609</v>
      </c>
      <c r="G189">
        <v>1.35</v>
      </c>
      <c r="I189" s="6">
        <v>60</v>
      </c>
    </row>
    <row r="190" spans="1:9" ht="15" x14ac:dyDescent="0.15">
      <c r="A190" s="28" t="s">
        <v>577</v>
      </c>
      <c r="B190" s="13" t="s">
        <v>597</v>
      </c>
      <c r="C190" s="12" t="s">
        <v>29</v>
      </c>
      <c r="D190" s="3" t="s">
        <v>609</v>
      </c>
      <c r="G190">
        <v>1.4</v>
      </c>
      <c r="I190" s="6">
        <v>60</v>
      </c>
    </row>
    <row r="191" spans="1:9" ht="15" x14ac:dyDescent="0.15">
      <c r="A191" s="28" t="s">
        <v>578</v>
      </c>
      <c r="B191" s="13" t="s">
        <v>598</v>
      </c>
      <c r="C191" s="12" t="s">
        <v>29</v>
      </c>
      <c r="D191" s="3" t="s">
        <v>609</v>
      </c>
      <c r="G191">
        <v>1.45</v>
      </c>
      <c r="I191" s="6">
        <v>60</v>
      </c>
    </row>
    <row r="192" spans="1:9" ht="15" x14ac:dyDescent="0.15">
      <c r="A192" s="28" t="s">
        <v>579</v>
      </c>
      <c r="B192" s="13" t="s">
        <v>599</v>
      </c>
      <c r="C192" s="12" t="s">
        <v>29</v>
      </c>
      <c r="D192" s="3" t="s">
        <v>609</v>
      </c>
      <c r="G192">
        <v>1.5</v>
      </c>
      <c r="I192" s="6">
        <v>60</v>
      </c>
    </row>
    <row r="193" spans="1:9" ht="15" x14ac:dyDescent="0.15">
      <c r="A193" s="28" t="s">
        <v>580</v>
      </c>
      <c r="B193" s="13" t="s">
        <v>600</v>
      </c>
      <c r="C193" s="12" t="s">
        <v>29</v>
      </c>
      <c r="D193" s="3" t="s">
        <v>609</v>
      </c>
      <c r="G193">
        <v>1.55</v>
      </c>
      <c r="I193" s="6">
        <v>60</v>
      </c>
    </row>
    <row r="194" spans="1:9" ht="15" x14ac:dyDescent="0.15">
      <c r="A194" s="28" t="s">
        <v>581</v>
      </c>
      <c r="B194" s="13" t="s">
        <v>601</v>
      </c>
      <c r="C194" s="12" t="s">
        <v>29</v>
      </c>
      <c r="D194" s="3" t="s">
        <v>609</v>
      </c>
      <c r="G194">
        <v>1.6</v>
      </c>
      <c r="I194" s="6">
        <v>60</v>
      </c>
    </row>
    <row r="195" spans="1:9" ht="15" x14ac:dyDescent="0.15">
      <c r="A195" s="28" t="s">
        <v>582</v>
      </c>
      <c r="B195" s="13" t="s">
        <v>602</v>
      </c>
      <c r="C195" s="12" t="s">
        <v>29</v>
      </c>
      <c r="D195" s="3" t="s">
        <v>609</v>
      </c>
      <c r="G195">
        <v>1.65</v>
      </c>
      <c r="I195" s="6">
        <v>60</v>
      </c>
    </row>
    <row r="196" spans="1:9" ht="15" x14ac:dyDescent="0.15">
      <c r="A196" s="28" t="s">
        <v>583</v>
      </c>
      <c r="B196" s="13" t="s">
        <v>603</v>
      </c>
      <c r="C196" s="12" t="s">
        <v>29</v>
      </c>
      <c r="D196" s="3" t="s">
        <v>609</v>
      </c>
      <c r="G196">
        <v>1.7</v>
      </c>
      <c r="I196" s="6">
        <v>60</v>
      </c>
    </row>
    <row r="197" spans="1:9" ht="15" x14ac:dyDescent="0.15">
      <c r="A197" s="28" t="s">
        <v>584</v>
      </c>
      <c r="B197" s="13" t="s">
        <v>604</v>
      </c>
      <c r="C197" s="12" t="s">
        <v>29</v>
      </c>
      <c r="D197" s="3" t="s">
        <v>609</v>
      </c>
      <c r="G197">
        <v>1.75</v>
      </c>
      <c r="I197" s="6">
        <v>60</v>
      </c>
    </row>
    <row r="198" spans="1:9" ht="15" x14ac:dyDescent="0.15">
      <c r="A198" s="28" t="s">
        <v>585</v>
      </c>
      <c r="B198" s="13" t="s">
        <v>605</v>
      </c>
      <c r="C198" s="12" t="s">
        <v>29</v>
      </c>
      <c r="D198" s="3" t="s">
        <v>609</v>
      </c>
      <c r="G198">
        <v>1.8</v>
      </c>
      <c r="I198" s="6">
        <v>60</v>
      </c>
    </row>
    <row r="199" spans="1:9" ht="15" x14ac:dyDescent="0.15">
      <c r="A199" s="28" t="s">
        <v>586</v>
      </c>
      <c r="B199" s="13" t="s">
        <v>606</v>
      </c>
      <c r="C199" s="12" t="s">
        <v>29</v>
      </c>
      <c r="D199" s="3" t="s">
        <v>609</v>
      </c>
      <c r="G199">
        <v>1.85</v>
      </c>
      <c r="I199" s="6">
        <v>60</v>
      </c>
    </row>
    <row r="200" spans="1:9" ht="15" x14ac:dyDescent="0.15">
      <c r="A200" s="28" t="s">
        <v>587</v>
      </c>
      <c r="B200" s="13" t="s">
        <v>607</v>
      </c>
      <c r="C200" s="12" t="s">
        <v>29</v>
      </c>
      <c r="D200" s="3" t="s">
        <v>609</v>
      </c>
      <c r="G200">
        <v>1.9</v>
      </c>
      <c r="I200" s="6">
        <v>60</v>
      </c>
    </row>
    <row r="201" spans="1:9" ht="15" x14ac:dyDescent="0.15">
      <c r="A201" s="28" t="s">
        <v>588</v>
      </c>
      <c r="B201" s="13" t="s">
        <v>608</v>
      </c>
      <c r="C201" s="12" t="s">
        <v>29</v>
      </c>
      <c r="D201" s="3" t="s">
        <v>609</v>
      </c>
      <c r="G201">
        <v>1.95</v>
      </c>
      <c r="I201" s="6">
        <v>60</v>
      </c>
    </row>
    <row r="202" spans="1:9" ht="15" x14ac:dyDescent="0.15">
      <c r="A202" s="28" t="s">
        <v>610</v>
      </c>
      <c r="B202" s="13" t="s">
        <v>630</v>
      </c>
      <c r="C202" s="12" t="s">
        <v>29</v>
      </c>
      <c r="D202" s="3" t="s">
        <v>650</v>
      </c>
      <c r="G202">
        <v>1</v>
      </c>
      <c r="I202" s="6">
        <v>60</v>
      </c>
    </row>
    <row r="203" spans="1:9" ht="15" x14ac:dyDescent="0.15">
      <c r="A203" s="28" t="s">
        <v>611</v>
      </c>
      <c r="B203" s="13" t="s">
        <v>631</v>
      </c>
      <c r="C203" s="12" t="s">
        <v>29</v>
      </c>
      <c r="D203" s="3" t="s">
        <v>650</v>
      </c>
      <c r="G203">
        <v>1.05</v>
      </c>
      <c r="I203" s="6">
        <v>60</v>
      </c>
    </row>
    <row r="204" spans="1:9" ht="15" x14ac:dyDescent="0.15">
      <c r="A204" s="28" t="s">
        <v>612</v>
      </c>
      <c r="B204" s="13" t="s">
        <v>632</v>
      </c>
      <c r="C204" s="12" t="s">
        <v>29</v>
      </c>
      <c r="D204" s="3" t="s">
        <v>650</v>
      </c>
      <c r="G204">
        <v>1.1000000000000001</v>
      </c>
      <c r="I204" s="6">
        <v>60</v>
      </c>
    </row>
    <row r="205" spans="1:9" ht="15" x14ac:dyDescent="0.15">
      <c r="A205" s="28" t="s">
        <v>613</v>
      </c>
      <c r="B205" s="13" t="s">
        <v>633</v>
      </c>
      <c r="C205" s="12" t="s">
        <v>29</v>
      </c>
      <c r="D205" s="3" t="s">
        <v>650</v>
      </c>
      <c r="G205">
        <v>1.1499999999999999</v>
      </c>
      <c r="I205" s="6">
        <v>60</v>
      </c>
    </row>
    <row r="206" spans="1:9" ht="15" x14ac:dyDescent="0.15">
      <c r="A206" s="28" t="s">
        <v>614</v>
      </c>
      <c r="B206" s="13" t="s">
        <v>634</v>
      </c>
      <c r="C206" s="12" t="s">
        <v>29</v>
      </c>
      <c r="D206" s="3" t="s">
        <v>650</v>
      </c>
      <c r="G206">
        <v>1.2</v>
      </c>
      <c r="I206" s="6">
        <v>60</v>
      </c>
    </row>
    <row r="207" spans="1:9" ht="15" x14ac:dyDescent="0.15">
      <c r="A207" s="28" t="s">
        <v>615</v>
      </c>
      <c r="B207" s="13" t="s">
        <v>635</v>
      </c>
      <c r="C207" s="12" t="s">
        <v>29</v>
      </c>
      <c r="D207" s="3" t="s">
        <v>650</v>
      </c>
      <c r="G207">
        <v>1.25</v>
      </c>
      <c r="I207" s="6">
        <v>60</v>
      </c>
    </row>
    <row r="208" spans="1:9" ht="15" x14ac:dyDescent="0.15">
      <c r="A208" s="28" t="s">
        <v>616</v>
      </c>
      <c r="B208" s="13" t="s">
        <v>636</v>
      </c>
      <c r="C208" s="12" t="s">
        <v>29</v>
      </c>
      <c r="D208" s="3" t="s">
        <v>650</v>
      </c>
      <c r="G208">
        <v>1.3</v>
      </c>
      <c r="I208" s="6">
        <v>60</v>
      </c>
    </row>
    <row r="209" spans="1:9" ht="15" x14ac:dyDescent="0.15">
      <c r="A209" s="28" t="s">
        <v>617</v>
      </c>
      <c r="B209" s="13" t="s">
        <v>637</v>
      </c>
      <c r="C209" s="12" t="s">
        <v>29</v>
      </c>
      <c r="D209" s="3" t="s">
        <v>650</v>
      </c>
      <c r="G209">
        <v>1.35</v>
      </c>
      <c r="I209" s="6">
        <v>60</v>
      </c>
    </row>
    <row r="210" spans="1:9" ht="15" x14ac:dyDescent="0.15">
      <c r="A210" s="28" t="s">
        <v>618</v>
      </c>
      <c r="B210" s="13" t="s">
        <v>638</v>
      </c>
      <c r="C210" s="12" t="s">
        <v>29</v>
      </c>
      <c r="D210" s="3" t="s">
        <v>650</v>
      </c>
      <c r="G210">
        <v>1.4</v>
      </c>
      <c r="I210" s="6">
        <v>60</v>
      </c>
    </row>
    <row r="211" spans="1:9" ht="15" x14ac:dyDescent="0.15">
      <c r="A211" s="28" t="s">
        <v>619</v>
      </c>
      <c r="B211" s="13" t="s">
        <v>639</v>
      </c>
      <c r="C211" s="12" t="s">
        <v>29</v>
      </c>
      <c r="D211" s="3" t="s">
        <v>650</v>
      </c>
      <c r="G211">
        <v>1.45</v>
      </c>
      <c r="I211" s="6">
        <v>60</v>
      </c>
    </row>
    <row r="212" spans="1:9" ht="15" x14ac:dyDescent="0.15">
      <c r="A212" s="28" t="s">
        <v>620</v>
      </c>
      <c r="B212" s="13" t="s">
        <v>640</v>
      </c>
      <c r="C212" s="12" t="s">
        <v>29</v>
      </c>
      <c r="D212" s="3" t="s">
        <v>650</v>
      </c>
      <c r="G212">
        <v>1.5</v>
      </c>
      <c r="I212" s="6">
        <v>60</v>
      </c>
    </row>
    <row r="213" spans="1:9" ht="15" x14ac:dyDescent="0.15">
      <c r="A213" s="28" t="s">
        <v>621</v>
      </c>
      <c r="B213" s="13" t="s">
        <v>641</v>
      </c>
      <c r="C213" s="12" t="s">
        <v>29</v>
      </c>
      <c r="D213" s="3" t="s">
        <v>650</v>
      </c>
      <c r="G213">
        <v>1.55</v>
      </c>
      <c r="I213" s="6">
        <v>60</v>
      </c>
    </row>
    <row r="214" spans="1:9" ht="15" x14ac:dyDescent="0.15">
      <c r="A214" s="28" t="s">
        <v>622</v>
      </c>
      <c r="B214" s="13" t="s">
        <v>642</v>
      </c>
      <c r="C214" s="12" t="s">
        <v>29</v>
      </c>
      <c r="D214" s="3" t="s">
        <v>650</v>
      </c>
      <c r="G214">
        <v>1.6</v>
      </c>
      <c r="I214" s="6">
        <v>60</v>
      </c>
    </row>
    <row r="215" spans="1:9" ht="15" x14ac:dyDescent="0.15">
      <c r="A215" s="28" t="s">
        <v>623</v>
      </c>
      <c r="B215" s="13" t="s">
        <v>643</v>
      </c>
      <c r="C215" s="12" t="s">
        <v>29</v>
      </c>
      <c r="D215" s="3" t="s">
        <v>650</v>
      </c>
      <c r="G215">
        <v>1.65</v>
      </c>
      <c r="I215" s="6">
        <v>60</v>
      </c>
    </row>
    <row r="216" spans="1:9" ht="15" x14ac:dyDescent="0.15">
      <c r="A216" s="28" t="s">
        <v>624</v>
      </c>
      <c r="B216" s="13" t="s">
        <v>644</v>
      </c>
      <c r="C216" s="12" t="s">
        <v>29</v>
      </c>
      <c r="D216" s="3" t="s">
        <v>650</v>
      </c>
      <c r="G216">
        <v>1.7</v>
      </c>
      <c r="I216" s="6">
        <v>60</v>
      </c>
    </row>
    <row r="217" spans="1:9" ht="15" x14ac:dyDescent="0.15">
      <c r="A217" s="28" t="s">
        <v>625</v>
      </c>
      <c r="B217" s="13" t="s">
        <v>645</v>
      </c>
      <c r="C217" s="12" t="s">
        <v>29</v>
      </c>
      <c r="D217" s="3" t="s">
        <v>650</v>
      </c>
      <c r="G217">
        <v>1.75</v>
      </c>
      <c r="I217" s="6">
        <v>60</v>
      </c>
    </row>
    <row r="218" spans="1:9" ht="15" x14ac:dyDescent="0.15">
      <c r="A218" s="28" t="s">
        <v>626</v>
      </c>
      <c r="B218" s="13" t="s">
        <v>646</v>
      </c>
      <c r="C218" s="12" t="s">
        <v>29</v>
      </c>
      <c r="D218" s="3" t="s">
        <v>650</v>
      </c>
      <c r="G218">
        <v>1.8</v>
      </c>
      <c r="I218" s="6">
        <v>60</v>
      </c>
    </row>
    <row r="219" spans="1:9" ht="15" x14ac:dyDescent="0.15">
      <c r="A219" s="28" t="s">
        <v>627</v>
      </c>
      <c r="B219" s="13" t="s">
        <v>647</v>
      </c>
      <c r="C219" s="12" t="s">
        <v>29</v>
      </c>
      <c r="D219" s="3" t="s">
        <v>650</v>
      </c>
      <c r="G219">
        <v>1.85</v>
      </c>
      <c r="I219" s="6">
        <v>60</v>
      </c>
    </row>
    <row r="220" spans="1:9" ht="15" x14ac:dyDescent="0.15">
      <c r="A220" s="28" t="s">
        <v>628</v>
      </c>
      <c r="B220" s="13" t="s">
        <v>648</v>
      </c>
      <c r="C220" s="12" t="s">
        <v>29</v>
      </c>
      <c r="D220" s="3" t="s">
        <v>650</v>
      </c>
      <c r="G220">
        <v>1.9</v>
      </c>
      <c r="I220" s="6">
        <v>60</v>
      </c>
    </row>
    <row r="221" spans="1:9" ht="15" x14ac:dyDescent="0.15">
      <c r="A221" s="28" t="s">
        <v>629</v>
      </c>
      <c r="B221" s="13" t="s">
        <v>649</v>
      </c>
      <c r="C221" s="12" t="s">
        <v>29</v>
      </c>
      <c r="D221" s="3" t="s">
        <v>650</v>
      </c>
      <c r="G221">
        <v>1.95</v>
      </c>
      <c r="I221" s="6">
        <v>60</v>
      </c>
    </row>
    <row r="222" spans="1:9" ht="15" x14ac:dyDescent="0.15">
      <c r="A222" s="28" t="s">
        <v>654</v>
      </c>
      <c r="B222" s="13" t="s">
        <v>653</v>
      </c>
      <c r="C222" s="12" t="s">
        <v>29</v>
      </c>
      <c r="D222" s="62" t="s">
        <v>655</v>
      </c>
      <c r="G222">
        <v>4</v>
      </c>
      <c r="I222" s="6">
        <v>10</v>
      </c>
    </row>
    <row r="223" spans="1:9" s="45" customFormat="1" ht="15" x14ac:dyDescent="0.15">
      <c r="A223" s="61" t="s">
        <v>652</v>
      </c>
      <c r="B223" s="13" t="s">
        <v>656</v>
      </c>
      <c r="C223" s="46" t="s">
        <v>29</v>
      </c>
      <c r="D223" s="62" t="s">
        <v>655</v>
      </c>
      <c r="G223" s="63">
        <v>1.8</v>
      </c>
      <c r="I223" s="63">
        <v>10</v>
      </c>
    </row>
    <row r="224" spans="1:9" ht="15" x14ac:dyDescent="0.15">
      <c r="A224" s="28" t="s">
        <v>658</v>
      </c>
      <c r="B224" s="13" t="s">
        <v>659</v>
      </c>
      <c r="C224" s="46" t="s">
        <v>661</v>
      </c>
      <c r="D224" s="3" t="s">
        <v>660</v>
      </c>
      <c r="G224" s="63">
        <v>1</v>
      </c>
      <c r="H224" s="45"/>
      <c r="I224" s="63">
        <v>30</v>
      </c>
    </row>
    <row r="225" spans="1:12" ht="15" x14ac:dyDescent="0.15">
      <c r="A225" s="54" t="s">
        <v>667</v>
      </c>
      <c r="B225" s="13" t="s">
        <v>662</v>
      </c>
      <c r="C225" s="46" t="s">
        <v>29</v>
      </c>
      <c r="D225" s="3" t="s">
        <v>672</v>
      </c>
      <c r="G225">
        <v>1.1000000000000001</v>
      </c>
      <c r="I225" s="6">
        <v>60</v>
      </c>
    </row>
    <row r="226" spans="1:12" ht="15" x14ac:dyDescent="0.15">
      <c r="A226" s="54" t="s">
        <v>668</v>
      </c>
      <c r="B226" s="13" t="s">
        <v>663</v>
      </c>
      <c r="C226" s="46" t="s">
        <v>29</v>
      </c>
      <c r="D226" s="3" t="s">
        <v>672</v>
      </c>
      <c r="G226">
        <v>1.1499999999999999</v>
      </c>
      <c r="I226" s="6">
        <v>60</v>
      </c>
    </row>
    <row r="227" spans="1:12" ht="15" x14ac:dyDescent="0.15">
      <c r="A227" s="54" t="s">
        <v>669</v>
      </c>
      <c r="B227" s="13" t="s">
        <v>664</v>
      </c>
      <c r="C227" s="46" t="s">
        <v>29</v>
      </c>
      <c r="D227" s="3" t="s">
        <v>672</v>
      </c>
      <c r="G227">
        <v>1.2</v>
      </c>
      <c r="I227" s="6">
        <v>60</v>
      </c>
    </row>
    <row r="228" spans="1:12" ht="15" x14ac:dyDescent="0.15">
      <c r="A228" s="54" t="s">
        <v>670</v>
      </c>
      <c r="B228" s="13" t="s">
        <v>665</v>
      </c>
      <c r="C228" s="46" t="s">
        <v>29</v>
      </c>
      <c r="D228" s="3" t="s">
        <v>672</v>
      </c>
      <c r="G228">
        <v>1.25</v>
      </c>
      <c r="I228" s="6">
        <v>60</v>
      </c>
    </row>
    <row r="229" spans="1:12" ht="15" x14ac:dyDescent="0.15">
      <c r="A229" s="54" t="s">
        <v>671</v>
      </c>
      <c r="B229" s="13" t="s">
        <v>666</v>
      </c>
      <c r="C229" s="46" t="s">
        <v>29</v>
      </c>
      <c r="D229" s="3" t="s">
        <v>672</v>
      </c>
      <c r="G229">
        <v>1.5</v>
      </c>
      <c r="I229" s="6">
        <v>60</v>
      </c>
    </row>
    <row r="230" spans="1:12" ht="15" x14ac:dyDescent="0.15">
      <c r="A230" s="61" t="s">
        <v>675</v>
      </c>
      <c r="B230" s="13" t="s">
        <v>673</v>
      </c>
      <c r="C230" s="46" t="s">
        <v>29</v>
      </c>
      <c r="D230" s="3" t="s">
        <v>674</v>
      </c>
      <c r="G230">
        <v>0.9</v>
      </c>
      <c r="I230" s="6">
        <v>10</v>
      </c>
    </row>
    <row r="231" spans="1:12" ht="15" x14ac:dyDescent="0.15">
      <c r="A231" s="12" t="s">
        <v>677</v>
      </c>
      <c r="B231" s="13" t="s">
        <v>676</v>
      </c>
      <c r="C231" s="12" t="s">
        <v>29</v>
      </c>
      <c r="D231" s="36" t="s">
        <v>357</v>
      </c>
      <c r="E231" s="9"/>
      <c r="F231" s="9"/>
      <c r="G231" s="9">
        <v>0.8</v>
      </c>
      <c r="H231" s="9"/>
      <c r="I231" s="9">
        <v>35</v>
      </c>
      <c r="J231" s="9"/>
      <c r="K231" s="9"/>
      <c r="L231" s="9"/>
    </row>
  </sheetData>
  <phoneticPr fontId="10" type="noConversion"/>
  <conditionalFormatting sqref="D4:D7">
    <cfRule type="duplicateValues" dxfId="5" priority="6"/>
  </conditionalFormatting>
  <conditionalFormatting sqref="D14:D27">
    <cfRule type="duplicateValues" dxfId="4" priority="5"/>
  </conditionalFormatting>
  <conditionalFormatting sqref="D39:D62">
    <cfRule type="duplicateValues" dxfId="3" priority="4"/>
  </conditionalFormatting>
  <conditionalFormatting sqref="D63:D92">
    <cfRule type="duplicateValues" dxfId="2" priority="3"/>
  </conditionalFormatting>
  <conditionalFormatting sqref="D28">
    <cfRule type="duplicateValues" dxfId="1" priority="2"/>
  </conditionalFormatting>
  <conditionalFormatting sqref="D23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31"/>
  <sheetViews>
    <sheetView zoomScaleNormal="100" workbookViewId="0">
      <pane xSplit="1" topLeftCell="B1" activePane="topRight" state="frozen"/>
      <selection pane="topRight" activeCell="N93" sqref="N93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349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353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352</v>
      </c>
      <c r="D3" s="5" t="s">
        <v>351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358</v>
      </c>
      <c r="J3" s="1" t="s">
        <v>202</v>
      </c>
      <c r="K3" s="23" t="s">
        <v>203</v>
      </c>
      <c r="L3" s="23" t="s">
        <v>354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560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'"&amp;A4&amp;"*12',1,nil,11 },
{'zxzw2', '"&amp;A4&amp;"*14',1,nil,12 },
{'zxzw3', '"&amp;A4&amp;"*16',1,nil,13 },
{'zxzw4', '"&amp;A4&amp;"*5',1,nil,10 },
{'zxzw5', '"&amp;A4&amp;"*5',1,nil,10 },
{'zxzw6', '"&amp;A4&amp;"*5',1,nil,10 }
}"</f>
        <v>{{'zxzw1', '血魔*12',1,nil,11 },
{'zxzw2', '血魔*14',1,nil,12 },
{'zxzw3', '血魔*16',1,nil,13 },
{'zxzw4', '血魔*5',1,nil,10 },
{'zxzw5', '血魔*5',1,nil,10 },
{'zxzw6', '血魔*5',1,nil,10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350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350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563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'"&amp;A8&amp;"*1',10,270,15,13,'烧火棍*1' }"</f>
        <v>{'sylh1', '三眼灵猴*1',10,270,15,13,'烧火棍*1'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'"&amp;A9&amp;"*1',10,270,16,13,'赤炎甲*1' }"</f>
        <v>{'yanhuang1', '焰皇*1',10,270,16,13,'赤炎甲*1'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'"&amp;A10&amp;"*1',10,270,17,13,'谜一样的箱子*1' }"</f>
        <v>{'miyiyang1', '灵魂*1',10,270,17,13,'谜一样的箱子*1'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'"&amp;A11&amp;"*1',10,270,18,13,'谜一样的天书*1' }"</f>
        <v>{'tianshu1', '熊猫人*1',10,270,18,13,'谜一样的天书*1'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'"&amp;A12&amp;"*1',10,270,19,13,'圣龙精魄碎片一*1' }"</f>
        <v>{'jingpo1', '九幽地冥蟒*1',10,270,19,13,'圣龙精魄碎片一*1'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'"&amp;A13&amp;"*1',10,270,20,13,'圣龙精魄碎片二*1' }"</f>
        <v>{'jingpo2', '九幽雀*1',10,270,20,13,'圣龙精魄碎片二*1'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1.2</v>
      </c>
      <c r="V14" s="27">
        <f t="shared" si="2"/>
        <v>625</v>
      </c>
      <c r="W14" s="29">
        <v>0</v>
      </c>
      <c r="X14" s="27">
        <v>200</v>
      </c>
      <c r="Y14" s="27">
        <v>0</v>
      </c>
      <c r="Z14" s="27">
        <v>0</v>
      </c>
      <c r="AA14" s="27">
        <v>5</v>
      </c>
      <c r="AB14" s="27">
        <v>50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343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5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10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25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'"&amp;A59&amp;"*1',10,270,1000,13,'三眼赤痕*1' }"</f>
        <v>{'sylz1', '三眼老祖*1',10,270,1000,13,'三眼赤痕*1'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'"&amp;A60&amp;"*1',10,270,1100,13,'火龙气息*1' }"</f>
        <v>{'bhhl1', '八荒火龙*1',10,270,1100,13,'火龙气息*1'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'"&amp;A61&amp;"*1',10,270,1200,13,'地魂融血丹*1' }"</f>
        <v>{'yijie1', '一姐*1',10,270,1200,13,'地魂融血丹*1'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'"&amp;A62&amp;"*1',10,270,1300,13,'天魂融血丹*1' }"</f>
        <v>{'yandi1', '炎帝*1',10,270,1300,13,'天魂融血丹*1'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210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220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230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240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250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260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270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280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290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300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310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320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330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340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350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360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370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380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390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400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410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420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430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440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450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250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326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300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327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350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324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400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328</v>
      </c>
      <c r="B92" s="13" t="s">
        <v>333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450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329</v>
      </c>
      <c r="B93" s="13" t="s">
        <v>334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'"&amp;A93&amp;"*1',10,270,11,13,'一号熔炼石*1' }"</f>
        <v>{'ronglian11', '熔炼石boss1*1',10,270,11,13,'一号熔炼石*1'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330</v>
      </c>
      <c r="B94" s="13" t="s">
        <v>335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'"&amp;A94&amp;"*1',10,270,12,13,'二号熔炼石*1' }"</f>
        <v>{'ronglian22', '熔炼石boss2*1',10,270,12,13,'二号熔炼石*1'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331</v>
      </c>
      <c r="B95" s="13" t="s">
        <v>338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'"&amp;A95&amp;"*1',10,270,13,13,'三号熔炼石*1' }"</f>
        <v>{'ronglian33', '熔炼石boss3*1',10,270,13,13,'三号熔炼石*1'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332</v>
      </c>
      <c r="B96" s="13" t="s">
        <v>344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'"&amp;A96&amp;"*1',10,270,14,13,'四号熔炼石*1' }"</f>
        <v>{'ronglian44', '熔炼石boss4*1',10,270,14,13,'四号熔炼石*1'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348</v>
      </c>
      <c r="B97" s="13" t="s">
        <v>346</v>
      </c>
      <c r="C97" s="47" t="s">
        <v>222</v>
      </c>
      <c r="D97" s="11" t="s">
        <v>350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359</v>
      </c>
      <c r="B98" s="13" t="s">
        <v>361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'"&amp;A98&amp;"*14',1,270,15 },
{'cbg3', '"&amp;A98&amp;"*10',1,270,16 }
}"</f>
        <v>{{'cbg2', '藏宝阁小弟*14',1,270,15 },
{'cbg3', '藏宝阁小弟*10',1,270,16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360</v>
      </c>
      <c r="B99" s="13" t="s">
        <v>362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'"&amp;A99&amp;"*1',8,270,17,13 }"</f>
        <v>{'cbg4', '藏宝阁阁主*1',8,270,17,13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365</v>
      </c>
      <c r="B100" s="13" t="s">
        <v>367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</v>
      </c>
      <c r="M100" s="21" t="s">
        <v>221</v>
      </c>
      <c r="N100" s="25" t="str">
        <f>"{{'cjg2', '"&amp;A100&amp;"*7',1,270,18 },
{'cjg3', '"&amp;A100&amp;"*7',1,270,19 },
{'cjg4', '"&amp;A100&amp;"*7',1,270,20 },
{'cjg5', '"&amp;A100&amp;"*7',1,270,21 }
}"</f>
        <v>{{'cjg2', '藏经阁小弟*7',1,270,18 },
{'cjg3', '藏经阁小弟*7',1,270,19 },
{'cjg4', '藏经阁小弟*7',1,270,20 },
{'cjg5', '藏经阁小弟*7',1,270,21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366</v>
      </c>
      <c r="B101" s="13" t="s">
        <v>368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</v>
      </c>
      <c r="M101" s="21" t="s">
        <v>221</v>
      </c>
      <c r="N101" s="28" t="str">
        <f>"{'cjg6', '"&amp;A101&amp;"*1',8,270,22,13 }"</f>
        <v>{'cjg6', '藏经阁少阁主*1',8,270,22,13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369</v>
      </c>
      <c r="B102" s="13" t="s">
        <v>370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'"&amp;A102&amp;"*12',1,270,23 },
{'jianzhong3', '"&amp;A102&amp;"*12',1,270,24 }
}"</f>
        <v>{{'jianzhong2', '剑冢小弟*12',1,270,23 },
{'jianzhong3', '剑冢小弟*12',1,270,24 }
}</v>
      </c>
      <c r="O102" s="11"/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394</v>
      </c>
      <c r="B103" s="13" t="s">
        <v>371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'"&amp;A103&amp;"*1',8,270,25,13 }"</f>
        <v>{'jianzhong4', '剑魔*1',8,270,25,13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376</v>
      </c>
      <c r="B104" s="13" t="s">
        <v>378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0.02</v>
      </c>
      <c r="M104" s="21" t="s">
        <v>221</v>
      </c>
      <c r="N104" s="25" t="str">
        <f>"{{'bhg2', '"&amp;A104&amp;"*6',1,270,26 },
{'bhg3', '"&amp;A104&amp;"*7',1,270,27 },
{'bhg4', '"&amp;A104&amp;"*6',1,270,28 },
{'bhg5', '"&amp;A104&amp;"*7',1,270,29 },
{'bhg6', '"&amp;A104&amp;"*6',1,270,30 }
}"</f>
        <v>{{'bhg2', '百花宫宫女*6',1,270,26 },
{'bhg3', '百花宫宫女*7',1,270,27 },
{'bhg4', '百花宫宫女*6',1,270,28 },
{'bhg5', '百花宫宫女*7',1,270,29 },
{'bhg6', '百花宫宫女*6',1,270,30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377</v>
      </c>
      <c r="B105" s="13" t="s">
        <v>379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0.02</v>
      </c>
      <c r="M105" s="21" t="s">
        <v>221</v>
      </c>
      <c r="N105" s="28" t="str">
        <f>"{'bhg7', '"&amp;A105&amp;"*1',8,20,31,13 }"</f>
        <v>{'bhg7', '苏若颜*1',8,20,31,13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381</v>
      </c>
      <c r="B106" s="13" t="s">
        <v>383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'"&amp;A106&amp;"*8',1,nil,32 },
{'longgong3', '"&amp;A106&amp;"*8',1,270,33 },
{'longgong4', '"&amp;A106&amp;"*8',1,270,34 },
{'longgong5', '"&amp;A106&amp;"*8',1,270,35 },
{'longgong6', '"&amp;A106&amp;"*8',1,270,36 },
{'longgong7', '"&amp;A106&amp;"*8',1,270,37 }
}"</f>
        <v>{{'longgong2', '龙宫守卫*8',1,nil,32 },
{'longgong3', '龙宫守卫*8',1,270,33 },
{'longgong4', '龙宫守卫*8',1,270,34 },
{'longgong5', '龙宫守卫*8',1,270,35 },
{'longgong6', '龙宫守卫*8',1,270,36 },
{'longgong7', '龙宫守卫*8',1,270,37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382</v>
      </c>
      <c r="B107" s="13" t="s">
        <v>384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'"&amp;A107&amp;"*1',8,270,38,13 }"</f>
        <v>{'longgong8', '哪吒*1',8,270,38,13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387</v>
      </c>
      <c r="B108" s="13" t="s">
        <v>389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'"&amp;A108&amp;"*7',1,nil,39 },
{'zeds3', '"&amp;A108&amp;"*7',1,nil,40 },
{'zeds4', '"&amp;A108&amp;"*7',1,nil,41 },
{'zeds5', '"&amp;A108&amp;"*7',1,nil,42 },
{'zeds6', '"&amp;A108&amp;"*7',1,nil,43 }
}"</f>
        <v>{{'zeds2', '城堡守卫*7',1,nil,39 },
{'zeds3', '城堡守卫*7',1,nil,40 },
{'zeds4', '城堡守卫*7',1,nil,41 },
{'zeds5', '城堡守卫*7',1,nil,42 },
{'zeds6', '城堡守卫*7',1,nil,43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388</v>
      </c>
      <c r="B109" s="13" t="s">
        <v>390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'"&amp;A109&amp;"*1',8,270,44,13 }"</f>
        <v>{'zeds7', '牛头马面*1',8,270,44,13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395</v>
      </c>
      <c r="B110" s="13" t="s">
        <v>405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396</v>
      </c>
      <c r="B111" s="13" t="s">
        <v>406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397</v>
      </c>
      <c r="B112" s="13" t="s">
        <v>407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398</v>
      </c>
      <c r="B113" s="13" t="s">
        <v>408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399</v>
      </c>
      <c r="B114" s="13" t="s">
        <v>409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400</v>
      </c>
      <c r="B115" s="13" t="s">
        <v>410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401</v>
      </c>
      <c r="B116" s="13" t="s">
        <v>411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402</v>
      </c>
      <c r="B117" s="13" t="s">
        <v>412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403</v>
      </c>
      <c r="B118" s="13" t="s">
        <v>413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404</v>
      </c>
      <c r="B119" s="13" t="s">
        <v>414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446</v>
      </c>
      <c r="B120" s="13" t="s">
        <v>427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'"&amp;A120&amp;"*1',10,270,45,13 }"</f>
        <v>{'shoulei12', '二郎侍卫1*1',10,270,45,13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447</v>
      </c>
      <c r="B121" s="13" t="s">
        <v>428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'"&amp;A121&amp;"*1',10,270,46,13 }"</f>
        <v>{'shoulei13', '二郎侍卫2*1',10,270,46,13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448</v>
      </c>
      <c r="B122" s="13" t="s">
        <v>429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'"&amp;A122&amp;"*1',10,270,47,13 }"</f>
        <v>{'shoulei14', '二郎侍卫3*1',10,270,47,13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449</v>
      </c>
      <c r="B123" s="13" t="s">
        <v>430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'"&amp;A123&amp;"*1',10,270,48,13 }"</f>
        <v>{'shoulei15', '二郎侍卫4*1',10,270,48,13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421</v>
      </c>
      <c r="B124" s="13" t="s">
        <v>431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451</v>
      </c>
      <c r="B125" s="13" t="s">
        <v>432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'"&amp;A125&amp;"*1',10,270,49,13 }"</f>
        <v>{'shoulei22', '七郎侍卫1*1',10,270,49,13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452</v>
      </c>
      <c r="B126" s="13" t="s">
        <v>433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'"&amp;A126&amp;"*1',10,270,50,13 }"</f>
        <v>{'shoulei23', '七郎侍卫2*1',10,270,50,13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453</v>
      </c>
      <c r="B127" s="13" t="s">
        <v>434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'"&amp;A127&amp;"*1',10,270,51,13 }"</f>
        <v>{'shoulei24', '七郎侍卫3*1',10,270,51,13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454</v>
      </c>
      <c r="B128" s="13" t="s">
        <v>435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'"&amp;A128&amp;"*1',10,270,52,13 }"</f>
        <v>{'shoulei25', '七郎侍卫4*1',10,270,52,13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450</v>
      </c>
      <c r="B129" s="13" t="s">
        <v>436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455</v>
      </c>
      <c r="B130" s="13" t="s">
        <v>494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'"&amp;A130&amp;"*1',10,270,53,13 }"</f>
        <v>{'shoulei32', '判官侍卫1*1',10,270,53,13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456</v>
      </c>
      <c r="B131" s="13" t="s">
        <v>495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'"&amp;A131&amp;"*1',10,270,54,13 }"</f>
        <v>{'shoulei33', '判官侍卫2*1',10,270,54,13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457</v>
      </c>
      <c r="B132" s="13" t="s">
        <v>496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'"&amp;A132&amp;"*1',10,270,55,13 }"</f>
        <v>{'shoulei34', '判官侍卫3*1',10,270,55,13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458</v>
      </c>
      <c r="B133" s="13" t="s">
        <v>497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'"&amp;A133&amp;"*1',10,270,56,13 }"</f>
        <v>{'shoulei35', '判官侍卫4*1',10,270,56,13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422</v>
      </c>
      <c r="B134" s="13" t="s">
        <v>498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460</v>
      </c>
      <c r="B135" s="13" t="s">
        <v>499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'"&amp;A135&amp;"*1',10,270,57,13 }"</f>
        <v>{'shoulei42', '马面侍卫1*1',10,270,57,13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461</v>
      </c>
      <c r="B136" s="13" t="s">
        <v>500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'"&amp;A136&amp;"*1',10,270,58,13 }"</f>
        <v>{'shoulei43', '马面侍卫2*1',10,270,58,13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462</v>
      </c>
      <c r="B137" s="13" t="s">
        <v>501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'"&amp;A137&amp;"*1',10,270,59,13 }"</f>
        <v>{'shoulei44', '马面侍卫3*1',10,270,59,13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463</v>
      </c>
      <c r="B138" s="13" t="s">
        <v>502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'"&amp;A138&amp;"*1',10,270,60,13 }"</f>
        <v>{'shoulei45', '马面侍卫4*1',10,270,60,13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459</v>
      </c>
      <c r="B139" s="13" t="s">
        <v>503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465</v>
      </c>
      <c r="B140" s="13" t="s">
        <v>504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'"&amp;A140&amp;"*1',10,270,61,13 }"</f>
        <v>{'shoulei52', '牛头侍卫1*1',10,270,61,13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466</v>
      </c>
      <c r="B141" s="13" t="s">
        <v>505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'"&amp;A141&amp;"*1',10,270,62,13 }"</f>
        <v>{'shoulei53', '牛头侍卫2*1',10,270,62,13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467</v>
      </c>
      <c r="B142" s="13" t="s">
        <v>506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'"&amp;A142&amp;"*1',10,270,63,13 }"</f>
        <v>{'shoulei54', '牛头侍卫3*1',10,270,63,13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468</v>
      </c>
      <c r="B143" s="13" t="s">
        <v>507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'"&amp;A143&amp;"*1',10,270,64,13 }"</f>
        <v>{'shoulei55', '牛头侍卫4*1',10,270,64,13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464</v>
      </c>
      <c r="B144" s="13" t="s">
        <v>508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470</v>
      </c>
      <c r="B145" s="13" t="s">
        <v>509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'"&amp;A145&amp;"*1',10,270,65,13 }"</f>
        <v>{'shoulei62', '夜叉侍卫1*1',10,270,65,13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471</v>
      </c>
      <c r="B146" s="13" t="s">
        <v>510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'"&amp;A146&amp;"*1',10,270,66,13 }"</f>
        <v>{'shoulei63', '夜叉侍卫2*1',10,270,66,13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472</v>
      </c>
      <c r="B147" s="13" t="s">
        <v>511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'"&amp;A147&amp;"*1',10,270,67,13 }"</f>
        <v>{'shoulei64', '夜叉侍卫3*1',10,270,67,13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473</v>
      </c>
      <c r="B148" s="13" t="s">
        <v>512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'"&amp;A148&amp;"*1',10,270,68,13 }"</f>
        <v>{'shoulei65', '夜叉侍卫4*1',10,270,68,13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469</v>
      </c>
      <c r="B149" s="13" t="s">
        <v>513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475</v>
      </c>
      <c r="B150" s="13" t="s">
        <v>514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'"&amp;A150&amp;"*1',10,270,69,13 }"</f>
        <v>{'shoulei72', '辟邪侍卫1*1',10,270,69,13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210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476</v>
      </c>
      <c r="B151" s="13" t="s">
        <v>515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'"&amp;A151&amp;"*1',10,270,70,13 }"</f>
        <v>{'shoulei73', '辟邪侍卫2*1',10,270,70,13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220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477</v>
      </c>
      <c r="B152" s="13" t="s">
        <v>516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'"&amp;A152&amp;"*1',10,270,71,13 }"</f>
        <v>{'shoulei74', '辟邪侍卫3*1',10,270,71,13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230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478</v>
      </c>
      <c r="B153" s="13" t="s">
        <v>517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'"&amp;A153&amp;"*1',10,270,72,13 }"</f>
        <v>{'shoulei75', '辟邪侍卫4*1',10,270,72,13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240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474</v>
      </c>
      <c r="B154" s="13" t="s">
        <v>518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250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480</v>
      </c>
      <c r="B155" s="13" t="s">
        <v>519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'"&amp;A155&amp;"*1',10,270,73,13 }"</f>
        <v>{'shoulei82', '狐仙侍卫1*1',10,270,73,13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260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481</v>
      </c>
      <c r="B156" s="13" t="s">
        <v>520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'"&amp;A156&amp;"*1',10,270,74,13 }"</f>
        <v>{'shoulei83', '狐仙侍卫2*1',10,270,74,13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270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482</v>
      </c>
      <c r="B157" s="13" t="s">
        <v>521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'"&amp;A157&amp;"*1',10,270,75,13 }"</f>
        <v>{'shoulei84', '狐仙侍卫3*1',10,270,75,13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280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483</v>
      </c>
      <c r="B158" s="13" t="s">
        <v>522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'"&amp;A158&amp;"*1',10,270,76,13 }"</f>
        <v>{'shoulei85', '狐仙侍卫4*1',10,270,76,13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290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479</v>
      </c>
      <c r="B159" s="13" t="s">
        <v>523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300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485</v>
      </c>
      <c r="B160" s="13" t="s">
        <v>524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'"&amp;A160&amp;"*1',10,270,77,13 }"</f>
        <v>{'shoulei92', '龙女侍卫1*1',10,270,77,13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310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486</v>
      </c>
      <c r="B161" s="13" t="s">
        <v>525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'"&amp;A161&amp;"*1',10,270,78,13 }"</f>
        <v>{'shoulei93', '龙女侍卫2*1',10,270,78,13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320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487</v>
      </c>
      <c r="B162" s="13" t="s">
        <v>526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'"&amp;A162&amp;"*1',10,270,79,13 }"</f>
        <v>{'shoulei94', '龙女侍卫3*1',10,270,79,13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330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488</v>
      </c>
      <c r="B163" s="13" t="s">
        <v>527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'"&amp;A163&amp;"*1',10,270,80,13 }"</f>
        <v>{'shoulei95', '龙女侍卫4*1',10,270,80,13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340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484</v>
      </c>
      <c r="B164" s="13" t="s">
        <v>528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350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490</v>
      </c>
      <c r="B165" s="13" t="s">
        <v>529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'"&amp;A165&amp;"*1',10,270,81,13 }"</f>
        <v>{'shoulei102', '刑天侍卫1*1',10,270,81,13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360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491</v>
      </c>
      <c r="B166" s="13" t="s">
        <v>530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'"&amp;A166&amp;"*1',10,270,82,13 }"</f>
        <v>{'shoulei103', '刑天侍卫2*1',10,270,82,13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370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492</v>
      </c>
      <c r="B167" s="13" t="s">
        <v>531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'"&amp;A167&amp;"*1',10,270,83,13 }"</f>
        <v>{'shoulei104', '刑天侍卫3*1',10,270,83,13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380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493</v>
      </c>
      <c r="B168" s="13" t="s">
        <v>532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'"&amp;A168&amp;"*1',10,270,84,13 }"</f>
        <v>{'shoulei105', '刑天侍卫4*1',10,270,84,13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390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489</v>
      </c>
      <c r="B169" s="13" t="s">
        <v>533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400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534</v>
      </c>
      <c r="B170" s="13" t="s">
        <v>544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410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535</v>
      </c>
      <c r="B171" s="13" t="s">
        <v>545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420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536</v>
      </c>
      <c r="B172" s="13" t="s">
        <v>546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430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537</v>
      </c>
      <c r="B173" s="13" t="s">
        <v>547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440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538</v>
      </c>
      <c r="B174" s="13" t="s">
        <v>548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450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539</v>
      </c>
      <c r="B175" s="13" t="s">
        <v>549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250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540</v>
      </c>
      <c r="B176" s="13" t="s">
        <v>550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300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541</v>
      </c>
      <c r="B177" s="13" t="s">
        <v>551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350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542</v>
      </c>
      <c r="B178" s="13" t="s">
        <v>552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400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543</v>
      </c>
      <c r="B179" s="13" t="s">
        <v>553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450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564</v>
      </c>
      <c r="B180" s="13" t="s">
        <v>562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565</v>
      </c>
      <c r="B181" s="13" t="s">
        <v>566</v>
      </c>
      <c r="C181" s="47" t="s">
        <v>222</v>
      </c>
      <c r="D181" s="11" t="s">
        <v>350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569</v>
      </c>
      <c r="B182" s="13" t="s">
        <v>589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570</v>
      </c>
      <c r="B183" s="13" t="s">
        <v>590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571</v>
      </c>
      <c r="B184" s="13" t="s">
        <v>591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572</v>
      </c>
      <c r="B185" s="13" t="s">
        <v>592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573</v>
      </c>
      <c r="B186" s="13" t="s">
        <v>593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574</v>
      </c>
      <c r="B187" s="13" t="s">
        <v>594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575</v>
      </c>
      <c r="B188" s="13" t="s">
        <v>595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576</v>
      </c>
      <c r="B189" s="13" t="s">
        <v>596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577</v>
      </c>
      <c r="B190" s="13" t="s">
        <v>597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578</v>
      </c>
      <c r="B191" s="13" t="s">
        <v>598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579</v>
      </c>
      <c r="B192" s="13" t="s">
        <v>599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580</v>
      </c>
      <c r="B193" s="13" t="s">
        <v>600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581</v>
      </c>
      <c r="B194" s="13" t="s">
        <v>601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582</v>
      </c>
      <c r="B195" s="13" t="s">
        <v>602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583</v>
      </c>
      <c r="B196" s="13" t="s">
        <v>603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584</v>
      </c>
      <c r="B197" s="13" t="s">
        <v>604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585</v>
      </c>
      <c r="B198" s="13" t="s">
        <v>605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586</v>
      </c>
      <c r="B199" s="13" t="s">
        <v>606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587</v>
      </c>
      <c r="B200" s="13" t="s">
        <v>607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588</v>
      </c>
      <c r="B201" s="13" t="s">
        <v>608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610</v>
      </c>
      <c r="B202" s="13" t="s">
        <v>630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611</v>
      </c>
      <c r="B203" s="13" t="s">
        <v>631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612</v>
      </c>
      <c r="B204" s="13" t="s">
        <v>632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613</v>
      </c>
      <c r="B205" s="13" t="s">
        <v>633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614</v>
      </c>
      <c r="B206" s="13" t="s">
        <v>634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615</v>
      </c>
      <c r="B207" s="13" t="s">
        <v>635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616</v>
      </c>
      <c r="B208" s="13" t="s">
        <v>636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617</v>
      </c>
      <c r="B209" s="13" t="s">
        <v>637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618</v>
      </c>
      <c r="B210" s="13" t="s">
        <v>638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619</v>
      </c>
      <c r="B211" s="13" t="s">
        <v>639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620</v>
      </c>
      <c r="B212" s="13" t="s">
        <v>640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621</v>
      </c>
      <c r="B213" s="13" t="s">
        <v>641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622</v>
      </c>
      <c r="B214" s="13" t="s">
        <v>642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623</v>
      </c>
      <c r="B215" s="13" t="s">
        <v>643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624</v>
      </c>
      <c r="B216" s="13" t="s">
        <v>644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625</v>
      </c>
      <c r="B217" s="13" t="s">
        <v>645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626</v>
      </c>
      <c r="B218" s="13" t="s">
        <v>646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627</v>
      </c>
      <c r="B219" s="13" t="s">
        <v>647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628</v>
      </c>
      <c r="B220" s="13" t="s">
        <v>648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629</v>
      </c>
      <c r="B221" s="13" t="s">
        <v>649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654</v>
      </c>
      <c r="B222" s="13" t="s">
        <v>653</v>
      </c>
      <c r="C222" s="47" t="s">
        <v>222</v>
      </c>
      <c r="D222" s="11" t="s">
        <v>350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652</v>
      </c>
      <c r="B223" s="13" t="s">
        <v>656</v>
      </c>
      <c r="C223" s="47" t="s">
        <v>222</v>
      </c>
      <c r="D223" s="48" t="s">
        <v>657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658</v>
      </c>
      <c r="B224" s="13" t="s">
        <v>659</v>
      </c>
      <c r="C224" s="47" t="s">
        <v>222</v>
      </c>
      <c r="D224" s="48" t="s">
        <v>657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667</v>
      </c>
      <c r="B225" s="13" t="s">
        <v>662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'"&amp;A225&amp;"*1',10,270,85,13 }"</f>
        <v>{'ronglian102', '熔炼石侍卫1*1',10,270,85,13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668</v>
      </c>
      <c r="B226" s="13" t="s">
        <v>663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'"&amp;A226&amp;"*1',10,270,86,13 }"</f>
        <v>{'ronglian103', '熔炼石侍卫2*1',10,270,86,13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669</v>
      </c>
      <c r="B227" s="13" t="s">
        <v>664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'"&amp;A227&amp;"*1',10,270,87,13 }"</f>
        <v>{'ronglian104', '熔炼石侍卫3*1',10,270,87,13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670</v>
      </c>
      <c r="B228" s="13" t="s">
        <v>665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'"&amp;A228&amp;"*1',10,270,88,13 }"</f>
        <v>{'ronglian105', '熔炼石侍卫4*1',10,270,88,13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671</v>
      </c>
      <c r="B229" s="13" t="s">
        <v>666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  <row r="230" spans="1:30" ht="15" x14ac:dyDescent="0.15">
      <c r="A230" s="61" t="s">
        <v>675</v>
      </c>
      <c r="B230" s="13" t="s">
        <v>673</v>
      </c>
      <c r="C230" s="47" t="s">
        <v>222</v>
      </c>
      <c r="D230" s="48" t="s">
        <v>657</v>
      </c>
      <c r="E230" s="45"/>
      <c r="F230" s="45"/>
      <c r="G230" s="47">
        <v>10</v>
      </c>
      <c r="H230" s="47"/>
      <c r="I230" s="47"/>
      <c r="J230" s="47">
        <v>10</v>
      </c>
      <c r="K230" s="47">
        <v>1E-3</v>
      </c>
      <c r="L230" s="19"/>
      <c r="M230" s="64"/>
      <c r="N230" s="16"/>
      <c r="O230" s="16"/>
      <c r="P230" s="50">
        <v>1</v>
      </c>
      <c r="Q230" s="50">
        <v>1</v>
      </c>
      <c r="R230" s="50">
        <v>150</v>
      </c>
      <c r="S230" s="50">
        <v>1</v>
      </c>
      <c r="T230" s="50">
        <v>450</v>
      </c>
      <c r="U230" s="50">
        <v>0.75</v>
      </c>
      <c r="V230" s="50">
        <v>10</v>
      </c>
      <c r="W230" s="50">
        <v>0</v>
      </c>
      <c r="X230" s="50">
        <v>400</v>
      </c>
      <c r="Y230" s="50">
        <v>50</v>
      </c>
      <c r="Z230" s="50">
        <v>0</v>
      </c>
      <c r="AA230" s="50">
        <v>0</v>
      </c>
      <c r="AB230" s="50">
        <v>0</v>
      </c>
      <c r="AC230" s="50">
        <v>0</v>
      </c>
      <c r="AD230" s="41">
        <v>0</v>
      </c>
    </row>
    <row r="231" spans="1:30" ht="14.25" customHeight="1" x14ac:dyDescent="0.15">
      <c r="A231" s="12" t="s">
        <v>677</v>
      </c>
      <c r="B231" s="13" t="s">
        <v>676</v>
      </c>
      <c r="C231" s="7" t="s">
        <v>222</v>
      </c>
      <c r="D231" s="7"/>
      <c r="E231" s="1"/>
      <c r="F231" s="1"/>
      <c r="G231" s="15"/>
      <c r="H231" s="14"/>
      <c r="I231" s="14"/>
      <c r="J231" s="14">
        <v>500</v>
      </c>
      <c r="K231" s="24">
        <v>5.8999999999999997E-2</v>
      </c>
      <c r="L231" s="24"/>
      <c r="M231" s="21" t="s">
        <v>221</v>
      </c>
      <c r="N231" s="1"/>
      <c r="O231" s="26"/>
      <c r="P231" s="27">
        <f t="shared" ref="P231" si="222">P230*3</f>
        <v>3</v>
      </c>
      <c r="Q231" s="27">
        <v>16888</v>
      </c>
      <c r="R231" s="27">
        <v>8888888888</v>
      </c>
      <c r="S231" s="27">
        <v>100</v>
      </c>
      <c r="T231" s="27">
        <v>0</v>
      </c>
      <c r="U231" s="18">
        <v>0.9</v>
      </c>
      <c r="V231" s="27">
        <v>0</v>
      </c>
      <c r="W231" s="29">
        <v>0</v>
      </c>
      <c r="X231" s="27">
        <v>200</v>
      </c>
      <c r="Y231" s="27">
        <v>200</v>
      </c>
      <c r="Z231" s="27">
        <v>0</v>
      </c>
      <c r="AA231" s="27">
        <v>20</v>
      </c>
      <c r="AB231" s="27">
        <v>2000</v>
      </c>
      <c r="AC231" s="27">
        <v>0</v>
      </c>
      <c r="AD231" s="27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2020-05-20T03:00:28Z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