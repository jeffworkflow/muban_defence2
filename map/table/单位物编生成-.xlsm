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09F25198-03E1-410E-BFAF-35EB9FC6265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96" i="29" l="1"/>
  <c r="R96" i="29"/>
  <c r="P96" i="29"/>
  <c r="P95" i="29"/>
  <c r="P225" i="29"/>
  <c r="Q225" i="29"/>
  <c r="R225" i="29"/>
  <c r="V225" i="29" s="1"/>
  <c r="R226" i="29"/>
  <c r="R227" i="29"/>
  <c r="R228" i="29"/>
  <c r="R229" i="29"/>
  <c r="Q226" i="29"/>
  <c r="Q227" i="29"/>
  <c r="Q228" i="29"/>
  <c r="Q229" i="29"/>
  <c r="P226" i="29"/>
  <c r="P227" i="29"/>
  <c r="P228" i="29"/>
  <c r="P229" i="29"/>
  <c r="N228" i="29"/>
  <c r="N227" i="29"/>
  <c r="N226" i="29"/>
  <c r="N225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Q110" i="29"/>
  <c r="R110" i="29"/>
  <c r="Q99" i="29"/>
  <c r="R99" i="29"/>
  <c r="P99" i="29"/>
  <c r="P101" i="29" s="1"/>
  <c r="R12" i="29"/>
  <c r="Q12" i="29"/>
  <c r="P12" i="29"/>
  <c r="V229" i="29" l="1"/>
  <c r="V228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4" i="29"/>
  <c r="N9" i="29"/>
  <c r="N8" i="29"/>
  <c r="N10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N106" i="29"/>
  <c r="N104" i="29"/>
  <c r="N102" i="29"/>
  <c r="N100" i="29"/>
  <c r="N98" i="29"/>
  <c r="N108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<sst xmlns="http://schemas.openxmlformats.org/spreadsheetml/2006/main" count="1907" uniqueCount="683">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</sst>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9"/>
  <sheetViews>
    <sheetView tabSelected="1" workbookViewId="0">
      <pane xSplit="1" ySplit="3" topLeftCell="B208" activePane="bottomRight" state="frozen"/>
      <selection pane="topRight"/>
      <selection pane="bottomLeft"/>
      <selection pane="bottomRight" activeCell="G225" sqref="G225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  <row r="222" spans="1:9" ht="15" x14ac:dyDescent="0.15">
      <c r="A222" s="28" t="s">
        <v>664</v>
      </c>
      <c r="B222" s="13" t="s">
        <v>663</v>
      </c>
      <c r="C222" s="12" t="s">
        <v>29</v>
      </c>
      <c r="D222" s="62" t="s">
        <v>665</v>
      </c>
      <c r="G222">
        <v>4</v>
      </c>
      <c r="I222" s="6">
        <v>10</v>
      </c>
    </row>
    <row r="223" spans="1:9" s="45" customFormat="1" ht="15" x14ac:dyDescent="0.15">
      <c r="A223" s="61" t="s">
        <v>662</v>
      </c>
      <c r="B223" s="13" t="s">
        <v>666</v>
      </c>
      <c r="C223" s="46" t="s">
        <v>29</v>
      </c>
      <c r="D223" s="62" t="s">
        <v>665</v>
      </c>
      <c r="G223" s="63">
        <v>1.8</v>
      </c>
      <c r="I223" s="63">
        <v>10</v>
      </c>
    </row>
    <row r="224" spans="1:9" ht="15" x14ac:dyDescent="0.15">
      <c r="A224" s="28" t="s">
        <v>668</v>
      </c>
      <c r="B224" s="13" t="s">
        <v>669</v>
      </c>
      <c r="C224" s="46" t="s">
        <v>671</v>
      </c>
      <c r="D224" s="3" t="s">
        <v>670</v>
      </c>
      <c r="G224" s="63">
        <v>1</v>
      </c>
      <c r="H224" s="45"/>
      <c r="I224" s="63">
        <v>30</v>
      </c>
    </row>
    <row r="225" spans="1:9" ht="15" x14ac:dyDescent="0.15">
      <c r="A225" s="54" t="s">
        <v>677</v>
      </c>
      <c r="B225" s="13" t="s">
        <v>672</v>
      </c>
      <c r="C225" s="46" t="s">
        <v>29</v>
      </c>
      <c r="D225" s="3" t="s">
        <v>682</v>
      </c>
      <c r="G225">
        <v>1.1000000000000001</v>
      </c>
      <c r="I225" s="6">
        <v>60</v>
      </c>
    </row>
    <row r="226" spans="1:9" ht="15" x14ac:dyDescent="0.15">
      <c r="A226" s="54" t="s">
        <v>678</v>
      </c>
      <c r="B226" s="13" t="s">
        <v>673</v>
      </c>
      <c r="C226" s="46" t="s">
        <v>29</v>
      </c>
      <c r="D226" s="3" t="s">
        <v>682</v>
      </c>
      <c r="G226">
        <v>1.1499999999999999</v>
      </c>
      <c r="I226" s="6">
        <v>60</v>
      </c>
    </row>
    <row r="227" spans="1:9" ht="15" x14ac:dyDescent="0.15">
      <c r="A227" s="54" t="s">
        <v>679</v>
      </c>
      <c r="B227" s="13" t="s">
        <v>674</v>
      </c>
      <c r="C227" s="46" t="s">
        <v>29</v>
      </c>
      <c r="D227" s="3" t="s">
        <v>682</v>
      </c>
      <c r="G227">
        <v>1.2</v>
      </c>
      <c r="I227" s="6">
        <v>60</v>
      </c>
    </row>
    <row r="228" spans="1:9" ht="15" x14ac:dyDescent="0.15">
      <c r="A228" s="54" t="s">
        <v>680</v>
      </c>
      <c r="B228" s="13" t="s">
        <v>675</v>
      </c>
      <c r="C228" s="46" t="s">
        <v>29</v>
      </c>
      <c r="D228" s="3" t="s">
        <v>682</v>
      </c>
      <c r="G228">
        <v>1.25</v>
      </c>
      <c r="I228" s="6">
        <v>60</v>
      </c>
    </row>
    <row r="229" spans="1:9" ht="15" x14ac:dyDescent="0.15">
      <c r="A229" s="54" t="s">
        <v>681</v>
      </c>
      <c r="B229" s="13" t="s">
        <v>676</v>
      </c>
      <c r="C229" s="46" t="s">
        <v>29</v>
      </c>
      <c r="D229" s="3" t="s">
        <v>682</v>
      </c>
      <c r="G229">
        <v>1.5</v>
      </c>
      <c r="I229" s="6">
        <v>60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9"/>
  <sheetViews>
    <sheetView topLeftCell="A210" zoomScaleNormal="100" workbookViewId="0">
      <pane xSplit="1" topLeftCell="B1" activePane="topRight" state="frozen"/>
      <selection pane="topRight" activeCell="B233" sqref="B233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'"&amp;A8&amp;"*1',8,270,10,13,'烧火棍*1' }"</f>
        <v>{'sylh1', '三眼灵猴*1',8,270,10,13,'烧火棍*1'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'"&amp;A9&amp;"*1',8,270,10,13,'赤炎甲*1' }"</f>
        <v>{'yanhuang1', '焰皇*1',8,270,10,13,'赤炎甲*1'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'"&amp;A10&amp;"*1',8,270,10,13,'谜一样的箱子*1' }"</f>
        <v>{'miyiyang1', '灵魂*1',8,270,10,13,'谜一样的箱子*1'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'"&amp;A11&amp;"*1',8,270,10,13,'谜一样的天书*1' }"</f>
        <v>{'tianshu1', '熊猫人*1',8,270,10,13,'谜一样的天书*1'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'"&amp;A12&amp;"*1',8,270,10,13,'圣龙精魄碎片一*1' }"</f>
        <v>{'jingpo1', '九幽地冥蟒*1',8,270,10,13,'圣龙精魄碎片一*1'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'"&amp;A13&amp;"*1',8,270,10,13,'圣龙精魄碎片二*1' }"</f>
        <v>{'jingpo2', '九幽雀*1',8,270,10,13,'圣龙精魄碎片二*1'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'"&amp;A59&amp;"*1',8,270,10,13,'三眼赤痕*1' }"</f>
        <v>{'sylz1', '三眼老祖*1',8,270,10,13,'三眼赤痕*1'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'"&amp;A60&amp;"*1',8,270,10,13,'火龙气息*1' }"</f>
        <v>{'bhhl1', '八荒火龙*1',8,270,10,13,'火龙气息*1'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'"&amp;A61&amp;"*1',8,270,10,13,'地魂融血丹*1' }"</f>
        <v>{'yijie1', '一姐*1',8,270,10,13,'地魂融血丹*1'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'"&amp;A62&amp;"*1',8,270,10,13,'天魂融血丹*1' }"</f>
        <v>{'yandi1', '炎帝*1',8,270,10,13,'天魂融血丹*1'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'"&amp;A93&amp;"*1',8,270,10,13,'一号熔炼石*1' }"</f>
        <v>{'ronglian11', '熔炼石boss1*1',8,270,10,13,'一号熔炼石*1'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'"&amp;A94&amp;"*1',8,270,10,13,'二号熔炼石*1' }"</f>
        <v>{'ronglian22', '熔炼石boss2*1',8,270,10,13,'二号熔炼石*1'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'"&amp;A95&amp;"*1',8,270,10,13,'三号熔炼石*1' }"</f>
        <v>{'ronglian33', '熔炼石boss3*1',8,270,10,13,'三号熔炼石*1'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'"&amp;A96&amp;"*1',8,270,10,13,'四号熔炼石*1' }"</f>
        <v>{'ronglian44', '熔炼石boss4*1',8,270,10,13,'四号熔炼石*1'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5.8999999999999997E-2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5.8999999999999997E-2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5.8999999999999997E-2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5.8999999999999997E-2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5.8999999999999997E-2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5.8999999999999997E-2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5.8999999999999997E-2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5.8999999999999997E-2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5.8999999999999997E-2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5.8999999999999997E-2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5.8999999999999997E-2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'"&amp;A120&amp;"*1',8,270,10,13 }"</f>
        <v>{'shoulei12', '二郎侍卫1*1',8,270,10,13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'"&amp;A121&amp;"*1',8,270,10,13 }"</f>
        <v>{'shoulei13', '二郎侍卫2*1',8,270,10,13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'"&amp;A122&amp;"*1',8,270,10,13 }"</f>
        <v>{'shoulei14', '二郎侍卫3*1',8,270,10,13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'"&amp;A123&amp;"*1',8,270,10,13 }"</f>
        <v>{'shoulei15', '二郎侍卫4*1',8,270,10,13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'"&amp;A125&amp;"*1',8,270,10,13 }"</f>
        <v>{'shoulei22', '七郎侍卫1*1',8,270,10,13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'"&amp;A126&amp;"*1',8,270,10,13 }"</f>
        <v>{'shoulei23', '七郎侍卫2*1',8,270,10,13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'"&amp;A127&amp;"*1',8,270,10,13 }"</f>
        <v>{'shoulei24', '七郎侍卫3*1',8,270,10,13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'"&amp;A128&amp;"*1',8,270,10,13 }"</f>
        <v>{'shoulei25', '七郎侍卫4*1',8,270,10,13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'"&amp;A130&amp;"*1',8,270,10,13 }"</f>
        <v>{'shoulei32', '判官侍卫1*1',8,270,10,13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'"&amp;A131&amp;"*1',8,270,10,13 }"</f>
        <v>{'shoulei33', '判官侍卫2*1',8,270,10,13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'"&amp;A132&amp;"*1',8,270,10,13 }"</f>
        <v>{'shoulei34', '判官侍卫3*1',8,270,10,13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'"&amp;A133&amp;"*1',8,270,10,13 }"</f>
        <v>{'shoulei35', '判官侍卫4*1',8,270,10,13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'"&amp;A135&amp;"*1',8,270,10,13 }"</f>
        <v>{'shoulei42', '马面侍卫1*1',8,270,10,13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'"&amp;A136&amp;"*1',8,270,10,13 }"</f>
        <v>{'shoulei43', '马面侍卫2*1',8,270,10,13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'"&amp;A137&amp;"*1',8,270,10,13 }"</f>
        <v>{'shoulei44', '马面侍卫3*1',8,270,10,13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'"&amp;A138&amp;"*1',8,270,10,13 }"</f>
        <v>{'shoulei45', '马面侍卫4*1',8,270,10,13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'"&amp;A140&amp;"*1',8,270,10,13 }"</f>
        <v>{'shoulei52', '牛头侍卫1*1',8,270,10,13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'"&amp;A141&amp;"*1',8,270,10,13 }"</f>
        <v>{'shoulei53', '牛头侍卫2*1',8,270,10,13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'"&amp;A142&amp;"*1',8,270,10,13 }"</f>
        <v>{'shoulei54', '牛头侍卫3*1',8,270,10,13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'"&amp;A143&amp;"*1',8,270,10,13 }"</f>
        <v>{'shoulei55', '牛头侍卫4*1',8,270,10,13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'"&amp;A145&amp;"*1',8,270,10,13 }"</f>
        <v>{'shoulei62', '夜叉侍卫1*1',8,270,10,13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'"&amp;A146&amp;"*1',8,270,10,13 }"</f>
        <v>{'shoulei63', '夜叉侍卫2*1',8,270,10,13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'"&amp;A147&amp;"*1',8,270,10,13 }"</f>
        <v>{'shoulei64', '夜叉侍卫3*1',8,270,10,13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'"&amp;A148&amp;"*1',8,270,10,13 }"</f>
        <v>{'shoulei65', '夜叉侍卫4*1',8,270,10,13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'"&amp;A150&amp;"*1',8,270,10,13 }"</f>
        <v>{'shoulei72', '辟邪侍卫1*1',8,270,10,13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200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'"&amp;A151&amp;"*1',8,270,10,13 }"</f>
        <v>{'shoulei73', '辟邪侍卫2*1',8,270,10,13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200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'"&amp;A152&amp;"*1',8,270,10,13 }"</f>
        <v>{'shoulei74', '辟邪侍卫3*1',8,270,10,13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200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'"&amp;A153&amp;"*1',8,270,10,13 }"</f>
        <v>{'shoulei75', '辟邪侍卫4*1',8,270,10,13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200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200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'"&amp;A155&amp;"*1',8,270,10,13 }"</f>
        <v>{'shoulei82', '狐仙侍卫1*1',8,270,10,13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200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'"&amp;A156&amp;"*1',8,270,10,13 }"</f>
        <v>{'shoulei83', '狐仙侍卫2*1',8,270,10,13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200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'"&amp;A157&amp;"*1',8,270,10,13 }"</f>
        <v>{'shoulei84', '狐仙侍卫3*1',8,270,10,13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200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'"&amp;A158&amp;"*1',8,270,10,13 }"</f>
        <v>{'shoulei85', '狐仙侍卫4*1',8,270,10,13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200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200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'"&amp;A160&amp;"*1',8,270,10,13 }"</f>
        <v>{'shoulei92', '龙女侍卫1*1',8,270,10,13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200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'"&amp;A161&amp;"*1',8,270,10,13 }"</f>
        <v>{'shoulei93', '龙女侍卫2*1',8,270,10,13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200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'"&amp;A162&amp;"*1',8,270,10,13 }"</f>
        <v>{'shoulei94', '龙女侍卫3*1',8,270,10,13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200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'"&amp;A163&amp;"*1',8,270,10,13 }"</f>
        <v>{'shoulei95', '龙女侍卫4*1',8,270,10,13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200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200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'"&amp;A165&amp;"*1',8,270,10,13 }"</f>
        <v>{'shoulei102', '刑天侍卫1*1',8,270,10,13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200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'"&amp;A166&amp;"*1',8,270,10,13 }"</f>
        <v>{'shoulei103', '刑天侍卫2*1',8,270,10,13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200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'"&amp;A167&amp;"*1',8,270,10,13 }"</f>
        <v>{'shoulei104', '刑天侍卫3*1',8,270,10,13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200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'"&amp;A168&amp;"*1',8,270,10,13 }"</f>
        <v>{'shoulei105', '刑天侍卫4*1',8,270,10,13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200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200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200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200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200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200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200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200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200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200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200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200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664</v>
      </c>
      <c r="B222" s="13" t="s">
        <v>663</v>
      </c>
      <c r="C222" s="47" t="s">
        <v>222</v>
      </c>
      <c r="D222" s="11" t="s">
        <v>351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662</v>
      </c>
      <c r="B223" s="13" t="s">
        <v>666</v>
      </c>
      <c r="C223" s="47" t="s">
        <v>222</v>
      </c>
      <c r="D223" s="48" t="s">
        <v>667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668</v>
      </c>
      <c r="B224" s="13" t="s">
        <v>669</v>
      </c>
      <c r="C224" s="47" t="s">
        <v>222</v>
      </c>
      <c r="D224" s="48" t="s">
        <v>667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677</v>
      </c>
      <c r="B225" s="13" t="s">
        <v>672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'"&amp;A225&amp;"*1',8,270,10,13 }"</f>
        <v>{'ronglian102', '熔炼石侍卫1*1',8,270,10,13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678</v>
      </c>
      <c r="B226" s="13" t="s">
        <v>673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'"&amp;A226&amp;"*1',8,270,10,13 }"</f>
        <v>{'ronglian103', '熔炼石侍卫2*1',8,270,10,13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679</v>
      </c>
      <c r="B227" s="13" t="s">
        <v>674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'"&amp;A227&amp;"*1',8,270,10,13 }"</f>
        <v>{'ronglian104', '熔炼石侍卫3*1',8,270,10,13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680</v>
      </c>
      <c r="B228" s="13" t="s">
        <v>675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'"&amp;A228&amp;"*1',8,270,10,13 }"</f>
        <v>{'ronglian105', '熔炼石侍卫4*1',8,270,10,13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681</v>
      </c>
      <c r="B229" s="13" t="s">
        <v>676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2020-04-16T11:00:21Z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