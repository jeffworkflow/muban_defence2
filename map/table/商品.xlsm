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F152845A-7E8D-4F65-8C24-A17590B44985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Sheet3!$A$1:$A$246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7" l="1"/>
  <c r="B5" i="27"/>
  <c r="B4" i="27"/>
</calcChain>
</file>

<file path=xl/sharedStrings.xml><?xml version="1.0" encoding="utf-8"?>
<sst xmlns="http://schemas.openxmlformats.org/spreadsheetml/2006/main" count="64" uniqueCount="51">
  <si>
    <t>string</t>
  </si>
  <si>
    <t>名字</t>
  </si>
  <si>
    <t>art</t>
  </si>
  <si>
    <t>not_title</t>
    <phoneticPr fontId="4" type="noConversion"/>
  </si>
  <si>
    <t>练功房</t>
    <phoneticPr fontId="4" type="noConversion"/>
  </si>
  <si>
    <t>神符</t>
    <phoneticPr fontId="4" type="noConversion"/>
  </si>
  <si>
    <t>经验怪</t>
    <phoneticPr fontId="4" type="noConversion"/>
  </si>
  <si>
    <t>魔鬼的交易</t>
    <phoneticPr fontId="4" type="noConversion"/>
  </si>
  <si>
    <r>
      <rPr>
        <sz val="11"/>
        <color rgb="FFCE9178"/>
        <rFont val="微软雅黑"/>
        <family val="2"/>
        <charset val="134"/>
      </rPr>
      <t>无所不在</t>
    </r>
    <r>
      <rPr>
        <sz val="11"/>
        <color rgb="FFCE9178"/>
        <rFont val="Consolas"/>
        <family val="2"/>
      </rPr>
      <t>Lv1</t>
    </r>
    <phoneticPr fontId="4" type="noConversion"/>
  </si>
  <si>
    <t>木头</t>
    <phoneticPr fontId="4" type="noConversion"/>
  </si>
  <si>
    <t>神兵</t>
    <phoneticPr fontId="4" type="noConversion"/>
  </si>
  <si>
    <r>
      <rPr>
        <sz val="11"/>
        <color rgb="FFCE9178"/>
        <rFont val="微软雅黑"/>
        <family val="2"/>
        <charset val="134"/>
      </rPr>
      <t>挑战武器</t>
    </r>
    <r>
      <rPr>
        <sz val="11"/>
        <color rgb="FFCE9178"/>
        <rFont val="Consolas"/>
        <family val="2"/>
      </rPr>
      <t>boss1</t>
    </r>
    <phoneticPr fontId="4" type="noConversion"/>
  </si>
  <si>
    <t>杀敌数兑换</t>
    <phoneticPr fontId="4" type="noConversion"/>
  </si>
  <si>
    <t>杀敌数加成</t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</si>
  <si>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</si>
  <si>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</si>
  <si>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</si>
  <si>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</si>
  <si>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</si>
  <si>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</si>
  <si>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</si>
  <si>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</si>
  <si>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</si>
  <si>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</si>
  <si>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</si>
  <si>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</si>
  <si>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</si>
  <si>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</si>
  <si>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</si>
  <si>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</si>
  <si>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</si>
  <si>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</si>
  <si>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</si>
  <si>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</si>
  <si>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</si>
  <si>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</si>
  <si>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</si>
  <si>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</si>
  <si>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</si>
  <si>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</si>
  <si>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</si>
  <si>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</si>
  <si>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</si>
  <si>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r>
      <rPr>
        <sz val="11"/>
        <color rgb="FFCE9178"/>
        <rFont val="微软雅黑"/>
        <family val="2"/>
        <charset val="134"/>
      </rPr>
      <t>挑战武器</t>
    </r>
    <r>
      <rPr>
        <sz val="11"/>
        <color rgb="FFCE9178"/>
        <rFont val="Consolas"/>
        <family val="2"/>
      </rPr>
      <t>boss2</t>
    </r>
    <phoneticPr fontId="4" type="noConversion"/>
  </si>
  <si>
    <t xml:space="preserve"> '护甲' = 25</t>
    <phoneticPr fontId="4" type="noConversion"/>
  </si>
  <si>
    <t>杀敌数</t>
    <phoneticPr fontId="4" type="noConversion"/>
  </si>
  <si>
    <t>|n|n消耗 |cffff0000%real_kill_cnt% 杀敌数|r 兑换一次 |cff00ff00+4%杀敌数加成|r|n|n</t>
    <phoneticPr fontId="4" type="noConversion"/>
  </si>
  <si>
    <t>重数（魔鬼的交易）</t>
    <phoneticPr fontId="4" type="noConversion"/>
  </si>
  <si>
    <t>num</t>
    <phoneticPr fontId="4" type="noConversion"/>
  </si>
  <si>
    <t>无所不在Lv1</t>
    <phoneticPr fontId="4" type="noConversion"/>
  </si>
  <si>
    <t>无所不在Lv2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</si>
</sst>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6A9955"/>
      <name val="Consolas"/>
      <family val="2"/>
      <charset val="134"/>
    </font>
    <font>
      <sz val="11"/>
      <color rgb="FFCE9178"/>
      <name val="Consolas"/>
      <family val="2"/>
      <charset val="134"/>
    </font>
    <font>
      <sz val="11"/>
      <color rgb="FFCE9178"/>
      <name val="微软雅黑"/>
      <family val="2"/>
      <charset val="134"/>
    </font>
    <font>
      <sz val="11"/>
      <color rgb="FFCE9178"/>
      <name val="Consolas"/>
      <family val="2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2" fillId="0" borderId="0" xfId="1" applyAlignment="1">
      <alignment vertical="center"/>
    </xf>
    <xf numFmtId="0" fontId="5" fillId="0" borderId="0" xfId="1" applyFont="1" applyAlignment="1">
      <alignment vertical="center"/>
    </xf>
    <xf numFmtId="0" fontId="2" fillId="0" borderId="0" xfId="1" applyAlignment="1">
      <alignment horizontal="center" vertical="center"/>
    </xf>
    <xf numFmtId="0" fontId="6" fillId="0" borderId="0" xfId="1" applyFont="1" applyAlignment="1">
      <alignment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9" fillId="0" borderId="0" xfId="1" applyFont="1" applyAlignment="1">
      <alignment vertical="center"/>
    </xf>
    <xf numFmtId="0" fontId="2" fillId="0" borderId="0" xfId="1" applyAlignment="1">
      <alignment horizontal="left" vertical="center"/>
    </xf>
  </cellXfs>
  <cellStyles count="2">
    <cellStyle name="常规" xfId="0" builtinId="0"/>
    <cellStyle name="常规 2" xfId="1" xr:uid="{F2F4241B-1052-4077-A7C3-CC615E1ED5A3}"/>
  </cellStyles>
  <dxfs count="11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3</xdr:row>
          <xdr:rowOff>657225</xdr:rowOff>
        </xdr:from>
        <xdr:to>
          <xdr:col>8</xdr:col>
          <xdr:colOff>361950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73"/>
  <sheetViews>
    <sheetView tabSelected="1" topLeftCell="B1" workbookViewId="0">
      <selection activeCell="J39" sqref="J39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1.875" style="1" customWidth="1"/>
    <col min="6" max="6" width="10.75" style="1" customWidth="1"/>
    <col min="7" max="7" width="11.625" style="1" customWidth="1"/>
    <col min="8" max="9" width="14.375" style="1" customWidth="1"/>
    <col min="10" max="10" width="49.125" style="1" customWidth="1"/>
    <col min="11" max="11" width="15.75" style="1" customWidth="1"/>
    <col min="12" max="14" width="9" style="1"/>
    <col min="15" max="15" width="4.75" style="1" customWidth="1"/>
    <col min="16" max="16384" width="9" style="1"/>
  </cols>
  <sheetData>
    <row r="1" spans="1:16" x14ac:dyDescent="0.15">
      <c r="A1" s="3"/>
      <c r="B1" s="5" t="s">
        <v>0</v>
      </c>
      <c r="C1" s="5" t="s">
        <v>0</v>
      </c>
      <c r="D1" s="5" t="s">
        <v>42</v>
      </c>
      <c r="E1" s="5" t="s">
        <v>0</v>
      </c>
      <c r="F1" s="5" t="s">
        <v>0</v>
      </c>
      <c r="G1" s="5" t="s">
        <v>41</v>
      </c>
      <c r="H1" s="5"/>
      <c r="I1" s="5"/>
      <c r="J1" s="5" t="s">
        <v>40</v>
      </c>
      <c r="K1" s="5" t="s">
        <v>3</v>
      </c>
      <c r="L1" s="5" t="s">
        <v>0</v>
      </c>
    </row>
    <row r="2" spans="1:16" x14ac:dyDescent="0.15">
      <c r="A2" s="3" t="s">
        <v>1</v>
      </c>
      <c r="B2" s="3" t="s">
        <v>39</v>
      </c>
      <c r="C2" s="3" t="s">
        <v>38</v>
      </c>
      <c r="D2" s="3" t="s">
        <v>37</v>
      </c>
      <c r="E2" s="5" t="s">
        <v>36</v>
      </c>
      <c r="F2" s="5" t="s">
        <v>35</v>
      </c>
      <c r="G2" s="5" t="s">
        <v>34</v>
      </c>
      <c r="H2" s="5" t="s">
        <v>33</v>
      </c>
      <c r="I2" s="5" t="s">
        <v>32</v>
      </c>
      <c r="J2" s="3" t="s">
        <v>30</v>
      </c>
      <c r="K2" s="5" t="s">
        <v>31</v>
      </c>
      <c r="L2" s="1" t="s">
        <v>29</v>
      </c>
      <c r="M2" s="1" t="s">
        <v>28</v>
      </c>
      <c r="N2" s="1" t="s">
        <v>27</v>
      </c>
      <c r="O2" s="1" t="s">
        <v>47</v>
      </c>
    </row>
    <row r="3" spans="1:16" x14ac:dyDescent="0.15">
      <c r="A3" s="3" t="s">
        <v>26</v>
      </c>
      <c r="B3" s="5" t="s">
        <v>25</v>
      </c>
      <c r="C3" s="3" t="s">
        <v>24</v>
      </c>
      <c r="D3" s="3" t="s">
        <v>23</v>
      </c>
      <c r="E3" s="5" t="s">
        <v>2</v>
      </c>
      <c r="F3" s="5" t="s">
        <v>22</v>
      </c>
      <c r="G3" s="1" t="s">
        <v>21</v>
      </c>
      <c r="H3" s="5" t="s">
        <v>20</v>
      </c>
      <c r="I3" s="5" t="s">
        <v>19</v>
      </c>
      <c r="J3" s="3" t="s">
        <v>17</v>
      </c>
      <c r="K3" s="3" t="s">
        <v>18</v>
      </c>
      <c r="L3" s="1" t="s">
        <v>16</v>
      </c>
      <c r="M3" s="1" t="s">
        <v>15</v>
      </c>
      <c r="N3" s="1" t="s">
        <v>14</v>
      </c>
      <c r="O3" s="1" t="s">
        <v>48</v>
      </c>
    </row>
    <row r="4" spans="1:16" ht="19.5" customHeight="1" x14ac:dyDescent="0.15">
      <c r="A4" s="7" t="s">
        <v>13</v>
      </c>
      <c r="B4" s="3" t="str">
        <f>A4</f>
        <v>杀敌数加成</v>
      </c>
      <c r="C4" s="3" t="s">
        <v>5</v>
      </c>
      <c r="D4" s="3" t="s">
        <v>12</v>
      </c>
      <c r="F4" s="5" t="s">
        <v>45</v>
      </c>
      <c r="G4" s="3">
        <v>500</v>
      </c>
      <c r="H4" s="3"/>
      <c r="I4" s="3">
        <v>200</v>
      </c>
      <c r="J4" s="6" t="s">
        <v>46</v>
      </c>
      <c r="K4" s="6" t="s">
        <v>44</v>
      </c>
    </row>
    <row r="5" spans="1:16" ht="16.5" x14ac:dyDescent="0.15">
      <c r="A5" s="4" t="s">
        <v>11</v>
      </c>
      <c r="B5" s="3" t="str">
        <f>A5</f>
        <v>挑战武器boss1</v>
      </c>
      <c r="C5" s="3" t="s">
        <v>5</v>
      </c>
      <c r="D5" s="3" t="s">
        <v>10</v>
      </c>
      <c r="F5" s="5" t="s">
        <v>9</v>
      </c>
      <c r="G5" s="3">
        <v>1</v>
      </c>
      <c r="H5" s="3"/>
      <c r="I5" s="3"/>
      <c r="J5" s="8">
        <v>1</v>
      </c>
    </row>
    <row r="6" spans="1:16" ht="16.5" x14ac:dyDescent="0.15">
      <c r="A6" s="4" t="s">
        <v>43</v>
      </c>
      <c r="B6" s="3" t="str">
        <f>A6</f>
        <v>挑战武器boss2</v>
      </c>
      <c r="C6" s="3" t="s">
        <v>5</v>
      </c>
      <c r="D6" s="3" t="s">
        <v>10</v>
      </c>
      <c r="F6" s="5" t="s">
        <v>9</v>
      </c>
      <c r="G6" s="3">
        <v>2</v>
      </c>
      <c r="J6" s="8">
        <v>2</v>
      </c>
    </row>
    <row r="7" spans="1:16" ht="16.5" x14ac:dyDescent="0.15">
      <c r="A7" s="4" t="s">
        <v>8</v>
      </c>
      <c r="B7" s="3" t="s">
        <v>49</v>
      </c>
      <c r="C7" s="3" t="s">
        <v>5</v>
      </c>
      <c r="D7" s="3" t="s">
        <v>7</v>
      </c>
      <c r="O7" s="1">
        <v>1</v>
      </c>
    </row>
    <row r="8" spans="1:16" x14ac:dyDescent="0.15">
      <c r="A8" s="1" t="s">
        <v>6</v>
      </c>
      <c r="B8" s="3" t="s">
        <v>50</v>
      </c>
      <c r="C8" s="3" t="s">
        <v>5</v>
      </c>
      <c r="D8" s="3" t="s">
        <v>7</v>
      </c>
    </row>
    <row r="9" spans="1:16" ht="15" x14ac:dyDescent="0.15">
      <c r="L9" s="2"/>
    </row>
    <row r="11" spans="1:16" ht="15" x14ac:dyDescent="0.15">
      <c r="B11" s="3" t="s">
        <v>6</v>
      </c>
      <c r="C11" s="3" t="s">
        <v>5</v>
      </c>
      <c r="D11" s="3" t="s">
        <v>4</v>
      </c>
      <c r="P11" s="2"/>
    </row>
    <row r="73" ht="45" customHeight="1" x14ac:dyDescent="0.15"/>
  </sheetData>
  <phoneticPr fontId="4" type="noConversion"/>
  <conditionalFormatting sqref="F3:F5">
    <cfRule type="duplicateValues" dxfId="9" priority="8"/>
  </conditionalFormatting>
  <conditionalFormatting sqref="A1:A3 C2:D3">
    <cfRule type="duplicateValues" dxfId="8" priority="9"/>
  </conditionalFormatting>
  <conditionalFormatting sqref="E1:E3">
    <cfRule type="duplicateValues" dxfId="7" priority="10"/>
  </conditionalFormatting>
  <conditionalFormatting sqref="L1">
    <cfRule type="duplicateValues" dxfId="6" priority="7"/>
  </conditionalFormatting>
  <conditionalFormatting sqref="C1:D1">
    <cfRule type="duplicateValues" dxfId="5" priority="6"/>
  </conditionalFormatting>
  <conditionalFormatting sqref="B2">
    <cfRule type="duplicateValues" dxfId="4" priority="5"/>
  </conditionalFormatting>
  <conditionalFormatting sqref="B1">
    <cfRule type="duplicateValues" dxfId="3" priority="4"/>
  </conditionalFormatting>
  <conditionalFormatting sqref="B3">
    <cfRule type="duplicateValues" dxfId="2" priority="3"/>
  </conditionalFormatting>
  <conditionalFormatting sqref="F6">
    <cfRule type="duplicateValues" dxfId="1" priority="2"/>
  </conditionalFormatting>
  <conditionalFormatting sqref="F1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初始化">
                <anchor moveWithCells="1" sizeWithCells="1">
                  <from>
                    <xdr:col>7</xdr:col>
                    <xdr:colOff>466725</xdr:colOff>
                    <xdr:row>3</xdr:row>
                    <xdr:rowOff>657225</xdr:rowOff>
                  </from>
                  <to>
                    <xdr:col>8</xdr:col>
                    <xdr:colOff>361950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2019-11-05T13:54:01Z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