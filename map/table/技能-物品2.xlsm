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2\map\table\"/>
    </mc:Choice>
  </mc:AlternateContent>
  <xr:revisionPtr revIDLastSave="0" documentId="13_ncr:1_{2C3B06E7-2121-4F82-9D5E-135B0D1F85EB}" xr6:coauthVersionLast="45" xr6:coauthVersionMax="45" xr10:uidLastSave="{00000000-0000-0000-0000-000000000000}"/>
  <bookViews>
    <workbookView xWindow="-120" yWindow="-120" windowWidth="29040" windowHeight="15840" tabRatio="617" xr2:uid="{00000000-000D-0000-FFFF-FFFF00000000}"/>
  </bookViews>
  <sheets>
    <sheet name="Sheet3" sheetId="27" r:id="rId1"/>
    <sheet name="通用变量" sheetId="28" r:id="rId2"/>
    <sheet name="通用回调" sheetId="31" r:id="rId3"/>
    <sheet name="技能模板" sheetId="32" r:id="rId4"/>
  </sheets>
  <functionGroups builtInGroupCount="19"/>
  <externalReferences>
    <externalReference r:id="rId5"/>
  </externalReferences>
  <definedNames>
    <definedName name="_xlnm._FilterDatabase" localSheetId="0" hidden="1">Sheet3!#REF!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" i="32" l="1"/>
  <c r="D3" i="32"/>
  <c r="K18" i="27"/>
  <c r="K17" i="27"/>
  <c r="K16" i="27"/>
  <c r="K15" i="27"/>
  <c r="K14" i="27"/>
  <c r="K13" i="27"/>
  <c r="K12" i="27"/>
  <c r="K11" i="27"/>
  <c r="K10" i="27"/>
  <c r="K9" i="27"/>
  <c r="K8" i="27"/>
  <c r="K7" i="27"/>
  <c r="K6" i="27"/>
  <c r="K5" i="27"/>
  <c r="K4" i="27"/>
</calcChain>
</file>

<file path=xl/sharedStrings.xml><?xml version="1.0" encoding="utf-8"?>
<sst xmlns="http://schemas.openxmlformats.org/spreadsheetml/2006/main" count="238" uniqueCount="151">
  <si>
    <t>string</t>
  </si>
  <si>
    <t>not_title</t>
  </si>
  <si>
    <t>[[]]</t>
  </si>
  <si>
    <t>名字</t>
  </si>
  <si>
    <t>生成文件</t>
  </si>
  <si>
    <t>被动</t>
  </si>
  <si>
    <r>
      <rPr>
        <sz val="11"/>
        <rFont val="宋体"/>
        <family val="3"/>
        <charset val="134"/>
      </rPr>
      <t>耗蓝</t>
    </r>
  </si>
  <si>
    <r>
      <rPr>
        <sz val="11"/>
        <rFont val="宋体"/>
        <family val="3"/>
        <charset val="134"/>
      </rPr>
      <t>冷却时间</t>
    </r>
  </si>
  <si>
    <t>忽略技能冷却</t>
  </si>
  <si>
    <r>
      <rPr>
        <sz val="11"/>
        <rFont val="宋体"/>
        <family val="3"/>
        <charset val="134"/>
      </rPr>
      <t>伤害</t>
    </r>
  </si>
  <si>
    <r>
      <rPr>
        <sz val="11"/>
        <rFont val="宋体"/>
        <family val="3"/>
        <charset val="134"/>
      </rPr>
      <t>施法范围</t>
    </r>
  </si>
  <si>
    <t>属性加成</t>
  </si>
  <si>
    <r>
      <rPr>
        <sz val="11"/>
        <rFont val="宋体"/>
        <family val="3"/>
        <charset val="134"/>
      </rPr>
      <t>介绍</t>
    </r>
  </si>
  <si>
    <t>特效</t>
  </si>
  <si>
    <r>
      <rPr>
        <sz val="11"/>
        <rFont val="宋体"/>
        <family val="3"/>
        <charset val="134"/>
      </rPr>
      <t>特效1</t>
    </r>
  </si>
  <si>
    <t>特效2</t>
  </si>
  <si>
    <t>特效3</t>
  </si>
  <si>
    <t>ignore_file</t>
  </si>
  <si>
    <t>color</t>
  </si>
  <si>
    <t>passive</t>
  </si>
  <si>
    <t>cost</t>
  </si>
  <si>
    <t>cool</t>
  </si>
  <si>
    <t>ignore_cool_save</t>
  </si>
  <si>
    <t>area</t>
  </si>
  <si>
    <t>tip</t>
  </si>
  <si>
    <t>art</t>
  </si>
  <si>
    <t>effect</t>
  </si>
  <si>
    <t>effect1</t>
  </si>
  <si>
    <t>effect2</t>
  </si>
  <si>
    <t>effect3</t>
  </si>
  <si>
    <t>effect4</t>
  </si>
  <si>
    <t>true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</si>
  <si>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初始等级</t>
    </r>
  </si>
  <si>
    <t xml:space="preserve">    level = 1,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</si>
  <si>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最大等级</t>
    </r>
  </si>
  <si>
    <r>
      <rPr>
        <sz val="11"/>
        <rFont val="Consolas"/>
        <family val="3"/>
      </rPr>
      <t xml:space="preserve">    --</t>
    </r>
    <r>
      <rPr>
        <sz val="11"/>
        <rFont val="宋体"/>
        <family val="3"/>
        <charset val="134"/>
      </rPr>
      <t>触发几率</t>
    </r>
  </si>
  <si>
    <r>
      <rPr>
        <sz val="11"/>
        <rFont val="Consolas"/>
        <family val="3"/>
      </rPr>
      <t xml:space="preserve">   chance = function(self) return 10*(1+self.owner:get('</t>
    </r>
    <r>
      <rPr>
        <sz val="11"/>
        <rFont val="宋体"/>
        <family val="3"/>
        <charset val="134"/>
      </rPr>
      <t>触发概率加成</t>
    </r>
    <r>
      <rPr>
        <sz val="11"/>
        <rFont val="Consolas"/>
        <family val="3"/>
      </rPr>
      <t>')/100) end,</t>
    </r>
  </si>
  <si>
    <r>
      <rPr>
        <sz val="11"/>
        <rFont val="Consolas"/>
        <family val="3"/>
      </rPr>
      <t xml:space="preserve">    --</t>
    </r>
    <r>
      <rPr>
        <sz val="11"/>
        <rFont val="宋体"/>
        <family val="3"/>
        <charset val="134"/>
      </rPr>
      <t>伤害范围</t>
    </r>
  </si>
  <si>
    <t xml:space="preserve">   damage_area = 500,</t>
  </si>
  <si>
    <t xml:space="preserve">    local hero = self.owner</t>
  </si>
  <si>
    <t xml:space="preserve">    local p = hero:get_owner()</t>
  </si>
  <si>
    <t>end</t>
  </si>
  <si>
    <t>function mt:on_remove()</t>
  </si>
  <si>
    <t xml:space="preserve">    if self.trg then</t>
  </si>
  <si>
    <t xml:space="preserve">        self.trg:remove()</t>
  </si>
  <si>
    <t xml:space="preserve">        self.trg = nil</t>
  </si>
  <si>
    <t xml:space="preserve">    end</t>
  </si>
  <si>
    <t>number</t>
    <phoneticPr fontId="13" type="noConversion"/>
  </si>
  <si>
    <t>类型</t>
  </si>
  <si>
    <t>套装</t>
  </si>
  <si>
    <t>品质</t>
  </si>
  <si>
    <t>图标</t>
  </si>
  <si>
    <t>售价</t>
  </si>
  <si>
    <t>备注</t>
    <phoneticPr fontId="13" type="noConversion"/>
  </si>
  <si>
    <t>业务技能代码</t>
    <phoneticPr fontId="13" type="noConversion"/>
  </si>
  <si>
    <t>item_type</t>
  </si>
  <si>
    <t>suit_type</t>
  </si>
  <si>
    <t>gold</t>
  </si>
  <si>
    <t>damage</t>
    <phoneticPr fontId="13" type="noConversion"/>
  </si>
  <si>
    <t>锯齿短匕</t>
    <phoneticPr fontId="13" type="noConversion"/>
  </si>
  <si>
    <t>装备</t>
  </si>
  <si>
    <t>减甲</t>
    <phoneticPr fontId="13" type="noConversion"/>
  </si>
  <si>
    <t>白</t>
    <phoneticPr fontId="13" type="noConversion"/>
  </si>
  <si>
    <t>item\jineng101.blp</t>
    <phoneticPr fontId="13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</si>
  <si>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>攻击</t>
    </r>
    <r>
      <rPr>
        <b/>
        <sz val="10.5"/>
        <color rgb="FFFFFF00"/>
        <rFont val="宋体"/>
        <family val="3"/>
        <charset val="134"/>
        <scheme val="minor"/>
      </rPr>
      <t xml:space="preserve">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|cffffff00【唯一被动-锋锐】|r</t>
    </r>
    <r>
      <rPr>
        <b/>
        <sz val="10.5"/>
        <color theme="0"/>
        <rFont val="宋体"/>
        <family val="3"/>
        <charset val="134"/>
        <scheme val="minor"/>
      </rPr>
      <t>攻击 %v1% %几率减少敌人 %v2% %的护甲，持续%v3%S</t>
    </r>
    <phoneticPr fontId="13" type="noConversion"/>
  </si>
  <si>
    <t>Abilities\Spells\NightElf\FaerieFire\FaerieFireTarget.mdl</t>
    <phoneticPr fontId="13" type="noConversion"/>
  </si>
  <si>
    <t>模型放怪物头上
唯一被动-锋锐，不叠加
当怪物同时只会受到一个锋锐的效果</t>
    <phoneticPr fontId="13" type="noConversion"/>
  </si>
  <si>
    <t>穿透炮弹</t>
    <phoneticPr fontId="13" type="noConversion"/>
  </si>
  <si>
    <t>蓝</t>
    <phoneticPr fontId="13" type="noConversion"/>
  </si>
  <si>
    <t>item\jineng201.blp</t>
    <phoneticPr fontId="13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</si>
  <si>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>攻击
|cffffff00+%攻击速度% %|r 攻击速度</t>
    </r>
    <r>
      <rPr>
        <b/>
        <sz val="10.5"/>
        <color rgb="FFFFFF00"/>
        <rFont val="宋体"/>
        <family val="3"/>
        <charset val="134"/>
        <scheme val="minor"/>
      </rPr>
      <t xml:space="preserve">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|cffffff00【唯一被动-锋锐】|r</t>
    </r>
    <r>
      <rPr>
        <b/>
        <sz val="10.5"/>
        <color theme="0"/>
        <rFont val="宋体"/>
        <family val="3"/>
        <charset val="134"/>
        <scheme val="minor"/>
      </rPr>
      <t>攻击 %v1% %几率减少敌人 %v2% %的护甲，持续%v3%S</t>
    </r>
    <phoneticPr fontId="13" type="noConversion"/>
  </si>
  <si>
    <t>黄昏之刃</t>
    <phoneticPr fontId="13" type="noConversion"/>
  </si>
  <si>
    <t>金</t>
    <phoneticPr fontId="13" type="noConversion"/>
  </si>
  <si>
    <t>item\jineng301.blp</t>
    <phoneticPr fontId="13" type="noConversion"/>
  </si>
  <si>
    <t>玛莫提乌斯之噬</t>
    <phoneticPr fontId="13" type="noConversion"/>
  </si>
  <si>
    <t>红</t>
    <phoneticPr fontId="13" type="noConversion"/>
  </si>
  <si>
    <t>item\jineng401.blp</t>
    <phoneticPr fontId="13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</si>
  <si>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>攻击
|cffffff00+%攻击速度% %|r 攻击速度
|cffffff00+%技能冷却% %|r 技能冷却</t>
    </r>
    <r>
      <rPr>
        <b/>
        <sz val="10.5"/>
        <color rgb="FFFFFF00"/>
        <rFont val="宋体"/>
        <family val="3"/>
        <charset val="134"/>
        <scheme val="minor"/>
      </rPr>
      <t xml:space="preserve">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|cffffff00【唯一被动-锋锐】|r</t>
    </r>
    <r>
      <rPr>
        <b/>
        <sz val="10.5"/>
        <color theme="0"/>
        <rFont val="宋体"/>
        <family val="3"/>
        <charset val="134"/>
        <scheme val="minor"/>
      </rPr>
      <t>攻击 %v1% %几率减少敌人 %v2% %的护甲，持续%v3%S</t>
    </r>
    <phoneticPr fontId="13" type="noConversion"/>
  </si>
  <si>
    <t>王者之刃</t>
    <phoneticPr fontId="13" type="noConversion"/>
  </si>
  <si>
    <t>黑</t>
    <phoneticPr fontId="13" type="noConversion"/>
  </si>
  <si>
    <t>item\jineng501.blp</t>
    <phoneticPr fontId="13" type="noConversion"/>
  </si>
  <si>
    <t xml:space="preserve"> ['攻击'] = 200000000,
 ['攻击速度'] = 55,
['技能冷却'] = 10,
v1 = {6,20},
v2 = {6.5,15},
v3 = 0.5</t>
    <phoneticPr fontId="13" type="noConversion"/>
  </si>
  <si>
    <r>
      <rPr>
        <b/>
        <sz val="10.5"/>
        <color theme="0" tint="-0.34998626667073579"/>
        <rFont val="宋体"/>
        <family val="3"/>
        <charset val="134"/>
        <scheme val="minor"/>
      </rPr>
      <t>|cffcccccc在年华里沉睡的王者之刃,带着一腔热情与愤恨,将迎来它真正的主人,再度走向王城</t>
    </r>
    <r>
      <rPr>
        <b/>
        <sz val="10.5"/>
        <color rgb="FFFFFF00"/>
        <rFont val="宋体"/>
        <family val="3"/>
        <charset val="134"/>
        <scheme val="minor"/>
      </rPr>
      <t xml:space="preserve">
|cffffff00+%攻击%|r </t>
    </r>
    <r>
      <rPr>
        <b/>
        <sz val="10.5"/>
        <color theme="0"/>
        <rFont val="宋体"/>
        <family val="3"/>
        <charset val="134"/>
        <scheme val="minor"/>
      </rPr>
      <t>攻击
|cffffff00+%攻击速度% %|r 攻击速度
|cffffff00+%技能冷却% %|r 技能冷却</t>
    </r>
    <r>
      <rPr>
        <b/>
        <sz val="10.5"/>
        <color rgb="FFFFFF00"/>
        <rFont val="宋体"/>
        <family val="3"/>
        <charset val="134"/>
        <scheme val="minor"/>
      </rPr>
      <t xml:space="preserve">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|cffffff00【唯一被动-锋锐】|r</t>
    </r>
    <r>
      <rPr>
        <b/>
        <sz val="10.5"/>
        <color theme="0"/>
        <rFont val="宋体"/>
        <family val="3"/>
        <charset val="134"/>
        <scheme val="minor"/>
      </rPr>
      <t>攻击 %v1% %几率减少敌人 %v2% %的护甲，持续%v3%S</t>
    </r>
    <phoneticPr fontId="13" type="noConversion"/>
  </si>
  <si>
    <t>火焰宝珠</t>
    <phoneticPr fontId="13" type="noConversion"/>
  </si>
  <si>
    <t>ReplaceableTextures\CommandButtons\BTNOrbOfFire.blp</t>
    <phoneticPr fontId="13" type="noConversion"/>
  </si>
  <si>
    <t>function(self)
  return (10000)* self.level
end</t>
    <phoneticPr fontId="13" type="noConversion"/>
  </si>
  <si>
    <r>
      <t xml:space="preserve">|cffffff00+%力量%|r </t>
    </r>
    <r>
      <rPr>
        <b/>
        <sz val="10.5"/>
        <color theme="0"/>
        <rFont val="宋体"/>
        <family val="3"/>
        <charset val="134"/>
        <scheme val="minor"/>
      </rPr>
      <t>力量</t>
    </r>
    <r>
      <rPr>
        <b/>
        <sz val="10.5"/>
        <color rgb="FFFFFF00"/>
        <rFont val="宋体"/>
        <family val="3"/>
        <charset val="134"/>
        <scheme val="minor"/>
      </rPr>
      <t xml:space="preserve">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|cffffff00【唯一被动-献祭】|r</t>
    </r>
    <r>
      <rPr>
        <b/>
        <sz val="10.5"/>
        <color theme="0"/>
        <rFont val="宋体"/>
        <family val="3"/>
        <charset val="134"/>
        <scheme val="minor"/>
      </rPr>
      <t>每隔%v1%秒能对周围敌人造成%damage%点真实伤害</t>
    </r>
    <phoneticPr fontId="13" type="noConversion"/>
  </si>
  <si>
    <t>Abilities\Spells\NightElf\Immolation\ImmolationTarget.mdl</t>
    <phoneticPr fontId="13" type="noConversion"/>
  </si>
  <si>
    <t>宠物携带无效
模型放怪物身上
唯一被动-献祭，不叠加，真实伤害
当怪物同时只会受到一个献祭的效果</t>
    <phoneticPr fontId="13" type="noConversion"/>
  </si>
  <si>
    <t>火焰风衣</t>
  </si>
  <si>
    <t>ReplaceableTextures\CommandButtons\BTNCloakOfFlames.blp</t>
    <phoneticPr fontId="13" type="noConversion"/>
  </si>
  <si>
    <t>function(self)
  return (100000)* self.level
end</t>
    <phoneticPr fontId="13" type="noConversion"/>
  </si>
  <si>
    <r>
      <t xml:space="preserve">|cffffff00+%力量%|r </t>
    </r>
    <r>
      <rPr>
        <b/>
        <sz val="10.5"/>
        <color theme="0"/>
        <rFont val="宋体"/>
        <family val="3"/>
        <charset val="134"/>
        <scheme val="minor"/>
      </rPr>
      <t xml:space="preserve">力量
|cffffff00+%护甲%|r 护甲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|cffffff00【唯一被动-献祭】|r</t>
    </r>
    <r>
      <rPr>
        <b/>
        <sz val="10.5"/>
        <color theme="0"/>
        <rFont val="宋体"/>
        <family val="3"/>
        <charset val="134"/>
        <scheme val="minor"/>
      </rPr>
      <t>每隔%v1%秒能对周围敌人造成%damage%点真实伤害</t>
    </r>
    <phoneticPr fontId="13" type="noConversion"/>
  </si>
  <si>
    <t>赤炎披风</t>
    <phoneticPr fontId="13" type="noConversion"/>
  </si>
  <si>
    <t>item\jineng302.blp</t>
    <phoneticPr fontId="13" type="noConversion"/>
  </si>
  <si>
    <t>function(self)
  return (1000000)* self.level
end</t>
    <phoneticPr fontId="13" type="noConversion"/>
  </si>
  <si>
    <t xml:space="preserve"> ['力量'] = 9000000,
 ['护甲'] = 4500,
v1 = {1,0.5}</t>
    <phoneticPr fontId="13" type="noConversion"/>
  </si>
  <si>
    <t>邪焰披风</t>
    <phoneticPr fontId="13" type="noConversion"/>
  </si>
  <si>
    <t>item\jineng402.blp</t>
    <phoneticPr fontId="13" type="noConversion"/>
  </si>
  <si>
    <t>function(self)
  return (10000000)* self.level
end</t>
    <phoneticPr fontId="13" type="noConversion"/>
  </si>
  <si>
    <r>
      <t xml:space="preserve">|cffffff00+%力量%|r </t>
    </r>
    <r>
      <rPr>
        <b/>
        <sz val="10.5"/>
        <color theme="0"/>
        <rFont val="宋体"/>
        <family val="3"/>
        <charset val="134"/>
        <scheme val="minor"/>
      </rPr>
      <t xml:space="preserve">力量
|cffffff00+%护甲%|r 护甲
|cffffff00+%减伤% %|r 减伤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|cffffff00【唯一被动-献祭】|r</t>
    </r>
    <r>
      <rPr>
        <b/>
        <sz val="10.5"/>
        <color theme="0"/>
        <rFont val="宋体"/>
        <family val="3"/>
        <charset val="134"/>
        <scheme val="minor"/>
      </rPr>
      <t>每隔%v1%秒能对周围敌人造成%damage%点真实伤害</t>
    </r>
    <phoneticPr fontId="13" type="noConversion"/>
  </si>
  <si>
    <t>真·邪焰披风</t>
    <phoneticPr fontId="13" type="noConversion"/>
  </si>
  <si>
    <t>item\jineng502.blp</t>
    <phoneticPr fontId="13" type="noConversion"/>
  </si>
  <si>
    <t>function(self)
  return (50000000)* self.level
end</t>
    <phoneticPr fontId="13" type="noConversion"/>
  </si>
  <si>
    <t xml:space="preserve"> ['力量'] = 80000000,
 ['护甲'] = 32500,
['减伤'] = 5,
v1 = {1,0.5}</t>
    <phoneticPr fontId="13" type="noConversion"/>
  </si>
  <si>
    <r>
      <rPr>
        <b/>
        <sz val="10.5"/>
        <color theme="0" tint="-0.499984740745262"/>
        <rFont val="宋体"/>
        <family val="3"/>
        <charset val="134"/>
        <scheme val="minor"/>
      </rPr>
      <t>|cffcccccc一团幽蓝色的火焰正在跳动，在它周围，有一个黑色的魅影静静地把它拥抱</t>
    </r>
    <r>
      <rPr>
        <b/>
        <sz val="10.5"/>
        <color rgb="FFFFFF00"/>
        <rFont val="宋体"/>
        <family val="3"/>
        <charset val="134"/>
        <scheme val="minor"/>
      </rPr>
      <t xml:space="preserve">
|cffffff00+%力量%|r </t>
    </r>
    <r>
      <rPr>
        <b/>
        <sz val="10.5"/>
        <color theme="0"/>
        <rFont val="宋体"/>
        <family val="3"/>
        <charset val="134"/>
        <scheme val="minor"/>
      </rPr>
      <t xml:space="preserve">力量
|cffffff00+%护甲%|r 护甲
|cffffff00+%减伤% %|r 减伤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|cffffff00【唯一被动-献祭】|r</t>
    </r>
    <r>
      <rPr>
        <b/>
        <sz val="10.5"/>
        <color theme="0"/>
        <rFont val="宋体"/>
        <family val="3"/>
        <charset val="134"/>
        <scheme val="minor"/>
      </rPr>
      <t>每隔%v1%秒能对周围敌人造成%damage%点真实伤害</t>
    </r>
  </si>
  <si>
    <t>附魔匕首</t>
    <phoneticPr fontId="13" type="noConversion"/>
  </si>
  <si>
    <t>item\jineng103.blp</t>
    <phoneticPr fontId="13" type="noConversion"/>
  </si>
  <si>
    <t>function(self)
  return (self.owner:get('攻击')*5+10000)* self.level
end</t>
    <phoneticPr fontId="13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</si>
  <si>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 xml:space="preserve">攻击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|cffffff00【被动-附魔】|r</t>
    </r>
    <r>
      <rPr>
        <b/>
        <sz val="10.5"/>
        <color theme="0"/>
        <rFont val="宋体"/>
        <family val="3"/>
        <charset val="134"/>
        <scheme val="minor"/>
      </rPr>
      <t>攻击 %v1% %几率对敌人造成%v2% +%v3% *攻击力的范围技能伤害</t>
    </r>
    <phoneticPr fontId="13" type="noConversion"/>
  </si>
  <si>
    <t>AA_bwaxec.mdx</t>
    <phoneticPr fontId="13" type="noConversion"/>
  </si>
  <si>
    <t>在目标点释放模型，范围500</t>
    <phoneticPr fontId="13" type="noConversion"/>
  </si>
  <si>
    <t>附魔大刀</t>
    <phoneticPr fontId="13" type="noConversion"/>
  </si>
  <si>
    <t>item\jineng203.blp</t>
    <phoneticPr fontId="13" type="noConversion"/>
  </si>
  <si>
    <t>function(self)
  return (self.owner:get('攻击')*10+100000)* self.level
end</t>
    <phoneticPr fontId="13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</si>
  <si>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 xml:space="preserve">攻击
|cffffff00+%技能基础伤害%|r 技能基础伤害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|cffffff00【被动-附魔】|r</t>
    </r>
    <r>
      <rPr>
        <b/>
        <sz val="10.5"/>
        <color theme="0"/>
        <rFont val="宋体"/>
        <family val="3"/>
        <charset val="134"/>
        <scheme val="minor"/>
      </rPr>
      <t>攻击 %v1% %几率对敌人造成%v2% +%v3% *攻击力的范围技能伤害</t>
    </r>
    <phoneticPr fontId="13" type="noConversion"/>
  </si>
  <si>
    <t>灼热之刃</t>
    <phoneticPr fontId="13" type="noConversion"/>
  </si>
  <si>
    <t>ReplaceableTextures\CommandButtons\BTNArcaniteMelee.blp</t>
    <phoneticPr fontId="13" type="noConversion"/>
  </si>
  <si>
    <t>function(self)
  return (self.owner:get('攻击')*20+1000000)* self.level
end</t>
    <phoneticPr fontId="13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</si>
  <si>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 xml:space="preserve">攻击
|cffffff00+%技能基础伤害%|r 技能基础伤害
|cffffff00+%全伤加深%|r 全伤加深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|cffffff00【被动-附魔】|r</t>
    </r>
    <r>
      <rPr>
        <b/>
        <sz val="10.5"/>
        <color theme="0"/>
        <rFont val="宋体"/>
        <family val="3"/>
        <charset val="134"/>
        <scheme val="minor"/>
      </rPr>
      <t>攻击 %v1% %几率对敌人造成%v2% +%v3% *攻击力的范围技能伤害</t>
    </r>
    <phoneticPr fontId="13" type="noConversion"/>
  </si>
  <si>
    <t>在目标点释放模型，范围500</t>
  </si>
  <si>
    <t>毁灭之刃</t>
    <phoneticPr fontId="13" type="noConversion"/>
  </si>
  <si>
    <t>item\jineng403.blp</t>
    <phoneticPr fontId="13" type="noConversion"/>
  </si>
  <si>
    <t>function(self)
  return (self.owner:get('攻击')*40+10000000)* self.level
end</t>
    <phoneticPr fontId="13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</si>
  <si>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 xml:space="preserve">攻击
|cffffff00+%技能基础伤害%|r 技能基础伤害
|cffffff00+%全伤加深%|r 全伤加深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|cffffff00【被动-毁灭】|r</t>
    </r>
    <r>
      <rPr>
        <b/>
        <sz val="10.5"/>
        <color theme="0"/>
        <rFont val="宋体"/>
        <family val="3"/>
        <charset val="134"/>
        <scheme val="minor"/>
      </rPr>
      <t>攻击 %v1% %几率对敌人造成%v2% +%v3% *攻击力的范围技能伤害</t>
    </r>
    <phoneticPr fontId="13" type="noConversion"/>
  </si>
  <si>
    <t>真·毁灭之刃</t>
    <phoneticPr fontId="13" type="noConversion"/>
  </si>
  <si>
    <t>item\jineng503.blp</t>
    <phoneticPr fontId="13" type="noConversion"/>
  </si>
  <si>
    <t>function(self)
  return (self.owner:get('攻击')*80+100000000)* self.level
end</t>
    <phoneticPr fontId="13" type="noConversion"/>
  </si>
  <si>
    <r>
      <rPr>
        <b/>
        <sz val="10.5"/>
        <color theme="0" tint="-0.499984740745262"/>
        <rFont val="宋体"/>
        <family val="3"/>
        <charset val="134"/>
        <scheme val="minor"/>
      </rPr>
      <t>|cffcccccc 世界有生就有灭，代表生的盘古斧诞生时，代表灭的毁灭之刃也同时诞生。</t>
    </r>
    <r>
      <rPr>
        <b/>
        <sz val="10.5"/>
        <color rgb="FFFFFF00"/>
        <rFont val="宋体"/>
        <family val="3"/>
        <charset val="134"/>
        <scheme val="minor"/>
      </rPr>
      <t xml:space="preserve">
|cffffff00+%攻击%|r </t>
    </r>
    <r>
      <rPr>
        <b/>
        <sz val="10.5"/>
        <color theme="0"/>
        <rFont val="宋体"/>
        <family val="3"/>
        <charset val="134"/>
        <scheme val="minor"/>
      </rPr>
      <t xml:space="preserve">攻击
|cffffff00+%技能基础伤害%|r 技能基础伤害
|cffffff00+%全伤加深%|r 全伤加深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|cffffff00【被动-毁灭】|r</t>
    </r>
    <r>
      <rPr>
        <b/>
        <sz val="10.5"/>
        <color theme="0"/>
        <rFont val="宋体"/>
        <family val="3"/>
        <charset val="134"/>
        <scheme val="minor"/>
      </rPr>
      <t>攻击 %v1% %几率对敌人造成%v2% +%v3% *攻击力的范围技能伤害</t>
    </r>
    <phoneticPr fontId="13" type="noConversion"/>
  </si>
  <si>
    <t>v1</t>
    <phoneticPr fontId="13" type="noConversion"/>
  </si>
  <si>
    <t>攻击有概率造成范围伤害</t>
    <phoneticPr fontId="13" type="noConversion"/>
  </si>
  <si>
    <t>技能文本</t>
    <phoneticPr fontId="13" type="noConversion"/>
  </si>
  <si>
    <t>在哪创建特效(填hero 或 target)</t>
    <phoneticPr fontId="13" type="noConversion"/>
  </si>
  <si>
    <t>概率</t>
    <phoneticPr fontId="13" type="noConversion"/>
  </si>
  <si>
    <t>}
mt.event_name = '造成伤害效果',
mt.chance = mt.v1
function mt:damage_start(damage)
    local skill = self
    local hero = self.owner
    local p = hero:get_owner()
    local target = damage.target
	if not damage:is_common_attack()  then 
		return 
	end 
	ac.effect_ex{
	    model = skill.effect,
	    point = :get_point(),
	}:remove()
	for i, u in ac.selector()
		: in_range(,self.damage_area)
		: is_enemy(hero)
		: ipairs()
	do
		u:damage
		{
			source = hero,
			skill = skill,
			damage = skill.damage,
			damage_type = '法术'
		}
	end	
end</t>
  </si>
  <si>
    <t xml:space="preserve">   max_level = 15,</t>
    <phoneticPr fontId="13" type="noConversion"/>
  </si>
  <si>
    <t xml:space="preserve"> ['攻击'] = 2000000,
v1 = {6,20},
v2 = {2.5,5},
v3 = 0.5,</t>
    <phoneticPr fontId="13" type="noConversion"/>
  </si>
  <si>
    <t xml:space="preserve"> ['攻击'] = 6000000,
 ['攻击速度'] = 25,
v1 = {6,20},
v2 = {3.5,7.5},
v3 = 0.5,</t>
    <phoneticPr fontId="13" type="noConversion"/>
  </si>
  <si>
    <t xml:space="preserve"> ['攻击'] = 20000000,
 ['攻击速度'] = 35,
v1 = {6,20},
v2 = {4.5,10},
v3 = 0.5,</t>
    <phoneticPr fontId="13" type="noConversion"/>
  </si>
  <si>
    <t xml:space="preserve"> ['攻击'] = 60000000,
 ['攻击速度'] = 45,
 ['技能冷却'] = 5,
v1 = {6,20},
v2 = {5.5,12.5},
v3 = 0.5,</t>
    <phoneticPr fontId="13" type="noConversion"/>
  </si>
  <si>
    <t xml:space="preserve"> ['力量'] = 1000000,
v1 = {1,0.5},</t>
    <phoneticPr fontId="13" type="noConversion"/>
  </si>
  <si>
    <t xml:space="preserve"> ['力量'] = 3000000,
 ['护甲'] = 1500,
v1 = {1,0.5},</t>
    <phoneticPr fontId="13" type="noConversion"/>
  </si>
  <si>
    <t xml:space="preserve"> ['力量'] = 27000000,
 ['护甲'] = 12500,
['减伤'] = 2.5,
v1 = {1,0.5},</t>
    <phoneticPr fontId="13" type="noConversion"/>
  </si>
  <si>
    <t xml:space="preserve"> ['攻击'] = 2000000,
v1 = {6,20},
v2 = {10000,150000},
v3 = {5,75},</t>
    <phoneticPr fontId="13" type="noConversion"/>
  </si>
  <si>
    <t xml:space="preserve"> ['攻击'] = 6000000,
 ['技能基础伤害'] = 3000000,
v1 = {6,20},
v2 = {100000,1500000},
v3 = {10,150},</t>
    <phoneticPr fontId="13" type="noConversion"/>
  </si>
  <si>
    <t xml:space="preserve"> ['攻击'] = 20000000,
 ['技能基础伤害'] = 6000000,
 ['全伤加深'] = 2.5,
v1 = {6,20},
v2 = {1000000,15000000},
v3 = {20,300},</t>
    <phoneticPr fontId="13" type="noConversion"/>
  </si>
  <si>
    <t xml:space="preserve"> ['攻击'] = 60000000,
 ['技能基础伤害'] = 20000000,
 ['全伤加深'] = 5,
v1 = {6,20},
v2 = {10000000,150000000},
v3 = {40,600},</t>
    <phoneticPr fontId="13" type="noConversion"/>
  </si>
  <si>
    <t xml:space="preserve"> ['攻击'] = 200000000,
 ['技能基础伤害'] = 60000000,
 ['全伤加深'] = 10,
v1 = {6,20},
v2 = {100000000,1500000000},
v3 = {80,1200},</t>
    <phoneticPr fontId="13" type="noConversion"/>
  </si>
  <si>
    <t>每隔几秒周围造成伤害</t>
    <phoneticPr fontId="13" type="noConversion"/>
  </si>
  <si>
    <t>target</t>
    <phoneticPr fontId="13" type="noConversion"/>
  </si>
  <si>
    <t>}
function mt:on_add()
    local skill = self
    local hero = self.owner 
    if not hero:is_hero() then return end
    self.trg = hero:loop(1000,function ()
		if not hero:is_alive() then return end 
        for i, u in ac.selector()
            : in_range(hero,self.area)
            : is_enemy(hero)
			: of_not_building()
			: ipairs()
        do 
            u:add_buff('火焰')
			{
				source = hero,
				skill = skill,
				time =  self.v1,
				pulse = self.v1,
				is_damage_on_add = false,
                damage = self.damage,
			}
        end
    end)
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</si>
</sst>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0.5"/>
      <color rgb="FFCE9178"/>
      <name val="Consolas"/>
      <family val="3"/>
    </font>
    <font>
      <sz val="11"/>
      <color rgb="FFD4D4D4"/>
      <name val="Consolas"/>
      <family val="3"/>
    </font>
    <font>
      <sz val="11"/>
      <color rgb="FF6A9955"/>
      <name val="微软雅黑"/>
      <family val="2"/>
      <charset val="134"/>
    </font>
    <font>
      <sz val="11"/>
      <color theme="0" tint="-0.34998626667073579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9CDCFE"/>
      <name val="Consolas"/>
      <family val="3"/>
    </font>
    <font>
      <sz val="11"/>
      <color theme="1"/>
      <name val="Consolas"/>
      <family val="3"/>
    </font>
    <font>
      <sz val="1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b/>
      <sz val="10.5"/>
      <color rgb="FFFFFF00"/>
      <name val="宋体"/>
      <family val="3"/>
      <charset val="134"/>
      <scheme val="minor"/>
    </font>
    <font>
      <b/>
      <sz val="10.5"/>
      <color theme="0"/>
      <name val="宋体"/>
      <family val="3"/>
      <charset val="134"/>
      <scheme val="minor"/>
    </font>
    <font>
      <b/>
      <sz val="10.5"/>
      <color rgb="FFFFFFFF"/>
      <name val="宋体"/>
      <family val="3"/>
      <charset val="134"/>
      <scheme val="minor"/>
    </font>
    <font>
      <b/>
      <sz val="10.5"/>
      <color theme="0" tint="-0.34998626667073579"/>
      <name val="宋体"/>
      <family val="3"/>
      <charset val="134"/>
      <scheme val="minor"/>
    </font>
    <font>
      <b/>
      <sz val="10.5"/>
      <color theme="0" tint="-0.499984740745262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9" fillId="0" borderId="0"/>
  </cellStyleXfs>
  <cellXfs count="4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3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7" fillId="0" borderId="0" xfId="0" applyFont="1" applyAlignment="1">
      <alignment horizontal="center"/>
    </xf>
    <xf numFmtId="0" fontId="1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left" vertical="center" wrapText="1"/>
    </xf>
    <xf numFmtId="0" fontId="2" fillId="0" borderId="0" xfId="0" applyFont="1" applyFill="1" applyAlignment="1">
      <alignment horizontal="center" vertical="center"/>
    </xf>
    <xf numFmtId="0" fontId="4" fillId="0" borderId="0" xfId="0" applyFont="1" applyAlignment="1">
      <alignment wrapText="1"/>
    </xf>
    <xf numFmtId="0" fontId="15" fillId="0" borderId="0" xfId="0" applyFont="1" applyAlignment="1">
      <alignment horizontal="center" vertic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2" borderId="1" xfId="0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top" wrapText="1"/>
    </xf>
    <xf numFmtId="0" fontId="9" fillId="0" borderId="0" xfId="1"/>
    <xf numFmtId="0" fontId="9" fillId="0" borderId="0" xfId="1" applyAlignment="1">
      <alignment vertical="top" wrapText="1"/>
    </xf>
    <xf numFmtId="0" fontId="9" fillId="0" borderId="0" xfId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1" fillId="0" borderId="0" xfId="1" applyFont="1" applyAlignment="1">
      <alignment horizontal="center" vertical="center"/>
    </xf>
    <xf numFmtId="0" fontId="7" fillId="0" borderId="0" xfId="1" applyFont="1" applyAlignment="1">
      <alignment horizontal="center"/>
    </xf>
  </cellXfs>
  <cellStyles count="2">
    <cellStyle name="常规" xfId="0" builtinId="0"/>
    <cellStyle name="常规 2" xfId="1" xr:uid="{103C1D74-36E4-4A55-B020-BA66A7EA7963}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914400</xdr:colOff>
          <xdr:row>0</xdr:row>
          <xdr:rowOff>47625</xdr:rowOff>
        </xdr:from>
        <xdr:to>
          <xdr:col>11</xdr:col>
          <xdr:colOff>1447800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216;&#33021;-wup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通用变量"/>
      <sheetName val="通用回调"/>
    </sheetNames>
    <definedNames>
      <definedName name="初始化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U34"/>
  <sheetViews>
    <sheetView tabSelected="1" workbookViewId="0">
      <pane xSplit="1" ySplit="3" topLeftCell="L8" activePane="bottomRight" state="frozen"/>
      <selection pane="topRight"/>
      <selection pane="bottomLeft"/>
      <selection pane="bottomRight" activeCell="U13" sqref="U13"/>
    </sheetView>
  </sheetViews>
  <sheetFormatPr defaultColWidth="9" defaultRowHeight="14.25" x14ac:dyDescent="0.15"/>
  <cols>
    <col min="1" max="1" width="14.5" style="7" customWidth="1"/>
    <col min="2" max="2" width="10.25" style="7" customWidth="1"/>
    <col min="3" max="3" width="9.875" style="7" customWidth="1"/>
    <col min="4" max="4" width="9.5" style="7" customWidth="1"/>
    <col min="5" max="5" width="7.25" style="9" customWidth="1"/>
    <col min="6" max="6" width="20.625" style="7" customWidth="1"/>
    <col min="7" max="7" width="8.25" style="7" customWidth="1"/>
    <col min="8" max="8" width="9.625" style="10" customWidth="1"/>
    <col min="9" max="9" width="7.5" style="7" customWidth="1"/>
    <col min="10" max="10" width="7.125" style="8" customWidth="1"/>
    <col min="11" max="11" width="17.25" style="7" customWidth="1"/>
    <col min="12" max="12" width="22" style="7" customWidth="1"/>
    <col min="13" max="13" width="10" style="7" customWidth="1"/>
    <col min="14" max="14" width="23" style="11" customWidth="1"/>
    <col min="15" max="15" width="49.875" style="7" customWidth="1"/>
    <col min="16" max="19" width="15.625" style="7" customWidth="1"/>
    <col min="20" max="20" width="39.75" style="7" customWidth="1"/>
    <col min="21" max="16384" width="9" style="7"/>
  </cols>
  <sheetData>
    <row r="1" spans="1:21" ht="15" x14ac:dyDescent="0.25">
      <c r="A1" s="12"/>
      <c r="B1" s="12" t="s">
        <v>0</v>
      </c>
      <c r="C1" s="12" t="s">
        <v>0</v>
      </c>
      <c r="D1" s="12" t="s">
        <v>0</v>
      </c>
      <c r="E1" s="23" t="s">
        <v>0</v>
      </c>
      <c r="F1" s="12" t="s">
        <v>2</v>
      </c>
      <c r="G1" s="23" t="s">
        <v>47</v>
      </c>
      <c r="H1" s="12"/>
      <c r="I1" s="12"/>
      <c r="J1" s="12"/>
      <c r="K1" s="12"/>
      <c r="L1" s="24"/>
      <c r="M1" s="12"/>
      <c r="N1" s="25" t="s">
        <v>1</v>
      </c>
      <c r="O1" s="12" t="s">
        <v>2</v>
      </c>
      <c r="P1" s="12" t="s">
        <v>2</v>
      </c>
      <c r="Q1" s="12" t="s">
        <v>2</v>
      </c>
      <c r="R1" s="12" t="s">
        <v>2</v>
      </c>
      <c r="S1" s="12" t="s">
        <v>2</v>
      </c>
      <c r="T1" s="12" t="s">
        <v>2</v>
      </c>
      <c r="U1" s="25" t="s">
        <v>1</v>
      </c>
    </row>
    <row r="2" spans="1:21" ht="15" x14ac:dyDescent="0.15">
      <c r="A2" s="26" t="s">
        <v>3</v>
      </c>
      <c r="B2" s="25" t="s">
        <v>4</v>
      </c>
      <c r="C2" s="27" t="s">
        <v>48</v>
      </c>
      <c r="D2" s="25" t="s">
        <v>49</v>
      </c>
      <c r="E2" s="27" t="s">
        <v>50</v>
      </c>
      <c r="F2" s="25" t="s">
        <v>51</v>
      </c>
      <c r="G2" s="25" t="s">
        <v>52</v>
      </c>
      <c r="H2" s="26" t="s">
        <v>5</v>
      </c>
      <c r="I2" s="26" t="s">
        <v>6</v>
      </c>
      <c r="J2" s="26" t="s">
        <v>7</v>
      </c>
      <c r="K2" s="14" t="s">
        <v>8</v>
      </c>
      <c r="L2" s="28" t="s">
        <v>9</v>
      </c>
      <c r="M2" s="26" t="s">
        <v>10</v>
      </c>
      <c r="N2" s="25" t="s">
        <v>11</v>
      </c>
      <c r="O2" s="26" t="s">
        <v>12</v>
      </c>
      <c r="P2" s="25" t="s">
        <v>13</v>
      </c>
      <c r="Q2" s="26" t="s">
        <v>14</v>
      </c>
      <c r="R2" s="25" t="s">
        <v>15</v>
      </c>
      <c r="S2" s="25" t="s">
        <v>16</v>
      </c>
      <c r="T2" s="25" t="s">
        <v>53</v>
      </c>
      <c r="U2" s="25" t="s">
        <v>54</v>
      </c>
    </row>
    <row r="3" spans="1:21" ht="15" x14ac:dyDescent="0.15">
      <c r="A3" s="29"/>
      <c r="B3" s="29" t="s">
        <v>17</v>
      </c>
      <c r="C3" s="27" t="s">
        <v>55</v>
      </c>
      <c r="D3" s="27" t="s">
        <v>56</v>
      </c>
      <c r="E3" s="29" t="s">
        <v>18</v>
      </c>
      <c r="F3" s="25" t="s">
        <v>25</v>
      </c>
      <c r="G3" s="25" t="s">
        <v>57</v>
      </c>
      <c r="H3" s="29" t="s">
        <v>19</v>
      </c>
      <c r="I3" s="29" t="s">
        <v>20</v>
      </c>
      <c r="J3" s="29" t="s">
        <v>21</v>
      </c>
      <c r="K3" s="15" t="s">
        <v>22</v>
      </c>
      <c r="L3" s="30" t="s">
        <v>58</v>
      </c>
      <c r="M3" s="29" t="s">
        <v>23</v>
      </c>
      <c r="N3" s="30"/>
      <c r="O3" s="29" t="s">
        <v>24</v>
      </c>
      <c r="P3" s="29" t="s">
        <v>26</v>
      </c>
      <c r="Q3" s="29" t="s">
        <v>27</v>
      </c>
      <c r="R3" s="29" t="s">
        <v>28</v>
      </c>
      <c r="S3" s="29" t="s">
        <v>29</v>
      </c>
      <c r="T3" s="29" t="s">
        <v>30</v>
      </c>
      <c r="U3" s="29"/>
    </row>
    <row r="4" spans="1:21" s="8" customFormat="1" ht="75" customHeight="1" x14ac:dyDescent="0.15">
      <c r="A4" s="14" t="s">
        <v>59</v>
      </c>
      <c r="B4" s="31"/>
      <c r="C4" s="32" t="s">
        <v>60</v>
      </c>
      <c r="D4" s="23" t="s">
        <v>61</v>
      </c>
      <c r="E4" s="32" t="s">
        <v>62</v>
      </c>
      <c r="F4" s="25" t="s">
        <v>63</v>
      </c>
      <c r="G4" s="27">
        <v>1000</v>
      </c>
      <c r="H4" s="26" t="s">
        <v>31</v>
      </c>
      <c r="I4" s="17">
        <v>0</v>
      </c>
      <c r="J4" s="17">
        <v>1</v>
      </c>
      <c r="K4" s="17" t="str">
        <f>H4</f>
        <v>true</v>
      </c>
      <c r="L4" s="20"/>
      <c r="M4" s="31"/>
      <c r="N4" s="2" t="s">
        <v>136</v>
      </c>
      <c r="O4" s="33" t="s">
        <v>64</v>
      </c>
      <c r="P4" s="34" t="s">
        <v>65</v>
      </c>
      <c r="Q4" s="34"/>
      <c r="R4" s="34"/>
      <c r="S4" s="34"/>
      <c r="T4" s="35" t="s">
        <v>66</v>
      </c>
      <c r="U4" s="10"/>
    </row>
    <row r="5" spans="1:21" s="8" customFormat="1" ht="75" customHeight="1" x14ac:dyDescent="0.15">
      <c r="A5" s="14" t="s">
        <v>67</v>
      </c>
      <c r="B5" s="10"/>
      <c r="C5" s="32" t="s">
        <v>60</v>
      </c>
      <c r="D5" s="23" t="s">
        <v>61</v>
      </c>
      <c r="E5" s="32" t="s">
        <v>68</v>
      </c>
      <c r="F5" s="25" t="s">
        <v>69</v>
      </c>
      <c r="G5" s="27">
        <v>1000</v>
      </c>
      <c r="H5" s="26" t="s">
        <v>31</v>
      </c>
      <c r="I5" s="17">
        <v>0</v>
      </c>
      <c r="J5" s="17">
        <v>1</v>
      </c>
      <c r="K5" s="17" t="str">
        <f t="shared" ref="K5:K18" si="0">H5</f>
        <v>true</v>
      </c>
      <c r="L5" s="34"/>
      <c r="M5" s="31"/>
      <c r="N5" s="2" t="s">
        <v>137</v>
      </c>
      <c r="O5" s="33" t="s">
        <v>70</v>
      </c>
      <c r="P5" s="34" t="s">
        <v>65</v>
      </c>
      <c r="Q5" s="34"/>
      <c r="R5" s="10"/>
      <c r="S5" s="10"/>
      <c r="T5" s="35" t="s">
        <v>66</v>
      </c>
      <c r="U5" s="31"/>
    </row>
    <row r="6" spans="1:21" s="8" customFormat="1" ht="75" customHeight="1" x14ac:dyDescent="0.15">
      <c r="A6" s="14" t="s">
        <v>71</v>
      </c>
      <c r="B6" s="10"/>
      <c r="C6" s="32" t="s">
        <v>60</v>
      </c>
      <c r="D6" s="23" t="s">
        <v>61</v>
      </c>
      <c r="E6" s="32" t="s">
        <v>72</v>
      </c>
      <c r="F6" s="25" t="s">
        <v>73</v>
      </c>
      <c r="G6" s="27">
        <v>1000</v>
      </c>
      <c r="H6" s="26" t="s">
        <v>31</v>
      </c>
      <c r="I6" s="17">
        <v>0</v>
      </c>
      <c r="J6" s="17">
        <v>1</v>
      </c>
      <c r="K6" s="17" t="str">
        <f t="shared" si="0"/>
        <v>true</v>
      </c>
      <c r="L6" s="34"/>
      <c r="M6" s="31"/>
      <c r="N6" s="2" t="s">
        <v>138</v>
      </c>
      <c r="O6" s="33" t="s">
        <v>70</v>
      </c>
      <c r="P6" s="34" t="s">
        <v>65</v>
      </c>
      <c r="Q6" s="34"/>
      <c r="R6" s="10"/>
      <c r="S6" s="10"/>
      <c r="T6" s="35" t="s">
        <v>66</v>
      </c>
      <c r="U6" s="31"/>
    </row>
    <row r="7" spans="1:21" s="8" customFormat="1" ht="75" customHeight="1" x14ac:dyDescent="0.15">
      <c r="A7" s="14" t="s">
        <v>74</v>
      </c>
      <c r="B7" s="10"/>
      <c r="C7" s="32" t="s">
        <v>60</v>
      </c>
      <c r="D7" s="23" t="s">
        <v>61</v>
      </c>
      <c r="E7" s="32" t="s">
        <v>75</v>
      </c>
      <c r="F7" s="25" t="s">
        <v>76</v>
      </c>
      <c r="G7" s="27">
        <v>1000</v>
      </c>
      <c r="H7" s="26" t="s">
        <v>31</v>
      </c>
      <c r="I7" s="17">
        <v>0</v>
      </c>
      <c r="J7" s="17">
        <v>1</v>
      </c>
      <c r="K7" s="17" t="str">
        <f t="shared" si="0"/>
        <v>true</v>
      </c>
      <c r="L7" s="34"/>
      <c r="M7" s="31"/>
      <c r="N7" s="2" t="s">
        <v>139</v>
      </c>
      <c r="O7" s="33" t="s">
        <v>77</v>
      </c>
      <c r="P7" s="34" t="s">
        <v>65</v>
      </c>
      <c r="Q7" s="34"/>
      <c r="R7" s="10"/>
      <c r="S7" s="10"/>
      <c r="T7" s="35" t="s">
        <v>66</v>
      </c>
      <c r="U7" s="31"/>
    </row>
    <row r="8" spans="1:21" s="8" customFormat="1" ht="75" customHeight="1" x14ac:dyDescent="0.15">
      <c r="A8" s="14" t="s">
        <v>78</v>
      </c>
      <c r="B8" s="10"/>
      <c r="C8" s="32" t="s">
        <v>60</v>
      </c>
      <c r="D8" s="23" t="s">
        <v>61</v>
      </c>
      <c r="E8" s="32" t="s">
        <v>79</v>
      </c>
      <c r="F8" s="25" t="s">
        <v>80</v>
      </c>
      <c r="G8" s="27">
        <v>1000</v>
      </c>
      <c r="H8" s="26" t="s">
        <v>31</v>
      </c>
      <c r="I8" s="17">
        <v>0</v>
      </c>
      <c r="J8" s="17">
        <v>1</v>
      </c>
      <c r="K8" s="17" t="str">
        <f t="shared" si="0"/>
        <v>true</v>
      </c>
      <c r="L8" s="34"/>
      <c r="M8" s="31"/>
      <c r="N8" s="2" t="s">
        <v>81</v>
      </c>
      <c r="O8" s="33" t="s">
        <v>82</v>
      </c>
      <c r="P8" s="34" t="s">
        <v>65</v>
      </c>
      <c r="Q8" s="34"/>
      <c r="R8" s="10"/>
      <c r="S8" s="10"/>
      <c r="T8" s="35" t="s">
        <v>66</v>
      </c>
      <c r="U8" s="31"/>
    </row>
    <row r="9" spans="1:21" ht="50.1" customHeight="1" x14ac:dyDescent="0.15">
      <c r="A9" s="10" t="s">
        <v>83</v>
      </c>
      <c r="B9" s="10"/>
      <c r="C9" s="32" t="s">
        <v>60</v>
      </c>
      <c r="D9" s="23"/>
      <c r="E9" s="32" t="s">
        <v>62</v>
      </c>
      <c r="F9" s="25" t="s">
        <v>84</v>
      </c>
      <c r="G9" s="27">
        <v>1000</v>
      </c>
      <c r="H9" s="26" t="s">
        <v>31</v>
      </c>
      <c r="I9" s="17">
        <v>0</v>
      </c>
      <c r="J9" s="17">
        <v>1</v>
      </c>
      <c r="K9" s="17" t="str">
        <f t="shared" si="0"/>
        <v>true</v>
      </c>
      <c r="L9" s="36" t="s">
        <v>85</v>
      </c>
      <c r="M9" s="31">
        <v>300</v>
      </c>
      <c r="N9" s="2" t="s">
        <v>140</v>
      </c>
      <c r="O9" s="33" t="s">
        <v>86</v>
      </c>
      <c r="P9" s="34" t="s">
        <v>87</v>
      </c>
      <c r="Q9" s="34"/>
      <c r="R9" s="10"/>
      <c r="S9" s="10"/>
      <c r="T9" s="35" t="s">
        <v>88</v>
      </c>
      <c r="U9" s="39" t="s">
        <v>150</v>
      </c>
    </row>
    <row r="10" spans="1:21" ht="50.1" customHeight="1" x14ac:dyDescent="0.15">
      <c r="A10" s="32" t="s">
        <v>89</v>
      </c>
      <c r="B10" s="10"/>
      <c r="C10" s="32" t="s">
        <v>60</v>
      </c>
      <c r="D10" s="23"/>
      <c r="E10" s="32" t="s">
        <v>68</v>
      </c>
      <c r="F10" s="25" t="s">
        <v>90</v>
      </c>
      <c r="G10" s="27">
        <v>1000</v>
      </c>
      <c r="H10" s="26" t="s">
        <v>31</v>
      </c>
      <c r="I10" s="17">
        <v>0</v>
      </c>
      <c r="J10" s="17">
        <v>1</v>
      </c>
      <c r="K10" s="17" t="str">
        <f t="shared" si="0"/>
        <v>true</v>
      </c>
      <c r="L10" s="36" t="s">
        <v>91</v>
      </c>
      <c r="M10" s="31">
        <v>300</v>
      </c>
      <c r="N10" s="2" t="s">
        <v>141</v>
      </c>
      <c r="O10" s="33" t="s">
        <v>92</v>
      </c>
      <c r="P10" s="34" t="s">
        <v>87</v>
      </c>
      <c r="Q10" s="34"/>
      <c r="R10" s="10"/>
      <c r="S10" s="10"/>
      <c r="T10" s="35" t="s">
        <v>88</v>
      </c>
      <c r="U10" s="39" t="s">
        <v>150</v>
      </c>
    </row>
    <row r="11" spans="1:21" ht="50.1" customHeight="1" x14ac:dyDescent="0.15">
      <c r="A11" s="10" t="s">
        <v>93</v>
      </c>
      <c r="B11" s="10"/>
      <c r="C11" s="32" t="s">
        <v>60</v>
      </c>
      <c r="D11" s="23"/>
      <c r="E11" s="32" t="s">
        <v>72</v>
      </c>
      <c r="F11" s="25" t="s">
        <v>94</v>
      </c>
      <c r="G11" s="27">
        <v>1000</v>
      </c>
      <c r="H11" s="26" t="s">
        <v>31</v>
      </c>
      <c r="I11" s="17">
        <v>0</v>
      </c>
      <c r="J11" s="17">
        <v>1</v>
      </c>
      <c r="K11" s="17" t="str">
        <f t="shared" si="0"/>
        <v>true</v>
      </c>
      <c r="L11" s="36" t="s">
        <v>95</v>
      </c>
      <c r="M11" s="31">
        <v>300</v>
      </c>
      <c r="N11" s="2" t="s">
        <v>96</v>
      </c>
      <c r="O11" s="33" t="s">
        <v>92</v>
      </c>
      <c r="P11" s="34" t="s">
        <v>87</v>
      </c>
      <c r="Q11" s="34"/>
      <c r="R11" s="10"/>
      <c r="S11" s="10"/>
      <c r="T11" s="35" t="s">
        <v>88</v>
      </c>
      <c r="U11" s="39" t="s">
        <v>150</v>
      </c>
    </row>
    <row r="12" spans="1:21" ht="50.1" customHeight="1" x14ac:dyDescent="0.15">
      <c r="A12" s="32" t="s">
        <v>97</v>
      </c>
      <c r="B12" s="10"/>
      <c r="C12" s="32" t="s">
        <v>60</v>
      </c>
      <c r="D12" s="23"/>
      <c r="E12" s="32" t="s">
        <v>75</v>
      </c>
      <c r="F12" s="25" t="s">
        <v>98</v>
      </c>
      <c r="G12" s="27">
        <v>1000</v>
      </c>
      <c r="H12" s="26" t="s">
        <v>31</v>
      </c>
      <c r="I12" s="17">
        <v>0</v>
      </c>
      <c r="J12" s="17">
        <v>1</v>
      </c>
      <c r="K12" s="17" t="str">
        <f t="shared" si="0"/>
        <v>true</v>
      </c>
      <c r="L12" s="36" t="s">
        <v>99</v>
      </c>
      <c r="M12" s="31">
        <v>300</v>
      </c>
      <c r="N12" s="2" t="s">
        <v>142</v>
      </c>
      <c r="O12" s="33" t="s">
        <v>100</v>
      </c>
      <c r="P12" s="34" t="s">
        <v>87</v>
      </c>
      <c r="Q12" s="34"/>
      <c r="R12" s="10"/>
      <c r="S12" s="10"/>
      <c r="T12" s="35" t="s">
        <v>88</v>
      </c>
      <c r="U12" s="39" t="s">
        <v>150</v>
      </c>
    </row>
    <row r="13" spans="1:21" ht="50.1" customHeight="1" x14ac:dyDescent="0.15">
      <c r="A13" s="14" t="s">
        <v>101</v>
      </c>
      <c r="B13" s="10"/>
      <c r="C13" s="32" t="s">
        <v>60</v>
      </c>
      <c r="D13" s="23"/>
      <c r="E13" s="32" t="s">
        <v>79</v>
      </c>
      <c r="F13" s="25" t="s">
        <v>102</v>
      </c>
      <c r="G13" s="27">
        <v>1000</v>
      </c>
      <c r="H13" s="26" t="s">
        <v>31</v>
      </c>
      <c r="I13" s="17">
        <v>0</v>
      </c>
      <c r="J13" s="17">
        <v>1</v>
      </c>
      <c r="K13" s="17" t="str">
        <f t="shared" si="0"/>
        <v>true</v>
      </c>
      <c r="L13" s="36" t="s">
        <v>103</v>
      </c>
      <c r="M13" s="31">
        <v>300</v>
      </c>
      <c r="N13" s="2" t="s">
        <v>104</v>
      </c>
      <c r="O13" s="33" t="s">
        <v>105</v>
      </c>
      <c r="P13" s="34" t="s">
        <v>87</v>
      </c>
      <c r="Q13" s="34"/>
      <c r="R13" s="10"/>
      <c r="S13" s="10"/>
      <c r="T13" s="35" t="s">
        <v>88</v>
      </c>
      <c r="U13" s="39" t="s">
        <v>150</v>
      </c>
    </row>
    <row r="14" spans="1:21" ht="75" customHeight="1" x14ac:dyDescent="0.15">
      <c r="A14" s="32" t="s">
        <v>106</v>
      </c>
      <c r="B14" s="32"/>
      <c r="C14" s="32" t="s">
        <v>60</v>
      </c>
      <c r="D14" s="10"/>
      <c r="E14" s="32" t="s">
        <v>62</v>
      </c>
      <c r="F14" s="25" t="s">
        <v>107</v>
      </c>
      <c r="G14" s="27">
        <v>1000</v>
      </c>
      <c r="H14" s="26" t="s">
        <v>31</v>
      </c>
      <c r="I14" s="17">
        <v>0</v>
      </c>
      <c r="J14" s="17">
        <v>1</v>
      </c>
      <c r="K14" s="17" t="str">
        <f t="shared" si="0"/>
        <v>true</v>
      </c>
      <c r="L14" s="36" t="s">
        <v>108</v>
      </c>
      <c r="M14" s="10">
        <v>500</v>
      </c>
      <c r="N14" s="2" t="s">
        <v>143</v>
      </c>
      <c r="O14" s="33" t="s">
        <v>109</v>
      </c>
      <c r="P14" s="34" t="s">
        <v>110</v>
      </c>
      <c r="Q14" s="34"/>
      <c r="R14" s="10"/>
      <c r="S14" s="10"/>
      <c r="T14" s="34" t="s">
        <v>111</v>
      </c>
      <c r="U14" s="37" t="s">
        <v>134</v>
      </c>
    </row>
    <row r="15" spans="1:21" ht="75" customHeight="1" x14ac:dyDescent="0.15">
      <c r="A15" s="32" t="s">
        <v>112</v>
      </c>
      <c r="B15" s="32"/>
      <c r="C15" s="32" t="s">
        <v>60</v>
      </c>
      <c r="D15" s="10"/>
      <c r="E15" s="32" t="s">
        <v>68</v>
      </c>
      <c r="F15" s="25" t="s">
        <v>113</v>
      </c>
      <c r="G15" s="27">
        <v>1000</v>
      </c>
      <c r="H15" s="26" t="s">
        <v>31</v>
      </c>
      <c r="I15" s="17">
        <v>0</v>
      </c>
      <c r="J15" s="17">
        <v>1</v>
      </c>
      <c r="K15" s="17" t="str">
        <f t="shared" si="0"/>
        <v>true</v>
      </c>
      <c r="L15" s="36" t="s">
        <v>114</v>
      </c>
      <c r="M15" s="10">
        <v>500</v>
      </c>
      <c r="N15" s="2" t="s">
        <v>144</v>
      </c>
      <c r="O15" s="33" t="s">
        <v>115</v>
      </c>
      <c r="P15" s="34" t="s">
        <v>110</v>
      </c>
      <c r="Q15" s="34"/>
      <c r="R15" s="10"/>
      <c r="S15" s="10"/>
      <c r="T15" s="34" t="s">
        <v>111</v>
      </c>
      <c r="U15" s="37" t="s">
        <v>134</v>
      </c>
    </row>
    <row r="16" spans="1:21" ht="75" customHeight="1" x14ac:dyDescent="0.15">
      <c r="A16" s="32" t="s">
        <v>116</v>
      </c>
      <c r="B16" s="32"/>
      <c r="C16" s="32" t="s">
        <v>60</v>
      </c>
      <c r="D16" s="10"/>
      <c r="E16" s="32" t="s">
        <v>72</v>
      </c>
      <c r="F16" s="25" t="s">
        <v>117</v>
      </c>
      <c r="G16" s="27">
        <v>1000</v>
      </c>
      <c r="H16" s="26" t="s">
        <v>31</v>
      </c>
      <c r="I16" s="17">
        <v>0</v>
      </c>
      <c r="J16" s="17">
        <v>1</v>
      </c>
      <c r="K16" s="17" t="str">
        <f t="shared" si="0"/>
        <v>true</v>
      </c>
      <c r="L16" s="36" t="s">
        <v>118</v>
      </c>
      <c r="M16" s="10">
        <v>500</v>
      </c>
      <c r="N16" s="2" t="s">
        <v>145</v>
      </c>
      <c r="O16" s="33" t="s">
        <v>119</v>
      </c>
      <c r="P16" s="34" t="s">
        <v>110</v>
      </c>
      <c r="Q16" s="34"/>
      <c r="R16" s="10"/>
      <c r="S16" s="10"/>
      <c r="T16" s="34" t="s">
        <v>120</v>
      </c>
      <c r="U16" s="37" t="s">
        <v>134</v>
      </c>
    </row>
    <row r="17" spans="1:21" ht="75" customHeight="1" x14ac:dyDescent="0.15">
      <c r="A17" s="32" t="s">
        <v>121</v>
      </c>
      <c r="B17" s="32"/>
      <c r="C17" s="32" t="s">
        <v>60</v>
      </c>
      <c r="D17" s="10"/>
      <c r="E17" s="32" t="s">
        <v>75</v>
      </c>
      <c r="F17" s="25" t="s">
        <v>122</v>
      </c>
      <c r="G17" s="27">
        <v>1000</v>
      </c>
      <c r="H17" s="26" t="s">
        <v>31</v>
      </c>
      <c r="I17" s="17">
        <v>0</v>
      </c>
      <c r="J17" s="17">
        <v>1</v>
      </c>
      <c r="K17" s="17" t="str">
        <f t="shared" si="0"/>
        <v>true</v>
      </c>
      <c r="L17" s="36" t="s">
        <v>123</v>
      </c>
      <c r="M17" s="10">
        <v>500</v>
      </c>
      <c r="N17" s="2" t="s">
        <v>146</v>
      </c>
      <c r="O17" s="33" t="s">
        <v>124</v>
      </c>
      <c r="P17" s="34" t="s">
        <v>110</v>
      </c>
      <c r="Q17" s="34"/>
      <c r="R17" s="10"/>
      <c r="S17" s="10"/>
      <c r="T17" s="34" t="s">
        <v>120</v>
      </c>
      <c r="U17" s="37" t="s">
        <v>134</v>
      </c>
    </row>
    <row r="18" spans="1:21" ht="75" customHeight="1" x14ac:dyDescent="0.15">
      <c r="A18" s="32" t="s">
        <v>125</v>
      </c>
      <c r="B18" s="32"/>
      <c r="C18" s="32" t="s">
        <v>60</v>
      </c>
      <c r="D18" s="10"/>
      <c r="E18" s="32" t="s">
        <v>79</v>
      </c>
      <c r="F18" s="25" t="s">
        <v>126</v>
      </c>
      <c r="G18" s="27">
        <v>1000</v>
      </c>
      <c r="H18" s="26" t="s">
        <v>31</v>
      </c>
      <c r="I18" s="17">
        <v>0</v>
      </c>
      <c r="J18" s="17">
        <v>1</v>
      </c>
      <c r="K18" s="17" t="str">
        <f t="shared" si="0"/>
        <v>true</v>
      </c>
      <c r="L18" s="36" t="s">
        <v>127</v>
      </c>
      <c r="M18" s="10">
        <v>500</v>
      </c>
      <c r="N18" s="2" t="s">
        <v>147</v>
      </c>
      <c r="O18" s="33" t="s">
        <v>128</v>
      </c>
      <c r="P18" s="34" t="s">
        <v>110</v>
      </c>
      <c r="Q18" s="34"/>
      <c r="R18" s="10"/>
      <c r="S18" s="10"/>
      <c r="T18" s="34" t="s">
        <v>120</v>
      </c>
      <c r="U18" s="37" t="s">
        <v>134</v>
      </c>
    </row>
    <row r="19" spans="1:21" ht="75" customHeight="1" x14ac:dyDescent="0.15">
      <c r="A19" s="2"/>
      <c r="C19" s="8"/>
      <c r="D19" s="10"/>
      <c r="E19" s="13"/>
      <c r="F19" s="16"/>
      <c r="G19" s="16"/>
      <c r="H19" s="17"/>
      <c r="L19" s="18"/>
      <c r="N19" s="3"/>
      <c r="O19" s="19"/>
    </row>
    <row r="20" spans="1:21" ht="75" customHeight="1" x14ac:dyDescent="0.15">
      <c r="A20" s="2"/>
      <c r="C20" s="8"/>
      <c r="D20" s="10"/>
      <c r="E20" s="13"/>
      <c r="F20" s="16"/>
      <c r="G20" s="16"/>
      <c r="H20" s="17"/>
      <c r="L20" s="18"/>
      <c r="N20" s="3"/>
      <c r="O20" s="19"/>
    </row>
    <row r="21" spans="1:21" ht="75" customHeight="1" x14ac:dyDescent="0.15">
      <c r="A21" s="2"/>
      <c r="C21" s="8"/>
      <c r="D21" s="10"/>
      <c r="E21" s="13"/>
      <c r="F21" s="16"/>
      <c r="G21" s="16"/>
      <c r="H21" s="17"/>
      <c r="L21" s="18"/>
      <c r="N21" s="3"/>
      <c r="O21" s="19"/>
    </row>
    <row r="22" spans="1:21" ht="75" customHeight="1" x14ac:dyDescent="0.15">
      <c r="A22" s="2"/>
      <c r="C22" s="8"/>
      <c r="D22" s="10"/>
      <c r="E22" s="13"/>
      <c r="F22" s="16"/>
      <c r="G22" s="16"/>
      <c r="H22" s="17"/>
      <c r="L22" s="18"/>
      <c r="N22" s="3"/>
      <c r="O22" s="19"/>
    </row>
    <row r="23" spans="1:21" ht="75" customHeight="1" x14ac:dyDescent="0.15">
      <c r="A23" s="18"/>
      <c r="C23" s="8"/>
      <c r="D23" s="10"/>
      <c r="E23" s="13"/>
      <c r="F23" s="16"/>
      <c r="G23" s="16"/>
      <c r="H23" s="17"/>
      <c r="L23" s="18"/>
      <c r="N23" s="3"/>
      <c r="O23" s="19"/>
    </row>
    <row r="24" spans="1:21" ht="75" customHeight="1" x14ac:dyDescent="0.25">
      <c r="A24" s="18"/>
      <c r="C24" s="8"/>
      <c r="D24" s="11"/>
      <c r="E24" s="13"/>
      <c r="F24" s="16"/>
      <c r="G24" s="16"/>
      <c r="H24" s="17"/>
      <c r="I24" s="20"/>
      <c r="J24" s="2"/>
      <c r="M24" s="21"/>
      <c r="N24" s="3"/>
      <c r="O24" s="22"/>
    </row>
    <row r="25" spans="1:21" ht="75" customHeight="1" x14ac:dyDescent="0.25">
      <c r="A25" s="18"/>
      <c r="C25" s="8"/>
      <c r="D25" s="11"/>
      <c r="E25" s="13"/>
      <c r="F25" s="16"/>
      <c r="G25" s="16"/>
      <c r="H25" s="17"/>
      <c r="I25" s="20"/>
      <c r="J25" s="2"/>
      <c r="M25" s="21"/>
      <c r="N25" s="3"/>
      <c r="O25" s="22"/>
    </row>
    <row r="26" spans="1:21" ht="75" customHeight="1" x14ac:dyDescent="0.25">
      <c r="A26" s="18"/>
      <c r="C26" s="8"/>
      <c r="D26" s="11"/>
      <c r="E26" s="13"/>
      <c r="F26" s="16"/>
      <c r="G26" s="16"/>
      <c r="H26" s="17"/>
      <c r="I26" s="20"/>
      <c r="J26" s="2"/>
      <c r="M26" s="21"/>
      <c r="N26" s="3"/>
      <c r="O26" s="22"/>
    </row>
    <row r="27" spans="1:21" ht="75" customHeight="1" x14ac:dyDescent="0.25">
      <c r="A27" s="18"/>
      <c r="C27" s="8"/>
      <c r="D27" s="11"/>
      <c r="E27" s="13"/>
      <c r="F27" s="16"/>
      <c r="G27" s="16"/>
      <c r="H27" s="17"/>
      <c r="I27" s="20"/>
      <c r="J27" s="2"/>
      <c r="M27" s="21"/>
      <c r="N27" s="3"/>
      <c r="O27" s="22"/>
    </row>
    <row r="28" spans="1:21" ht="75" customHeight="1" x14ac:dyDescent="0.25">
      <c r="A28" s="18"/>
      <c r="C28" s="8"/>
      <c r="D28" s="11"/>
      <c r="E28" s="13"/>
      <c r="F28" s="16"/>
      <c r="G28" s="16"/>
      <c r="H28" s="17"/>
      <c r="I28" s="20"/>
      <c r="J28" s="2"/>
      <c r="M28" s="21"/>
      <c r="N28" s="3"/>
      <c r="O28" s="22"/>
    </row>
    <row r="29" spans="1:21" ht="75" customHeight="1" x14ac:dyDescent="0.25">
      <c r="A29" s="18"/>
      <c r="C29" s="8"/>
      <c r="D29" s="11"/>
      <c r="E29" s="13"/>
      <c r="F29" s="16"/>
      <c r="G29" s="16"/>
      <c r="H29" s="17"/>
      <c r="I29" s="20"/>
      <c r="J29" s="2"/>
      <c r="M29" s="21"/>
      <c r="N29" s="3"/>
      <c r="O29" s="22"/>
    </row>
    <row r="30" spans="1:21" ht="75" customHeight="1" x14ac:dyDescent="0.25">
      <c r="A30" s="18"/>
      <c r="C30" s="8"/>
      <c r="D30" s="11"/>
      <c r="E30" s="13"/>
      <c r="F30" s="16"/>
      <c r="G30" s="16"/>
      <c r="H30" s="17"/>
      <c r="I30" s="20"/>
      <c r="J30" s="2"/>
      <c r="M30" s="21"/>
      <c r="N30" s="3"/>
      <c r="O30" s="22"/>
    </row>
    <row r="31" spans="1:21" ht="75" customHeight="1" x14ac:dyDescent="0.25">
      <c r="A31" s="18"/>
      <c r="C31" s="8"/>
      <c r="D31" s="11"/>
      <c r="E31" s="13"/>
      <c r="F31" s="16"/>
      <c r="G31" s="16"/>
      <c r="H31" s="17"/>
      <c r="I31" s="20"/>
      <c r="J31" s="2"/>
      <c r="M31" s="21"/>
      <c r="N31" s="3"/>
      <c r="O31" s="22"/>
    </row>
    <row r="32" spans="1:21" ht="75" customHeight="1" x14ac:dyDescent="0.25">
      <c r="A32" s="18"/>
      <c r="C32" s="8"/>
      <c r="D32" s="11"/>
      <c r="E32" s="13"/>
      <c r="F32" s="16"/>
      <c r="G32" s="16"/>
      <c r="H32" s="17"/>
      <c r="I32" s="20"/>
      <c r="J32" s="2"/>
      <c r="M32" s="21"/>
      <c r="N32" s="3"/>
      <c r="O32" s="22"/>
    </row>
    <row r="33" spans="1:15" ht="75" customHeight="1" x14ac:dyDescent="0.25">
      <c r="A33" s="18"/>
      <c r="C33" s="8"/>
      <c r="D33" s="11"/>
      <c r="E33" s="13"/>
      <c r="F33" s="16"/>
      <c r="G33" s="16"/>
      <c r="H33" s="17"/>
      <c r="I33" s="20"/>
      <c r="J33" s="2"/>
      <c r="M33" s="21"/>
      <c r="N33" s="3"/>
      <c r="O33" s="22"/>
    </row>
    <row r="34" spans="1:15" ht="75" customHeight="1" x14ac:dyDescent="0.25">
      <c r="A34" s="8"/>
      <c r="C34" s="8"/>
      <c r="D34" s="11"/>
      <c r="E34" s="13"/>
      <c r="F34" s="16"/>
      <c r="G34" s="16"/>
      <c r="H34" s="17"/>
      <c r="L34" s="18"/>
      <c r="N34" s="3"/>
      <c r="O34" s="22"/>
    </row>
  </sheetData>
  <phoneticPr fontId="13" type="noConversion"/>
  <conditionalFormatting sqref="F1">
    <cfRule type="duplicateValues" dxfId="4" priority="2"/>
  </conditionalFormatting>
  <conditionalFormatting sqref="P14:P18 P1:P3">
    <cfRule type="duplicateValues" dxfId="3" priority="3"/>
  </conditionalFormatting>
  <conditionalFormatting sqref="A4:A7">
    <cfRule type="duplicateValues" dxfId="2" priority="1"/>
  </conditionalFormatting>
  <conditionalFormatting sqref="P19:P34">
    <cfRule type="duplicateValues" dxfId="1" priority="39"/>
  </conditionalFormatting>
  <conditionalFormatting sqref="A19:A34">
    <cfRule type="duplicateValues" dxfId="0" priority="40"/>
  </conditionalFormatting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初始化">
                <anchor moveWithCells="1" sizeWithCells="1">
                  <from>
                    <xdr:col>11</xdr:col>
                    <xdr:colOff>914400</xdr:colOff>
                    <xdr:row>0</xdr:row>
                    <xdr:rowOff>47625</xdr:rowOff>
                  </from>
                  <to>
                    <xdr:col>11</xdr:col>
                    <xdr:colOff>1447800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3"/>
  <sheetViews>
    <sheetView zoomScale="115" zoomScaleNormal="115" workbookViewId="0">
      <selection activeCell="E10" sqref="E10"/>
    </sheetView>
  </sheetViews>
  <sheetFormatPr defaultColWidth="9" defaultRowHeight="13.5" x14ac:dyDescent="0.15"/>
  <sheetData>
    <row r="1" spans="1:1" ht="16.5" x14ac:dyDescent="0.15">
      <c r="A1" s="1" t="s">
        <v>32</v>
      </c>
    </row>
    <row r="2" spans="1:1" ht="15" x14ac:dyDescent="0.15">
      <c r="A2" s="1" t="s">
        <v>33</v>
      </c>
    </row>
    <row r="3" spans="1:1" ht="16.5" x14ac:dyDescent="0.15">
      <c r="A3" s="1" t="s">
        <v>34</v>
      </c>
    </row>
    <row r="4" spans="1:1" ht="15" x14ac:dyDescent="0.15">
      <c r="A4" s="1" t="s">
        <v>135</v>
      </c>
    </row>
    <row r="5" spans="1:1" ht="15" x14ac:dyDescent="0.15">
      <c r="A5" s="1" t="s">
        <v>35</v>
      </c>
    </row>
    <row r="6" spans="1:1" ht="15" x14ac:dyDescent="0.15">
      <c r="A6" s="1" t="s">
        <v>36</v>
      </c>
    </row>
    <row r="7" spans="1:1" ht="15" x14ac:dyDescent="0.15">
      <c r="A7" s="1" t="s">
        <v>37</v>
      </c>
    </row>
    <row r="8" spans="1:1" ht="15" x14ac:dyDescent="0.15">
      <c r="A8" s="1" t="s">
        <v>38</v>
      </c>
    </row>
    <row r="9" spans="1:1" ht="15" x14ac:dyDescent="0.15">
      <c r="A9" s="5"/>
    </row>
    <row r="10" spans="1:1" ht="16.5" x14ac:dyDescent="0.15">
      <c r="A10" s="6"/>
    </row>
    <row r="11" spans="1:1" ht="15" x14ac:dyDescent="0.15">
      <c r="A11" s="5"/>
    </row>
    <row r="12" spans="1:1" ht="16.5" x14ac:dyDescent="0.15">
      <c r="A12" s="6"/>
    </row>
    <row r="13" spans="1:1" ht="15" x14ac:dyDescent="0.15">
      <c r="A13" s="5"/>
    </row>
    <row r="14" spans="1:1" ht="16.5" x14ac:dyDescent="0.15">
      <c r="A14" s="6"/>
    </row>
    <row r="15" spans="1:1" ht="15" x14ac:dyDescent="0.15">
      <c r="A15" s="5"/>
    </row>
    <row r="16" spans="1:1" ht="16.5" x14ac:dyDescent="0.15">
      <c r="A16" s="6"/>
    </row>
    <row r="17" spans="1:1" ht="15" x14ac:dyDescent="0.15">
      <c r="A17" s="5"/>
    </row>
    <row r="18" spans="1:1" ht="16.5" x14ac:dyDescent="0.15">
      <c r="A18" s="6"/>
    </row>
    <row r="19" spans="1:1" ht="15" x14ac:dyDescent="0.15">
      <c r="A19" s="5"/>
    </row>
    <row r="20" spans="1:1" ht="16.5" x14ac:dyDescent="0.15">
      <c r="A20" s="6"/>
    </row>
    <row r="21" spans="1:1" ht="15" x14ac:dyDescent="0.15">
      <c r="A21" s="5"/>
    </row>
    <row r="22" spans="1:1" ht="16.5" x14ac:dyDescent="0.15">
      <c r="A22" s="6"/>
    </row>
    <row r="23" spans="1:1" ht="15" x14ac:dyDescent="0.15">
      <c r="A23" s="5"/>
    </row>
    <row r="24" spans="1:1" ht="16.5" x14ac:dyDescent="0.15">
      <c r="A24" s="6"/>
    </row>
    <row r="25" spans="1:1" ht="15" x14ac:dyDescent="0.15">
      <c r="A25" s="5"/>
    </row>
    <row r="26" spans="1:1" ht="16.5" x14ac:dyDescent="0.15">
      <c r="A26" s="6"/>
    </row>
    <row r="27" spans="1:1" ht="15" x14ac:dyDescent="0.15">
      <c r="A27" s="5"/>
    </row>
    <row r="28" spans="1:1" ht="16.5" x14ac:dyDescent="0.15">
      <c r="A28" s="6"/>
    </row>
    <row r="29" spans="1:1" ht="15" x14ac:dyDescent="0.15">
      <c r="A29" s="5"/>
    </row>
    <row r="30" spans="1:1" ht="16.5" x14ac:dyDescent="0.15">
      <c r="A30" s="6"/>
    </row>
    <row r="31" spans="1:1" ht="15" x14ac:dyDescent="0.15">
      <c r="A31" s="5"/>
    </row>
    <row r="32" spans="1:1" ht="16.5" x14ac:dyDescent="0.15">
      <c r="A32" s="6"/>
    </row>
    <row r="33" spans="1:1" ht="15" x14ac:dyDescent="0.15">
      <c r="A33" s="5"/>
    </row>
    <row r="34" spans="1:1" ht="16.5" x14ac:dyDescent="0.15">
      <c r="A34" s="6"/>
    </row>
    <row r="35" spans="1:1" ht="15" x14ac:dyDescent="0.15">
      <c r="A35" s="5"/>
    </row>
    <row r="36" spans="1:1" ht="16.5" x14ac:dyDescent="0.15">
      <c r="A36" s="6"/>
    </row>
    <row r="37" spans="1:1" ht="15" x14ac:dyDescent="0.15">
      <c r="A37" s="5"/>
    </row>
    <row r="38" spans="1:1" ht="16.5" x14ac:dyDescent="0.15">
      <c r="A38" s="6"/>
    </row>
    <row r="39" spans="1:1" ht="15" x14ac:dyDescent="0.15">
      <c r="A39" s="5"/>
    </row>
    <row r="40" spans="1:1" ht="16.5" x14ac:dyDescent="0.15">
      <c r="A40" s="6"/>
    </row>
    <row r="41" spans="1:1" ht="15" x14ac:dyDescent="0.15">
      <c r="A41" s="5"/>
    </row>
    <row r="42" spans="1:1" ht="16.5" x14ac:dyDescent="0.15">
      <c r="A42" s="6"/>
    </row>
    <row r="43" spans="1:1" ht="15" x14ac:dyDescent="0.15">
      <c r="A43" s="5"/>
    </row>
  </sheetData>
  <phoneticPr fontId="13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U16"/>
  <sheetViews>
    <sheetView workbookViewId="0">
      <selection activeCell="F13" sqref="F13"/>
    </sheetView>
  </sheetViews>
  <sheetFormatPr defaultColWidth="9" defaultRowHeight="13.5" x14ac:dyDescent="0.15"/>
  <sheetData>
    <row r="1" spans="1:21" ht="15" x14ac:dyDescent="0.15">
      <c r="A1" s="1" t="s">
        <v>42</v>
      </c>
    </row>
    <row r="2" spans="1:21" ht="15" x14ac:dyDescent="0.15">
      <c r="A2" s="1" t="s">
        <v>39</v>
      </c>
    </row>
    <row r="3" spans="1:21" ht="15" x14ac:dyDescent="0.15">
      <c r="A3" s="1" t="s">
        <v>40</v>
      </c>
    </row>
    <row r="4" spans="1:21" ht="15" x14ac:dyDescent="0.15">
      <c r="A4" s="1" t="s">
        <v>43</v>
      </c>
    </row>
    <row r="5" spans="1:21" ht="15" x14ac:dyDescent="0.15">
      <c r="A5" s="1" t="s">
        <v>44</v>
      </c>
    </row>
    <row r="6" spans="1:21" ht="15" x14ac:dyDescent="0.15">
      <c r="A6" s="1" t="s">
        <v>45</v>
      </c>
    </row>
    <row r="7" spans="1:21" ht="15" x14ac:dyDescent="0.15">
      <c r="A7" s="1" t="s">
        <v>46</v>
      </c>
    </row>
    <row r="8" spans="1:21" ht="15" x14ac:dyDescent="0.15">
      <c r="A8" s="1" t="s">
        <v>41</v>
      </c>
    </row>
    <row r="11" spans="1:21" ht="14.25" x14ac:dyDescent="0.15">
      <c r="I11" s="2"/>
      <c r="J11" s="3"/>
    </row>
    <row r="12" spans="1:21" ht="14.25" x14ac:dyDescent="0.15">
      <c r="I12" s="2"/>
      <c r="J12" s="3"/>
    </row>
    <row r="13" spans="1:21" ht="14.25" x14ac:dyDescent="0.15">
      <c r="H13" s="2"/>
      <c r="I13" s="3"/>
      <c r="U13" s="3"/>
    </row>
    <row r="14" spans="1:21" ht="14.25" x14ac:dyDescent="0.15">
      <c r="U14" s="3"/>
    </row>
    <row r="15" spans="1:21" ht="14.25" x14ac:dyDescent="0.15">
      <c r="U15" s="3"/>
    </row>
    <row r="16" spans="1:21" ht="14.25" x14ac:dyDescent="0.15">
      <c r="U16" s="4"/>
    </row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B0C5E-067D-4FDA-9FF4-F488159E813B}">
  <sheetPr codeName="Sheet2"/>
  <dimension ref="A1:D4"/>
  <sheetViews>
    <sheetView workbookViewId="0">
      <selection activeCell="D4" sqref="D4"/>
    </sheetView>
  </sheetViews>
  <sheetFormatPr defaultRowHeight="13.5" x14ac:dyDescent="0.15"/>
  <cols>
    <col min="1" max="1" width="22.5" style="38" customWidth="1"/>
    <col min="2" max="2" width="9" style="38"/>
    <col min="3" max="3" width="30.5" style="38" customWidth="1"/>
    <col min="4" max="4" width="73.75" style="38" customWidth="1"/>
    <col min="5" max="16384" width="9" style="38"/>
  </cols>
  <sheetData>
    <row r="1" spans="1:4" ht="15" x14ac:dyDescent="0.25">
      <c r="A1" s="44"/>
      <c r="B1" s="44"/>
    </row>
    <row r="2" spans="1:4" ht="15" x14ac:dyDescent="0.15">
      <c r="A2" s="43" t="s">
        <v>3</v>
      </c>
      <c r="B2" s="42" t="s">
        <v>133</v>
      </c>
      <c r="C2" s="38" t="s">
        <v>132</v>
      </c>
      <c r="D2" s="38" t="s">
        <v>131</v>
      </c>
    </row>
    <row r="3" spans="1:4" ht="38.25" customHeight="1" x14ac:dyDescent="0.15">
      <c r="A3" s="42" t="s">
        <v>130</v>
      </c>
      <c r="B3" s="41" t="s">
        <v>129</v>
      </c>
      <c r="C3" s="40" t="s">
        <v>149</v>
      </c>
      <c r="D3" s="39" t="str">
        <f>"}
mt.event_name = '造成伤害效果',
mt.chance = mt."&amp;B3&amp;"
function mt:damage_start(damage)
    local skill = self
    local hero = self.owner
    local p = hero:get_owner()
    local target = damage.target
"&amp;"
	if not damage:is_common_attack()  then 
		return 
	end 
	ac.effect_ex{
	    model = skill.effect,
	    point = "&amp;C3&amp;":get_point(),
	}:remove()
	for i, u in ac.selector()
		: in_range("&amp;C3&amp;",self.damage_area)
		: is_enemy(hero)
		: ipairs()
	do
		u:damage
		{
			source = hero,
			skill = skill,
			damage = skill.damage,
			damage_type = '法术'
		}
	end	
end"</f>
        <v>}
mt.event_name = '造成伤害效果',
mt.chance = mt.v1
function mt:damage_start(damage)
    local skill = self
    local hero = self.owner
    local p = hero:get_owner()
    local target = damage.target
	if not damage:is_common_attack()  then 
		return 
	end 
	ac.effect_ex{
	    model = skill.effect,
	    point = target:get_point(),
	}:remove()
	for i, u in ac.selector()
		: in_range(target,self.damage_area)
		: is_enemy(hero)
		: ipairs()
	do
		u:damage
		{
			source = hero,
			skill = skill,
			damage = skill.damage,
			damage_type = '法术'
		}
	end	
end</v>
      </c>
    </row>
    <row r="4" spans="1:4" ht="301.5" customHeight="1" x14ac:dyDescent="0.15">
      <c r="A4" s="40" t="s">
        <v>148</v>
      </c>
      <c r="B4" s="40" t="s">
        <v>129</v>
      </c>
      <c r="C4" s="40"/>
      <c r="D4" s="39" t="str">
        <f>"}
function mt:on_add()
    local skill = self
    local hero = self.owner 
    if not hero:is_hero() then return end
    self.trg = hero:loop("&amp;"1000,function ()
		if not hero:is_alive() then return end 
        for i, u in ac.selector()
            : in_range(hero,self.area)
            : is_enemy(hero)
			: of_not_building()
			: ipairs()
        do "&amp;"
            u:add_buff('火焰')
			{
				source = hero,
				skill = skill,
				time =  self."&amp;B4&amp;",
				pulse = self."&amp;B4&amp;",
				is_damage_on_add = false,
                damage = self.damage,
			}
        end
    end)
end"</f>
        <v>}
function mt:on_add()
    local skill = self
    local hero = self.owner 
    if not hero:is_hero() then return end
    self.trg = hero:loop(1000,function ()
		if not hero:is_alive() then return end 
        for i, u in ac.selector()
            : in_range(hero,self.area)
            : is_enemy(hero)
			: of_not_building()
			: ipairs()
        do 
            u:add_buff('火焰')
			{
				source = hero,
				skill = skill,
				time =  self.v1,
				pulse = self.v1,
				is_damage_on_add = false,
                damage = self.damage,
			}
        end
    end)
end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通用变量</vt:lpstr>
      <vt:lpstr>通用回调</vt:lpstr>
      <vt:lpstr>技能模板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2020-02-25T15:59:19Z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2052-11.1.0.9305</vt:lpwstr>
  </property>
</Properties>
</file>