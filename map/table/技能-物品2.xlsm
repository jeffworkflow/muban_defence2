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C66691EA-93BC-44F8-B037-B7CB65BEBC62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  <sheet name="技能模板" sheetId="32" r:id="rId4"/>
  </sheets>
  <functionGroups builtInGroupCount="19"/>
  <definedNames>
    <definedName name="_xlnm._FilterDatabase" localSheetId="0" hidden="1">Sheet3!$A$3:$U$50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" i="32" l="1"/>
  <c r="G8" i="32"/>
  <c r="G9" i="32"/>
  <c r="G14" i="32"/>
  <c r="G15" i="32"/>
  <c r="G16" i="32"/>
  <c r="G17" i="32"/>
  <c r="G13" i="32"/>
  <c r="G3" i="32"/>
  <c r="K47" i="27" l="1"/>
  <c r="K48" i="27"/>
  <c r="K49" i="27"/>
  <c r="K50" i="27"/>
  <c r="K46" i="27"/>
  <c r="K45" i="27"/>
  <c r="K44" i="27"/>
  <c r="K43" i="27"/>
  <c r="K42" i="27"/>
  <c r="K41" i="27"/>
  <c r="K36" i="27"/>
  <c r="K37" i="27"/>
  <c r="K38" i="27"/>
  <c r="K39" i="27"/>
  <c r="K40" i="27"/>
  <c r="K35" i="27"/>
  <c r="K34" i="27"/>
  <c r="K33" i="27"/>
  <c r="K32" i="27"/>
  <c r="K31" i="27"/>
  <c r="K30" i="27"/>
  <c r="K29" i="27"/>
  <c r="K28" i="27"/>
  <c r="K27" i="27"/>
  <c r="K26" i="27"/>
  <c r="K25" i="27"/>
  <c r="K24" i="27"/>
  <c r="K23" i="27"/>
  <c r="K22" i="27"/>
  <c r="K21" i="27"/>
  <c r="K20" i="27"/>
  <c r="K19" i="27"/>
  <c r="K18" i="27"/>
  <c r="K17" i="27"/>
  <c r="K16" i="27"/>
  <c r="K15" i="27"/>
  <c r="K14" i="27"/>
  <c r="K13" i="27"/>
  <c r="K12" i="27"/>
  <c r="K11" i="27"/>
  <c r="K10" i="27"/>
  <c r="K9" i="27"/>
  <c r="K8" i="27"/>
  <c r="K7" i="27"/>
  <c r="K6" i="27"/>
  <c r="K5" i="27"/>
  <c r="K4" i="27"/>
  <c r="G4" i="32" l="1"/>
</calcChain>
</file>

<file path=xl/sharedStrings.xml><?xml version="1.0" encoding="utf-8"?>
<sst xmlns="http://schemas.openxmlformats.org/spreadsheetml/2006/main" count="584" uniqueCount="318">
  <si>
    <t>string</t>
  </si>
  <si>
    <t>not_title</t>
  </si>
  <si>
    <t>[[]]</t>
  </si>
  <si>
    <t>名字</t>
  </si>
  <si>
    <t>生成文件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</si>
  <si>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</si>
  <si>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</si>
  <si>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</si>
  <si>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t>忽略技能冷却</t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</si>
  <si>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</si>
  <si>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施法范围</t>
    </r>
  </si>
  <si>
    <t>属性加成</t>
  </si>
  <si>
    <r>
      <rPr>
        <sz val="11"/>
        <rFont val="宋体"/>
        <family val="3"/>
        <charset val="134"/>
      </rPr>
      <t>介绍</t>
    </r>
  </si>
  <si>
    <t>特效</t>
  </si>
  <si>
    <r>
      <rPr>
        <sz val="11"/>
        <rFont val="宋体"/>
        <family val="3"/>
        <charset val="134"/>
      </rPr>
      <t>特效1</t>
    </r>
  </si>
  <si>
    <t>特效2</t>
  </si>
  <si>
    <t>特效3</t>
  </si>
  <si>
    <t>passive</t>
  </si>
  <si>
    <t>cost</t>
  </si>
  <si>
    <t>cool</t>
  </si>
  <si>
    <t>ignore_cool_save</t>
  </si>
  <si>
    <t>area</t>
  </si>
  <si>
    <t>tip</t>
  </si>
  <si>
    <t>art</t>
  </si>
  <si>
    <t>effect</t>
  </si>
  <si>
    <t>effect1</t>
  </si>
  <si>
    <t>effect2</t>
  </si>
  <si>
    <t>effect3</t>
  </si>
  <si>
    <t>effect4</t>
  </si>
  <si>
    <t>true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</si>
  <si>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</si>
  <si>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 xml:space="preserve">    level = 1,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</si>
  <si>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最大等级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</si>
  <si>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触发几率</t>
    </r>
  </si>
  <si>
    <r>
      <rPr>
        <sz val="11"/>
        <rFont val="Consolas"/>
        <family val="3"/>
      </rP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</si>
  <si>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伤害范围</t>
    </r>
  </si>
  <si>
    <t xml:space="preserve">   damage_area = 500,</t>
  </si>
  <si>
    <t xml:space="preserve">    local hero = self.owner</t>
  </si>
  <si>
    <t xml:space="preserve">    local p = hero:get_owner()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</si>
  <si>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</si>
  <si>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</si>
  <si>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</si>
  <si>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</si>
  <si>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</si>
  <si>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</si>
  <si>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number</t>
    <phoneticPr fontId="13" type="noConversion"/>
  </si>
  <si>
    <t>类型</t>
  </si>
  <si>
    <t>套装</t>
  </si>
  <si>
    <t>品质</t>
  </si>
  <si>
    <t>图标</t>
  </si>
  <si>
    <t>售价</t>
  </si>
  <si>
    <t>备注</t>
    <phoneticPr fontId="13" type="noConversion"/>
  </si>
  <si>
    <t>业务技能代码</t>
    <phoneticPr fontId="13" type="noConversion"/>
  </si>
  <si>
    <t>item_type</t>
  </si>
  <si>
    <t>suit_type</t>
  </si>
  <si>
    <t>gold</t>
  </si>
  <si>
    <t>damage</t>
    <phoneticPr fontId="13" type="noConversion"/>
  </si>
  <si>
    <t>锯齿短匕</t>
    <phoneticPr fontId="13" type="noConversion"/>
  </si>
  <si>
    <t>装备</t>
  </si>
  <si>
    <t>白</t>
    <phoneticPr fontId="13" type="noConversion"/>
  </si>
  <si>
    <t>item\jineng101.blp</t>
    <phoneticPr fontId="13" type="noConversion"/>
  </si>
  <si>
    <t>Abilities\Spells\NightElf\FaerieFire\FaerieFireTarget.mdl</t>
    <phoneticPr fontId="13" type="noConversion"/>
  </si>
  <si>
    <t>模型放怪物头上
唯一被动-锋锐，不叠加
当怪物同时只会受到一个锋锐的效果</t>
    <phoneticPr fontId="13" type="noConversion"/>
  </si>
  <si>
    <t>穿透炮弹</t>
    <phoneticPr fontId="13" type="noConversion"/>
  </si>
  <si>
    <t>蓝</t>
    <phoneticPr fontId="13" type="noConversion"/>
  </si>
  <si>
    <t>item\jineng201.blp</t>
    <phoneticPr fontId="13" type="noConversion"/>
  </si>
  <si>
    <t>黄昏之刃</t>
    <phoneticPr fontId="13" type="noConversion"/>
  </si>
  <si>
    <t>金</t>
    <phoneticPr fontId="13" type="noConversion"/>
  </si>
  <si>
    <t>item\jineng301.blp</t>
    <phoneticPr fontId="13" type="noConversion"/>
  </si>
  <si>
    <t>玛莫提乌斯之噬</t>
    <phoneticPr fontId="13" type="noConversion"/>
  </si>
  <si>
    <t>红</t>
    <phoneticPr fontId="13" type="noConversion"/>
  </si>
  <si>
    <t>item\jineng401.blp</t>
    <phoneticPr fontId="13" type="noConversion"/>
  </si>
  <si>
    <t>王者之刃</t>
    <phoneticPr fontId="13" type="noConversion"/>
  </si>
  <si>
    <t>黑</t>
    <phoneticPr fontId="13" type="noConversion"/>
  </si>
  <si>
    <t>item\jineng501.blp</t>
    <phoneticPr fontId="13" type="noConversion"/>
  </si>
  <si>
    <t>火焰宝珠</t>
    <phoneticPr fontId="13" type="noConversion"/>
  </si>
  <si>
    <t>ReplaceableTextures\CommandButtons\BTNOrbOfFire.blp</t>
    <phoneticPr fontId="13" type="noConversion"/>
  </si>
  <si>
    <t>function(self)
  return (10000)* self.level
end</t>
    <phoneticPr fontId="13" type="noConversion"/>
  </si>
  <si>
    <t>Abilities\Spells\NightElf\Immolation\ImmolationTarget.mdl</t>
    <phoneticPr fontId="13" type="noConversion"/>
  </si>
  <si>
    <t>宠物携带无效
模型放怪物身上
唯一被动-献祭，不叠加，真实伤害
当怪物同时只会受到一个献祭的效果</t>
    <phoneticPr fontId="13" type="noConversion"/>
  </si>
  <si>
    <t>火焰风衣</t>
  </si>
  <si>
    <t>ReplaceableTextures\CommandButtons\BTNCloakOfFlames.blp</t>
    <phoneticPr fontId="13" type="noConversion"/>
  </si>
  <si>
    <t>function(self)
  return (100000)* self.level
end</t>
    <phoneticPr fontId="13" type="noConversion"/>
  </si>
  <si>
    <t>赤炎披风</t>
    <phoneticPr fontId="13" type="noConversion"/>
  </si>
  <si>
    <t>item\jineng302.blp</t>
    <phoneticPr fontId="13" type="noConversion"/>
  </si>
  <si>
    <t>function(self)
  return (1000000)* self.level
end</t>
    <phoneticPr fontId="13" type="noConversion"/>
  </si>
  <si>
    <t>邪焰披风</t>
    <phoneticPr fontId="13" type="noConversion"/>
  </si>
  <si>
    <t>item\jineng402.blp</t>
    <phoneticPr fontId="13" type="noConversion"/>
  </si>
  <si>
    <t>function(self)
  return (10000000)* self.level
end</t>
    <phoneticPr fontId="13" type="noConversion"/>
  </si>
  <si>
    <t>真·邪焰披风</t>
    <phoneticPr fontId="13" type="noConversion"/>
  </si>
  <si>
    <t>item\jineng502.blp</t>
    <phoneticPr fontId="13" type="noConversion"/>
  </si>
  <si>
    <t>function(self)
  return (50000000)* self.level
end</t>
    <phoneticPr fontId="13" type="noConversion"/>
  </si>
  <si>
    <t>附魔匕首</t>
    <phoneticPr fontId="13" type="noConversion"/>
  </si>
  <si>
    <t>item\jineng103.blp</t>
    <phoneticPr fontId="13" type="noConversion"/>
  </si>
  <si>
    <t>function(self)
  return (self.owner:get('攻击')*5+10000)* self.level
end</t>
    <phoneticPr fontId="13" type="noConversion"/>
  </si>
  <si>
    <t>AA_bwaxec.mdx</t>
    <phoneticPr fontId="13" type="noConversion"/>
  </si>
  <si>
    <t>在目标点释放模型，范围500</t>
    <phoneticPr fontId="13" type="noConversion"/>
  </si>
  <si>
    <t>附魔大刀</t>
    <phoneticPr fontId="13" type="noConversion"/>
  </si>
  <si>
    <t>item\jineng203.blp</t>
    <phoneticPr fontId="13" type="noConversion"/>
  </si>
  <si>
    <t>function(self)
  return (self.owner:get('攻击')*10+100000)* self.level
end</t>
    <phoneticPr fontId="13" type="noConversion"/>
  </si>
  <si>
    <t>灼热之刃</t>
    <phoneticPr fontId="13" type="noConversion"/>
  </si>
  <si>
    <t>ReplaceableTextures\CommandButtons\BTNArcaniteMelee.blp</t>
    <phoneticPr fontId="13" type="noConversion"/>
  </si>
  <si>
    <t>function(self)
  return (self.owner:get('攻击')*20+1000000)* self.level
end</t>
    <phoneticPr fontId="13" type="noConversion"/>
  </si>
  <si>
    <t>在目标点释放模型，范围500</t>
  </si>
  <si>
    <t>毁灭之刃</t>
    <phoneticPr fontId="13" type="noConversion"/>
  </si>
  <si>
    <t>item\jineng403.blp</t>
    <phoneticPr fontId="13" type="noConversion"/>
  </si>
  <si>
    <t>function(self)
  return (self.owner:get('攻击')*40+10000000)* self.level
end</t>
    <phoneticPr fontId="13" type="noConversion"/>
  </si>
  <si>
    <t>真·毁灭之刃</t>
    <phoneticPr fontId="13" type="noConversion"/>
  </si>
  <si>
    <t>item\jineng503.blp</t>
    <phoneticPr fontId="13" type="noConversion"/>
  </si>
  <si>
    <t>function(self)
  return (self.owner:get('攻击')*80+100000000)* self.level
end</t>
    <phoneticPr fontId="13" type="noConversion"/>
  </si>
  <si>
    <t>v1</t>
    <phoneticPr fontId="13" type="noConversion"/>
  </si>
  <si>
    <t>攻击有概率造成范围伤害</t>
    <phoneticPr fontId="13" type="noConversion"/>
  </si>
  <si>
    <t>技能文本</t>
    <phoneticPr fontId="13" type="noConversion"/>
  </si>
  <si>
    <t>在哪创建特效(填hero 或 target)</t>
    <phoneticPr fontId="13" type="noConversion"/>
  </si>
  <si>
    <t>概率</t>
    <phoneticPr fontId="13" type="noConversion"/>
  </si>
  <si>
    <t xml:space="preserve">   max_level = 15,</t>
    <phoneticPr fontId="13" type="noConversion"/>
  </si>
  <si>
    <t>每隔几秒周围造成伤害</t>
    <phoneticPr fontId="13" type="noConversion"/>
  </si>
  <si>
    <t>target</t>
    <phoneticPr fontId="13" type="noConversion"/>
  </si>
  <si>
    <t>}
function mt:on_add()
    local skill = self
    local hero = self.owner 
    if not hero:is_hero() then return end
    self.trg = hero:loop(1000,function ()
		if not hero:is_alive() then return end 
        for i, u in ac.selector()
            : in_range(hero,self.area)
            : is_enemy(hero)
			: of_not_building()
			: ipairs()
        do 
            u:add_buff('火焰')
			{
				source = hero,
				skill = skill,
				time =  self.v1,
				pulse = self.v1,
				is_damage_on_add = false,
                damage = self.damage,
			}
        end
    end)
end</t>
  </si>
  <si>
    <t>小剑</t>
    <phoneticPr fontId="13" type="noConversion"/>
  </si>
  <si>
    <t>逐风者之剑</t>
    <phoneticPr fontId="13" type="noConversion"/>
  </si>
  <si>
    <t>风吟长剑</t>
    <phoneticPr fontId="13" type="noConversion"/>
  </si>
  <si>
    <t>凤凰之怒</t>
    <phoneticPr fontId="13" type="noConversion"/>
  </si>
  <si>
    <t>真·凤凰之怒</t>
    <phoneticPr fontId="13" type="noConversion"/>
  </si>
  <si>
    <t>分身斧</t>
    <phoneticPr fontId="13" type="noConversion"/>
  </si>
  <si>
    <t>分身战刃</t>
    <phoneticPr fontId="13" type="noConversion"/>
  </si>
  <si>
    <t>幻影斧</t>
    <phoneticPr fontId="13" type="noConversion"/>
  </si>
  <si>
    <t>幻影战刃</t>
    <phoneticPr fontId="13" type="noConversion"/>
  </si>
  <si>
    <t>真·幻影战刃</t>
    <phoneticPr fontId="13" type="noConversion"/>
  </si>
  <si>
    <t>点金手</t>
    <phoneticPr fontId="13" type="noConversion"/>
  </si>
  <si>
    <t>印钞手</t>
    <phoneticPr fontId="13" type="noConversion"/>
  </si>
  <si>
    <t>风暴狮角</t>
    <phoneticPr fontId="13" type="noConversion"/>
  </si>
  <si>
    <t>战歌之鼓</t>
    <phoneticPr fontId="13" type="noConversion"/>
  </si>
  <si>
    <t>联盟旗帜</t>
    <phoneticPr fontId="13" type="noConversion"/>
  </si>
  <si>
    <t>号令之旗</t>
    <phoneticPr fontId="13" type="noConversion"/>
  </si>
  <si>
    <t>真·号令之旗</t>
    <phoneticPr fontId="13" type="noConversion"/>
  </si>
  <si>
    <t>收益</t>
    <phoneticPr fontId="13" type="noConversion"/>
  </si>
  <si>
    <t>item\jineng104.blp</t>
    <phoneticPr fontId="13" type="noConversion"/>
  </si>
  <si>
    <t>Abilities\Spells\Undead\UnholyFrenzy\UnholyFrenzyTarget.mdl</t>
  </si>
  <si>
    <t>模型放英雄头上</t>
    <phoneticPr fontId="13" type="noConversion"/>
  </si>
  <si>
    <t>item\jineng204.blp</t>
    <phoneticPr fontId="13" type="noConversion"/>
  </si>
  <si>
    <t>item\jineng304.blp</t>
    <phoneticPr fontId="13" type="noConversion"/>
  </si>
  <si>
    <t>item\jineng404.blp</t>
    <phoneticPr fontId="13" type="noConversion"/>
  </si>
  <si>
    <t>item\jineng504.blp</t>
    <phoneticPr fontId="13" type="noConversion"/>
  </si>
  <si>
    <t>item\jineng105.blp</t>
    <phoneticPr fontId="13" type="noConversion"/>
  </si>
  <si>
    <t>参考技能“不朽镜像”
攻击、护甲、生命上限继承公式：0.4+0.04*Lv
其它属性=英雄</t>
    <phoneticPr fontId="13" type="noConversion"/>
  </si>
  <si>
    <t>item\jineng205.blp</t>
    <phoneticPr fontId="13" type="noConversion"/>
  </si>
  <si>
    <t>参考技能“不朽镜像”
攻击、护甲、生命上限继承公式：0.5+0.05*Lv
其它属性=英雄</t>
    <phoneticPr fontId="13" type="noConversion"/>
  </si>
  <si>
    <t>item\jineng305.blp</t>
    <phoneticPr fontId="13" type="noConversion"/>
  </si>
  <si>
    <t>参考技能“不朽镜像”
攻击、护甲、生命上限继承公式：0.6+0.06*Lv
其它属性=英雄</t>
    <phoneticPr fontId="13" type="noConversion"/>
  </si>
  <si>
    <t>item\jineng405.blp</t>
    <phoneticPr fontId="13" type="noConversion"/>
  </si>
  <si>
    <t>参考技能“不朽镜像”
攻击、护甲、生命上限继承公式：0.7+0.07*Lv
其它属性=英雄</t>
    <phoneticPr fontId="13" type="noConversion"/>
  </si>
  <si>
    <t>item\jineng505.blp</t>
    <phoneticPr fontId="13" type="noConversion"/>
  </si>
  <si>
    <t>参考技能“不朽镜像”
攻击、护甲、生命上限继承公式：0.8+0.08*Lv
其它属性=英雄</t>
    <phoneticPr fontId="13" type="noConversion"/>
  </si>
  <si>
    <t>item\dianjin.blp</t>
    <phoneticPr fontId="13" type="noConversion"/>
  </si>
  <si>
    <t>|cffffff00【点金术】|r能立即杀死非BOSS类的单位，并获得该单位赏金*Lv*15的奖励</t>
    <phoneticPr fontId="13" type="noConversion"/>
  </si>
  <si>
    <t>主动使用，施法距离=1000</t>
    <phoneticPr fontId="13" type="noConversion"/>
  </si>
  <si>
    <t>|cffffff00【点金术】|r能立即杀死指定范围内的非BOSS类的单位，并获得该单位赏金*Lv*15的奖励</t>
    <phoneticPr fontId="13" type="noConversion"/>
  </si>
  <si>
    <t>ReplaceableTextures\CommandButtons\BTNLionHorn.blp</t>
    <phoneticPr fontId="13" type="noConversion"/>
  </si>
  <si>
    <t>ReplaceableTextures\CommandButtons\BTNDrum.blp</t>
    <phoneticPr fontId="13" type="noConversion"/>
  </si>
  <si>
    <t>ReplaceableTextures\CommandButtons\BTNHumanCaptureFlag.blp</t>
    <phoneticPr fontId="13" type="noConversion"/>
  </si>
  <si>
    <t>item\jineng406.blp</t>
    <phoneticPr fontId="13" type="noConversion"/>
  </si>
  <si>
    <t>item\jineng506.blp</t>
    <phoneticPr fontId="13" type="noConversion"/>
  </si>
  <si>
    <t>冰晶法杖</t>
    <phoneticPr fontId="13" type="noConversion"/>
  </si>
  <si>
    <t>魔力法杖</t>
    <phoneticPr fontId="13" type="noConversion"/>
  </si>
  <si>
    <t>朱雀羽</t>
    <phoneticPr fontId="13" type="noConversion"/>
  </si>
  <si>
    <t>安东尼的法杖</t>
    <phoneticPr fontId="13" type="noConversion"/>
  </si>
  <si>
    <t>真·安东尼的法杖</t>
    <phoneticPr fontId="13" type="noConversion"/>
  </si>
  <si>
    <t>item\jineng107.blp</t>
    <phoneticPr fontId="13" type="noConversion"/>
  </si>
  <si>
    <t>item\jineng207.blp</t>
    <phoneticPr fontId="13" type="noConversion"/>
  </si>
  <si>
    <t>item\jineng307.blp</t>
    <phoneticPr fontId="13" type="noConversion"/>
  </si>
  <si>
    <t>item\jineng407.blp</t>
    <phoneticPr fontId="13" type="noConversion"/>
  </si>
  <si>
    <t>item\jineng507.blp</t>
    <phoneticPr fontId="13" type="noConversion"/>
  </si>
  <si>
    <t>Abilities\Spells\Undead\FrostNova.mdl</t>
    <phoneticPr fontId="13" type="noConversion"/>
  </si>
  <si>
    <t>模型放目标敌人身上，伤害范围500
减少移动速度持续时间0.75秒，不可叠加</t>
    <phoneticPr fontId="13" type="noConversion"/>
  </si>
  <si>
    <t>对目标周围500码随机选择5个敌人造成伤害，闪电链效果，路径lightnings\drainmanalightning.blp</t>
    <phoneticPr fontId="13" type="noConversion"/>
  </si>
  <si>
    <t>Abilities\Spells\Other\BreathOfFire\BreathOfFireMissile.mdl</t>
    <phoneticPr fontId="13" type="noConversion"/>
  </si>
  <si>
    <t>参考 火焰呼吸；</t>
    <phoneticPr fontId="13" type="noConversion"/>
  </si>
  <si>
    <t>精灵战弓</t>
    <phoneticPr fontId="13" type="noConversion"/>
  </si>
  <si>
    <t>反曲弓</t>
    <phoneticPr fontId="13" type="noConversion"/>
  </si>
  <si>
    <t>石化妖弓</t>
    <phoneticPr fontId="13" type="noConversion"/>
  </si>
  <si>
    <t>索利达尔-群星之怒</t>
    <phoneticPr fontId="13" type="noConversion"/>
  </si>
  <si>
    <t>群星之怒</t>
    <phoneticPr fontId="13" type="noConversion"/>
  </si>
  <si>
    <t>item\jineng108.blp</t>
    <phoneticPr fontId="13" type="noConversion"/>
  </si>
  <si>
    <t>item\jineng208.blp</t>
    <phoneticPr fontId="13" type="noConversion"/>
  </si>
  <si>
    <t>item\jineng308.blp</t>
    <phoneticPr fontId="13" type="noConversion"/>
  </si>
  <si>
    <t>item\jineng408.blp</t>
    <phoneticPr fontId="13" type="noConversion"/>
  </si>
  <si>
    <t>item\jineng508.blp</t>
    <phoneticPr fontId="13" type="noConversion"/>
  </si>
  <si>
    <t>function(self)
  return (50000)* self.level
end</t>
    <phoneticPr fontId="13" type="noConversion"/>
  </si>
  <si>
    <t>function(self)
  return (500000)* self.level
end</t>
    <phoneticPr fontId="13" type="noConversion"/>
  </si>
  <si>
    <t>function(self)
  return (5000000)* self.level
end</t>
    <phoneticPr fontId="13" type="noConversion"/>
  </si>
  <si>
    <t>function(self)
  return (100000000)* self.level
end</t>
    <phoneticPr fontId="13" type="noConversion"/>
  </si>
  <si>
    <t>闪电链效果，路径lightnings\DrainLightning.blp</t>
    <phoneticPr fontId="13" type="noConversion"/>
  </si>
  <si>
    <t>魔鬼金矿</t>
    <phoneticPr fontId="13" type="noConversion"/>
  </si>
  <si>
    <t xml:space="preserve"> ['杀敌数加成'] = 60,
 ['物品获取率'] = 60,
 ['木头加成'] = 60,
 ['魔丸加成'] = 60,</t>
    <phoneticPr fontId="13" type="noConversion"/>
  </si>
  <si>
    <t>mgjk.blp</t>
    <phoneticPr fontId="13" type="noConversion"/>
  </si>
  <si>
    <t>jubaopen.blp</t>
    <phoneticPr fontId="13" type="noConversion"/>
  </si>
  <si>
    <t xml:space="preserve">
|cffcccccc金矿被魔鬼占据之后，侍僧才可以从中采集黄金资源。
|cffffff00+%杀敌数加成% %|r 杀敌数加成
|cffffff00+%物品获取率% %|r 物品获取率
|cffffff00+%木头加成% %|r  木头加成
|cffffff00+%魔丸加成% %|r  魔丸加成</t>
    <phoneticPr fontId="13" type="noConversion"/>
  </si>
  <si>
    <t>随机装备：纯随机，品质=白-红</t>
    <phoneticPr fontId="13" type="noConversion"/>
  </si>
  <si>
    <t>小聚宝盆</t>
    <phoneticPr fontId="13" type="noConversion"/>
  </si>
  <si>
    <t>中聚宝盆</t>
    <phoneticPr fontId="13" type="noConversion"/>
  </si>
  <si>
    <t>大聚宝盆</t>
    <phoneticPr fontId="13" type="noConversion"/>
  </si>
  <si>
    <t>沈万三的聚宝盆</t>
    <phoneticPr fontId="13" type="noConversion"/>
  </si>
  <si>
    <t>攻击有概率造成buff加成</t>
    <phoneticPr fontId="13" type="noConversion"/>
  </si>
  <si>
    <t>v1</t>
  </si>
  <si>
    <t>v2</t>
    <phoneticPr fontId="13" type="noConversion"/>
  </si>
  <si>
    <t>v3</t>
    <phoneticPr fontId="13" type="noConversion"/>
  </si>
  <si>
    <t>属性名</t>
    <phoneticPr fontId="13" type="noConversion"/>
  </si>
  <si>
    <t>值</t>
    <phoneticPr fontId="13" type="noConversion"/>
  </si>
  <si>
    <t>持续</t>
    <phoneticPr fontId="13" type="noConversion"/>
  </si>
  <si>
    <t>护甲%</t>
    <phoneticPr fontId="13" type="noConversion"/>
  </si>
  <si>
    <t>攻击速度</t>
    <phoneticPr fontId="13" type="noConversion"/>
  </si>
  <si>
    <t>攻击间隔</t>
    <phoneticPr fontId="13" type="noConversion"/>
  </si>
  <si>
    <t>名字</t>
    <phoneticPr fontId="13" type="noConversion"/>
  </si>
  <si>
    <t>攻击有概率召唤</t>
    <phoneticPr fontId="13" type="noConversion"/>
  </si>
  <si>
    <t>属性公式</t>
    <phoneticPr fontId="13" type="noConversion"/>
  </si>
  <si>
    <t>0.4+0.04*self.level</t>
    <phoneticPr fontId="13" type="noConversion"/>
  </si>
  <si>
    <t>0.5+0.05*self.level</t>
    <phoneticPr fontId="13" type="noConversion"/>
  </si>
  <si>
    <t>0.6+0.06*self.level</t>
    <phoneticPr fontId="13" type="noConversion"/>
  </si>
  <si>
    <t>0.7+0.07*self.level</t>
    <phoneticPr fontId="13" type="noConversion"/>
  </si>
  <si>
    <t>0.8+0.08*self.level</t>
    <phoneticPr fontId="13" type="noConversion"/>
  </si>
  <si>
    <t>目标</t>
    <phoneticPr fontId="13" type="noConversion"/>
  </si>
  <si>
    <t>hero</t>
    <phoneticPr fontId="13" type="noConversion"/>
  </si>
  <si>
    <t>ignore_file</t>
    <phoneticPr fontId="13" type="noConversion"/>
  </si>
  <si>
    <t>}
mt.event_name = '造成伤害效果'
mt.chance = mt.v1
function mt:damage_start(damage)
    local skill = self
    local hero = self.owner
    local p = hero:get_owner()
    local target = damage.target
	if not damage:is_common_attack()  then 
		return 
	end 
	ac.effect_ex{
	    model = skill.effect,
	    point = target:get_point(),
	}:remove()
	for i, u in ac.selector()
		: in_range(target,self.damage_area)
		: is_enemy(hero)
		: ipairs()
	do
		u:damage
		{
			source = hero,
			skill = skill,
			damage = skill.damage,
			damage_type = '法术'
		}
	end	
end</t>
  </si>
  <si>
    <t>}</t>
    <phoneticPr fontId="13" type="noConversion"/>
  </si>
  <si>
    <t>}
mt.event_name = '造成伤害效果'
mt.chance = mt.v1
mt.attr = '护甲%'
mt.time = mt.v3
function mt:damage_start(damage)
    local skill = self
    local hero = self.owner
    local p = hero:get_owner()
    local target = damage.target
    self.value = self.v2
	if not damage:is_common_attack()  then 
		return 
	end 
	target:add_buff('属性_'..self.attr) {
		time = self.time,
		value= self.value
	}
end</t>
  </si>
  <si>
    <t xml:space="preserve"> ['攻击'] = 2000000,
v1 = {6,20},
v2 = {-2.5,-5},
v3 = 0.5,</t>
  </si>
  <si>
    <t>}
mt.event_name = '造成伤害效果'
mt.chance = mt.v1
mt.attr = '攻击速度'
mt.time = mt.v3
function mt:damage_start(damage)
    local skill = self
    local hero = self.owner
    local p = hero:get_owner()
    local target = damage.target
    self.value = self.v2
	if not damage:is_common_attack()  then 
		return 
	end 
	hero:add_buff('属性_'..self.attr) {
		time = self.time,
		value= self.value
	}
end</t>
  </si>
  <si>
    <t>}
mt.event_name = '造成伤害效果'
mt.chance = mt.v1
mt.attr = '攻击间隔'
mt.time = mt.v3
function mt:damage_start(damage)
    local skill = self
    local hero = self.owner
    local p = hero:get_owner()
    local target = damage.target
    self.value = self.v2
	if not damage:is_common_attack()  then 
		return 
	end 
	hero:add_buff('属性_'..self.attr) {
		time = self.time,
		value= self.value
	}
end</t>
  </si>
  <si>
    <t>}
mt.event_name = '造成伤害效果'
mt.chance = mt.v1
function mt:damage_start(damage)
	self.value = 0.4+0.04*self.level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t>
  </si>
  <si>
    <t>}
mt.event_name = '造成伤害效果'
mt.chance = mt.v1
function mt:damage_start(damage)
	self.value = 0.5+0.05*self.level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t>
  </si>
  <si>
    <t>}
mt.event_name = '造成伤害效果'
mt.chance = mt.v1
function mt:damage_start(damage)
	self.value = 0.6+0.06*self.level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t>
  </si>
  <si>
    <t>}
mt.event_name = '造成伤害效果'
mt.chance = mt.v1
function mt:damage_start(damage)
	self.value = 0.7+0.07*self.level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t>
  </si>
  <si>
    <t>}
mt.event_name = '造成伤害效果'
mt.chance = mt.v1
function mt:damage_start(damage)
	self.value = 0.8+0.08*self.level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t>
  </si>
  <si>
    <t>|cffffff00+%攻击%|r 攻击
|cffffff00【唯一被动-锋锐】|r攻击 %v1% %几率减少敌人 %v2% % 的护甲，持续%v3%S</t>
  </si>
  <si>
    <t xml:space="preserve"> ['攻击'] = 6000000,
 ['攻击速度'] = 25,
v1 = {6,20},
v2 = {3.5,7.5},
v3 = 0.5,</t>
  </si>
  <si>
    <t>|cffffff00+%攻击%|r 攻击
|cffffff00+%攻击速度% %|r 攻击速度
|cffffff00【唯一被动-锋锐】|r攻击 %v1% %几率减少敌人 %v2% % 的护甲，持续%v3%S</t>
  </si>
  <si>
    <t xml:space="preserve"> ['攻击'] = 20000000,
 ['攻击速度'] = 35,
v1 = {6,20},
v2 = {4.5,10},
v3 = 0.5,</t>
  </si>
  <si>
    <t xml:space="preserve"> ['攻击'] = 60000000,
 ['攻击速度'] = 45,
 ['技能冷却'] = 5,
v1 = {6,20},
v2 = {5.5,12.5},
v3 = 0.5,</t>
  </si>
  <si>
    <t>|cffffff00+%攻击%|r 攻击
|cffffff00+%攻击速度% %|r 攻击速度
|cffffff00+%技能冷却% %|r 技能冷却
|cffffff00【唯一被动-锋锐】|r攻击 %v1% %几率减少敌人 %v2% % 的护甲，持续%v3%S</t>
  </si>
  <si>
    <t xml:space="preserve"> ['攻击'] = 200000000,
 ['攻击速度'] = 55,
['技能冷却'] = 10,
v1 = {6,20},
v2 = {6.5,15},
v3 = 0.5,</t>
  </si>
  <si>
    <t>|cffcccccc在年华里沉睡的王者之刃,带着一腔热情与愤恨,将迎来它真正的主人,再度走向王城
|cffffff00+%攻击%|r 攻击
|cffffff00+%攻击速度% %|r 攻击速度
|cffffff00+%技能冷却% %|r 技能冷却
|cffffff00【唯一被动-锋锐】|r攻击 %v1% %几率减少敌人 %v2% % 的护甲，持续%v3%S</t>
  </si>
  <si>
    <t xml:space="preserve"> ['力量'] = 1000000,
v1 = {1,0.5},</t>
  </si>
  <si>
    <t>|cffffff00+%力量%|r 力量
|cffffff00【唯一被动-献祭】|r每隔%v1% 秒能对周围敌人造成%damage%点真实伤害</t>
  </si>
  <si>
    <t xml:space="preserve"> ['力量'] = 3000000,
 ['护甲'] = 1500,
v1 = {1,0.5},</t>
  </si>
  <si>
    <t>|cffffff00+%力量%|r 力量
|cffffff00+%护甲%|r 护甲
|cffffff00【唯一被动-献祭】|r每隔%v1% 秒能对周围敌人造成%damage%点真实伤害</t>
  </si>
  <si>
    <t xml:space="preserve"> ['力量'] = 9000000,
 ['护甲'] = 4500,
v1 = {1,0.5},</t>
  </si>
  <si>
    <t xml:space="preserve"> ['力量'] = 27000000,
 ['护甲'] = 12500,
['减伤'] = 2.5,
v1 = {1,0.5},</t>
  </si>
  <si>
    <t>|cffffff00+%力量%|r 力量
|cffffff00+%护甲%|r 护甲
|cffffff00+%减伤% %|r 减伤
|cffffff00【唯一被动-献祭】|r每隔%v1% 秒能对周围敌人造成%damage%点真实伤害</t>
  </si>
  <si>
    <t xml:space="preserve"> ['力量'] = 80000000,
 ['护甲'] = 32500,
['减伤'] = 5,
v1 = {1,0.5},</t>
  </si>
  <si>
    <t>|cffcccccc一团幽蓝色的火焰正在跳动，在它周围，有一个黑色的魅影静静地把它拥抱
|cffffff00+%力量%|r 力量
|cffffff00+%护甲%|r 护甲
|cffffff00+%减伤% %|r 减伤
|cffffff00【唯一被动-献祭】|r每隔%v1% 秒能对周围敌人造成%damage%点真实伤害</t>
  </si>
  <si>
    <t xml:space="preserve"> ['攻击'] = 2000000,
v1 = {6,20},
v2 = {10000,150000},
v3 = {5,75},</t>
  </si>
  <si>
    <t>|cffffff00+%攻击%|r 攻击
|cffffff00【被动-附魔】|r攻击 %v1% %几率对敌人造成 %v2% +%v3% *攻击力的范围技能伤害</t>
  </si>
  <si>
    <t xml:space="preserve"> ['攻击'] = 6000000,
 ['技能基础伤害'] = 3000000,
v1 = {6,20},
v2 = {100000,1500000},
v3 = {10,150},</t>
  </si>
  <si>
    <t>|cffffff00+%攻击%|r 攻击
|cffffff00+%技能基础伤害%|r 技能基础伤害
|cffffff00【被动-附魔】|r攻击 %v1% %几率对敌人造成 %v2% +%v3% *攻击力的范围技能伤害</t>
  </si>
  <si>
    <t xml:space="preserve"> ['攻击'] = 20000000,
 ['技能基础伤害'] = 6000000,
 ['全伤加深'] = 2.5,
v1 = {6,20},
v2 = {1000000,15000000},
v3 = {20,300},</t>
  </si>
  <si>
    <t>|cffffff00+%攻击%|r 攻击
|cffffff00+%技能基础伤害%|r 技能基础伤害
|cffffff00+%全伤加深%|r 全伤加深
|cffffff00【被动-附魔】|r攻击 %v1% %几率对敌人造成 %v2% +%v3% *攻击力的范围技能伤害</t>
  </si>
  <si>
    <t xml:space="preserve"> ['攻击'] = 60000000,
 ['技能基础伤害'] = 20000000,
 ['全伤加深'] = 5,
v1 = {6,20},
v2 = {10000000,150000000},
v3 = {40,600},</t>
  </si>
  <si>
    <t>|cffffff00+%攻击%|r 攻击
|cffffff00+%技能基础伤害%|r 技能基础伤害
|cffffff00+%全伤加深%|r 全伤加深
|cffffff00【被动-毁灭】|r攻击 %v1% %几率对敌人造成 %v2% +%v3% *攻击力的范围技能伤害</t>
  </si>
  <si>
    <t xml:space="preserve"> ['攻击'] = 200000000,
 ['技能基础伤害'] = 60000000,
 ['全伤加深'] = 10,
v1 = {6,20},
v2 = {100000000,1500000000},
v3 = {80,1200},</t>
  </si>
  <si>
    <t>|cffcccccc 世界有生就有灭，代表生的盘古斧诞生时，代表灭的毁灭之刃也同时诞生。
|cffffff00+%攻击%|r 攻击
|cffffff00+%技能基础伤害%|r 技能基础伤害
|cffffff00+%全伤加深%|r 全伤加深
|cffffff00【被动-毁灭】|r攻击 %v1% %几率对敌人造成 %v2% +%v3% *攻击力的范围技能伤害</t>
  </si>
  <si>
    <t xml:space="preserve"> ['敏捷'] = 1000000,
v1 = {6,20},
v2 = {75,150},
v3 = 0.5,</t>
  </si>
  <si>
    <t>|cffffff00+%敏捷%|r 敏捷
|cffffff00【被动-风速】|r攻击 %v1% %几率提高 %v2% %的攻击速度，持续0.5S</t>
  </si>
  <si>
    <t xml:space="preserve"> ['敏捷'] = 3000000,
 ['攻击距离'] = 25,
v1 = {6,20},
v2 = {150,300},
v3 = 0.5,</t>
  </si>
  <si>
    <t>|cffffff00+%敏捷%|r 敏捷
|cffffff00+%攻击距离%|r 攻击距离
|cffffff00【被动-风速】|r攻击 %v1% %几率提高 %v2% %的攻击速度，持续0.5S</t>
  </si>
  <si>
    <t xml:space="preserve"> ['敏捷'] = 10000000,
 ['攻击距离'] = 50,
v1 = {6,20},
v2 = {225,450},
v3 = 0.5,</t>
  </si>
  <si>
    <t xml:space="preserve"> ['敏捷'] = 30000000,
 ['攻击距离'] = 50,
['触发概率加成'] = 5,
v1 = {6,20},
v2 = {-0.2,-0.5},
v3 = 0.5,</t>
  </si>
  <si>
    <t>|cffffff00+%敏捷%|r 敏捷
|cffffff00+%攻击距离%|r 攻击距离
|cffffff00+%触发概率加成%|r 触发概率加成
|cffffff00【被动-风速】|r攻击 %v1% %几率提高 %v2% %的攻击间隔，持续0.5S</t>
  </si>
  <si>
    <t xml:space="preserve"> ['敏捷'] = 100000000,
 ['攻击距离'] = 75,
['触发概率加成'] = 10,
['多重射'] = 1,
v1 = {6,20},
v2 = {-0.3,-0.6},
v3 = 0.5,</t>
  </si>
  <si>
    <t>|cffcccccc人道不公，伏尸百万！天道不公，焚灭诸天！
|cffffff00+%敏捷%|r 敏捷
|cffffff00+%攻击距离%|r 攻击距离
|cffffff00+%触发概率加成%|r 触发概率加成
|cffffff00+%多重射%|r 多重射
|cffffff00【被动-风速】|r攻击 %v1% %几率提高 %v2% %的攻击间隔，持续0.5S</t>
  </si>
  <si>
    <t xml:space="preserve"> ['力量'] = 1000000,
v1 = {6,20},
v2 = {5,8},</t>
  </si>
  <si>
    <t>|cffffff00+%力量%|r 力量
|cffffff00【被动-幻影】|r攻击 %v1% %几率召唤一个的镜像（强度和物品等级相关），持续 %v2%S</t>
  </si>
  <si>
    <t xml:space="preserve"> ['力量'] = 3000000,
 ['移动速度'] = 25,
v1 = {6,20},
v2 = {5,8},</t>
  </si>
  <si>
    <t>|cffffff00+%力量%|r 力量
|cffffff00+%移动速度%|r 移动速度
|cffffff00【被动-幻影】|r攻击 %v1% %几率召唤一个的镜像（强度和物品等级相关），持续 %v2%S</t>
  </si>
  <si>
    <t xml:space="preserve"> ['力量'] = 10000000,
 ['移动速度'] = 50,
v1 = {6,20},
v2 = {5,8},</t>
  </si>
  <si>
    <t xml:space="preserve"> ['力量'] = 30000000,
 ['移动速度'] = 50,
 ['物理伤害加深'] = 25,
v1 = {6,20},
v2 = {5,8},</t>
  </si>
  <si>
    <t>|cffffff00+%力量%|r 力量
|cffffff00+%移动速度%|r 移动速度
|cffffff00+%物理伤害加深%|r 物理伤害加深
|cffffff00【被动-幻影】|r攻击 %v1% %几率召唤一个的镜像（强度和物品等级相关），持续 %v2%S</t>
  </si>
  <si>
    <t xml:space="preserve"> ['力量'] = 100000000,
 ['移动速度'] = 50,
 ['物理伤害加深'] = 50,
v1 = {6,20},
v2 = {5,8},</t>
  </si>
  <si>
    <t>|cffcccccc用反光材料制成的斧头，能够混淆敌军。
|cffffff00+%力量%|r 力量
|cffffff00+%移动速度%|r 移动速度
|cffffff00+%物理伤害加深%|r 物理伤害加深
|cffffff00【被动-幻影】|r攻击 %v1% %几率召唤一个的镜像（强度和物品等级相关），持续 %v2%S</t>
  </si>
  <si>
    <t>v1 = {5,15},</t>
  </si>
  <si>
    <t xml:space="preserve">|cffffff00【唯一被动-专注】|r能给周围友军提供额外%v1% %的生命上限 </t>
  </si>
  <si>
    <t xml:space="preserve"> ['技能基础伤害'] = 1000000,
v1 = {6,20},
v2 = {10000,150000},
v3 = {5,75},
v4 = {10,25},</t>
  </si>
  <si>
    <t>|cffffff00+%技能基础伤害%|r 技能基础伤害
|cffffff00【被动-冰晶突刺】|r攻击 %v1% %几率对敌人造成 %v2% +%v3% *智力的范围技能伤害，并减少%v4% %的移动速度</t>
  </si>
  <si>
    <t xml:space="preserve"> ['技能基础伤害'] = 3000000,
 ['技能伤害加深'] = 10,
v1 = {6,20},
v2 = {100000,1500000},
v3 = {10,150},</t>
  </si>
  <si>
    <t>|cffffff00+%技能基础伤害%|r 技能基础伤害
|cffffff00+%技能伤害加深%|r 技能伤害加深
|cffffff00【被动-法力反馈】|r攻击 %v1% %几率对敌人造成 %v2% +%v3% *智力的范围技能伤害</t>
  </si>
  <si>
    <t xml:space="preserve"> ['技能基础伤害'] = 10000000,
 ['技能伤害加深'] = 20,
 ['每秒回血'] = 5,
v1 = {6,20},
v2 = {1000000,15000000},
v3 = {20,300},</t>
  </si>
  <si>
    <t>|cffffff00+%技能基础伤害%|r 技能基础伤害
|cffffff00+%技能伤害加深%|r 技能伤害加深
|cffffff00+%每秒回血%|r 每秒回血
|cffffff00【被动-朱雀炎】|r攻击 %v1% %几率对敌人造成 %v2% +%v3% *智力的范围技能伤害</t>
  </si>
  <si>
    <t xml:space="preserve"> ['技能基础伤害'] = 30000000,
 ['技能伤害加深'] = 40,
 ['每秒回血'] = 10,
['全伤加深'] = 5,
v1 = {6,20},
v2 = {10000000,150000000},
v3 = {40,600},
v4 = {15,30},</t>
  </si>
  <si>
    <t>|cffffff00+%技能基础伤害%|r 技能基础伤害
|cffffff00+%技能伤害加深%|r 技能伤害加深
|cffffff00+%每秒回血%|r 每秒回血
|cffffff00+%全伤加深%|r 全伤加深
|cffffff00【被动-冰晶突刺】|r攻击 %v1% %几率对敌人造成 %v2% +%v3% *智力的范围技能伤害，并减少%v4% %的移动速度</t>
  </si>
  <si>
    <t xml:space="preserve"> ['技能基础伤害'] = 100000000,
 ['技能伤害加深'] = 60,
 ['每秒回血'] = 10,
['全伤加深'] = 10,
v1 = {6,20},
v2 = {100000000,1500000000},
v3 = {80,1200},
v4 = {20,35},</t>
  </si>
  <si>
    <t>|cffcccccc苍穹之下，高塔之上，魔法阵在安东尼的脚下亮起，四方元素精灵开始唱和
|cffffff00+%技能基础伤害%|r 技能基础伤害
|cffffff00+%技能伤害加深%|r 技能伤害加深
|cffffff00+%每秒回血%|r 每秒回血
|cffffff00+%全伤加深%|r 全伤加深
|cffffff00【被动-冰晶突刺】|r攻击 %v1% %几率对敌人造成 %v2% +%v3% *智力的范围技能伤害，并减少%v4% %的移动速度</t>
  </si>
  <si>
    <t xml:space="preserve"> ['敏捷'] = 1000000,
v1 = {6,20},
v2 = {2,7},</t>
  </si>
  <si>
    <t>|cffffff00+%敏捷%|r 敏捷
|cffffff00【被动-多重箭】|r攻击 %v1% %几率向周围 %v2% 个单位额外射出一只的魔法箭，造成 %damage% 的真实伤害</t>
  </si>
  <si>
    <t xml:space="preserve"> ['敏捷'] = 3000000,
 ['攻击距离'] = 25,
v1 = {6,20},
v2 = {4,9},</t>
  </si>
  <si>
    <t>|cffffff00+%敏捷%|r 敏捷
|cffffff00+%攻击距离%|r 攻击距离
|cffffff00【被动-多重箭】|r攻击 %v1% %几率向周围 %v2% 个单位额外射出一只的魔法箭，造成 %damage% 的真实伤害</t>
  </si>
  <si>
    <t xml:space="preserve"> ['敏捷'] = 10000000,
 ['攻击距离'] = 50,
v1 = {6,20},
v2 = {6,11},</t>
  </si>
  <si>
    <t xml:space="preserve"> ['敏捷'] = 30000000,
 ['攻击距离'] = 50,
['物理伤害加深'] = 20,
v1 = {6,20},
v2 = {8,13},</t>
  </si>
  <si>
    <t>|cffffff00+%敏捷%|r 敏捷
|cffffff00+%攻击距离%|r 攻击距离
|cffffff00+%物理伤害加深%|r 物理伤害加深
|cffffff00【被动-多重箭】|r攻击 %v1% %几率向周围 %v2% 个单位额外射出一只的魔法箭，造成 %damage% 的真实伤害</t>
  </si>
  <si>
    <t xml:space="preserve"> ['敏捷'] = 100000000,
 ['攻击距离'] = 75,
['物理伤害加深'] = 35,
v1 = {6,20},
v2 = {10,15},</t>
  </si>
  <si>
    <t>|cffcccccc传说级神兵，不需要箭，只要你拉开弓弦就会自动形成魔法箭
|cffffff00+%敏捷%|r 敏捷
|cffffff00+%攻击距离%|r 攻击距离
|cffffff00+%物理伤害加深%|r 物理伤害加深
|cffffff00+%多重射%|r 多重射
|cffffff00【被动-多重箭】|r攻击 %v1% %几率向周围 %v2% 个单位额外射出一只的魔法箭，造成 %damage% 的真实伤害</t>
  </si>
  <si>
    <t xml:space="preserve"> ['每秒加杀敌数'] = 2,
 ['每秒加木头'] = 65,
 ['每秒加魔丸'] = 125,
v1 = {180,120},</t>
  </si>
  <si>
    <t xml:space="preserve">|cffffff00+%每秒加杀敌数%|r 每秒加杀敌数
|cffffff00+%每秒加木头%|r 每秒加木头
|cffffff00+%每秒加魔丸%|r  每秒加魔丸
|cffffff00【被动-造宝】|r每隔%v1%秒，造出一个随机装备
</t>
  </si>
  <si>
    <t xml:space="preserve"> ['每秒加杀敌数'] = 5,
 ['每秒加木头'] = 125,
 ['每秒加魔丸'] = 250,
v1 = {150,90},</t>
  </si>
  <si>
    <t xml:space="preserve"> ['每秒加杀敌数'] = 10,
 ['每秒加木头'] = 250,
 ['每秒加魔丸'] = 500,
v1 = {120,60},</t>
  </si>
  <si>
    <t xml:space="preserve">
|cffffff00+%每秒加杀敌数%|r 每秒加杀敌数
|cffffff00+%每秒加木头%|r 每秒加木头
|cffffff00+%每秒加魔丸%|r  每秒加魔丸
|cffffff00【被动-造宝】|r每隔%v1%秒，造出一个随机装备
</t>
  </si>
  <si>
    <t xml:space="preserve"> ['每秒加杀敌数'] = 20,
 ['每秒加木头'] = 500,
 ['每秒加魔丸'] = 1000,
v1 = {90,30},</t>
  </si>
  <si>
    <t xml:space="preserve">
|cffcccccc秒进斗金？
|cffffff00+%每秒加杀敌数%|r 每秒加杀敌数
|cffffff00+%每秒加木头%|r 每秒加木头
|cffffff00+%每秒加魔丸%|r  每秒加魔丸
|cffffff00【被动-造宝】|r每隔%v1%秒，造出一个随机装备
</t>
  </si>
  <si>
    <t>v1 = {5,15},
v2 = {5,15},</t>
  </si>
  <si>
    <t>|cffffff00【唯一被动-专注】|r能给周围友军提供额外%v1% %的生命上限 
|cffffff00【唯一被动-战鼓】|r能给周围友军提供额外%v2% %的攻击</t>
  </si>
  <si>
    <t>v1 = {5,15},
v2 = {5,15},
v3 = {5,15},</t>
  </si>
  <si>
    <t>|cffffff00【唯一被动-专注】|r能给周围友军提供额外%v1% %的生命上限 
|cffffff00【唯一被动-战鼓】|r能给周围友军提供额外%v2% %的攻击
|cffffff00【唯一被动-行军】|r能给周围友军提供额外%v3% %的移动速度</t>
  </si>
  <si>
    <t>v1 = {5,15},
v2 = {5,15},
v3 = {5,15},
v4 = {5,15},</t>
  </si>
  <si>
    <t>|cffffff00【唯一被动-专注】|r能给周围友军提供额外%v1% %的生命上限 
|cffffff00【唯一被动-战鼓】|r能给周围友军提供额外%v2% %的攻击
|cffffff00【唯一被动-行军】|r能给周围友军提供额外%v3% %的移动速度
|cffffff00【唯一被动-战甲】|r能给周围友军提供额外%v4% %的护甲</t>
  </si>
  <si>
    <t>v1 = {5,15},
v2 = {5,15},
v3 = {5,15},
v4 = {5,15},
v5 = {5,15},</t>
  </si>
  <si>
    <t xml:space="preserve">
|cffcccccc一根竹竿，一面布帘，或书以国号，或画以将名，或描上禽兽，则摇身一变，成为旗帜，可以示国号，可以壮声威，可以传信号，更可以号令干军
|cffffff00【唯一被动-专注】|r能给周围友军提供额外%v1% %的生命上限 
|cffffff00【唯一被动-战鼓】|r能给周围友军提供额外%v2% %的攻击
|cffffff00【唯一被动-行军】|r能给周围友军提供额外%v3% %的移动速度
|cffffff00【唯一被动-战甲】|r能给周围友军提供额外%v4% %的护甲
|cffffff00【唯一被动-意志】|r能给周围友军提供额外%v5% %的全属性</t>
  </si>
  <si>
    <t>function(self)
  return self.v2 + self.v3*self.owner:get('智力')
end</t>
    <phoneticPr fontId="13" type="noConversion"/>
  </si>
  <si>
    <t>color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</si>
</sst>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0.5"/>
      <color rgb="FFCE9178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10.5"/>
      <color rgb="FFFFFF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9" fillId="0" borderId="0"/>
  </cellStyleXfs>
  <cellXfs count="4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3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5" fillId="0" borderId="0" xfId="0" applyFont="1" applyAlignment="1">
      <alignment horizontal="center" vertic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9" fillId="0" borderId="0" xfId="1"/>
    <xf numFmtId="0" fontId="9" fillId="0" borderId="0" xfId="1" applyAlignment="1">
      <alignment vertical="top" wrapText="1"/>
    </xf>
    <xf numFmtId="0" fontId="9" fillId="0" borderId="0" xfId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7" fillId="0" borderId="0" xfId="1" applyFont="1" applyAlignment="1">
      <alignment horizontal="center"/>
    </xf>
    <xf numFmtId="0" fontId="9" fillId="0" borderId="0" xfId="1" applyAlignment="1">
      <alignment vertical="center"/>
    </xf>
    <xf numFmtId="0" fontId="9" fillId="0" borderId="0" xfId="1" applyAlignment="1">
      <alignment vertical="center" wrapText="1"/>
    </xf>
    <xf numFmtId="0" fontId="9" fillId="0" borderId="0" xfId="1" applyAlignment="1">
      <alignment horizontal="left" vertical="center"/>
    </xf>
    <xf numFmtId="0" fontId="9" fillId="0" borderId="0" xfId="1" applyAlignment="1">
      <alignment horizontal="left" vertical="center" wrapText="1"/>
    </xf>
    <xf numFmtId="0" fontId="9" fillId="0" borderId="0" xfId="1" applyFill="1"/>
    <xf numFmtId="0" fontId="9" fillId="0" borderId="0" xfId="1" applyFill="1" applyAlignment="1">
      <alignment horizontal="center" vertical="center"/>
    </xf>
  </cellXfs>
  <cellStyles count="2">
    <cellStyle name="常规" xfId="0" builtinId="0"/>
    <cellStyle name="常规 2" xfId="1" xr:uid="{103C1D74-36E4-4A55-B020-BA66A7EA7963}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657225</xdr:colOff>
          <xdr:row>0</xdr:row>
          <xdr:rowOff>28575</xdr:rowOff>
        </xdr:from>
        <xdr:to>
          <xdr:col>13</xdr:col>
          <xdr:colOff>885825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U51"/>
  <sheetViews>
    <sheetView tabSelected="1" workbookViewId="0">
      <pane xSplit="1" ySplit="3" topLeftCell="B39" activePane="bottomRight" state="frozen"/>
      <selection pane="topRight"/>
      <selection pane="bottomLeft"/>
      <selection pane="bottomRight" activeCell="K39" sqref="K39"/>
    </sheetView>
  </sheetViews>
  <sheetFormatPr defaultColWidth="9" defaultRowHeight="14.25" x14ac:dyDescent="0.15"/>
  <cols>
    <col min="1" max="1" width="17.625" style="7" customWidth="1"/>
    <col min="2" max="2" width="10.25" style="7" customWidth="1"/>
    <col min="3" max="3" width="9.875" style="7" customWidth="1"/>
    <col min="4" max="4" width="9.5" style="7" customWidth="1"/>
    <col min="5" max="5" width="7.25" style="9" customWidth="1"/>
    <col min="6" max="6" width="20.625" style="7" customWidth="1"/>
    <col min="7" max="7" width="8.25" style="7" customWidth="1"/>
    <col min="8" max="8" width="9.625" style="10" customWidth="1"/>
    <col min="9" max="9" width="7.5" style="7" customWidth="1"/>
    <col min="10" max="10" width="7.125" style="8" customWidth="1"/>
    <col min="11" max="11" width="17.25" style="7" customWidth="1"/>
    <col min="12" max="12" width="22" style="7" customWidth="1"/>
    <col min="13" max="13" width="10" style="7" customWidth="1"/>
    <col min="14" max="14" width="26.375" style="11" customWidth="1"/>
    <col min="15" max="15" width="58.75" style="7" customWidth="1"/>
    <col min="16" max="19" width="15.625" style="7" customWidth="1"/>
    <col min="20" max="20" width="39.75" style="7" customWidth="1"/>
    <col min="21" max="16384" width="9" style="7"/>
  </cols>
  <sheetData>
    <row r="1" spans="1:21" ht="15" x14ac:dyDescent="0.25">
      <c r="A1" s="12"/>
      <c r="B1" s="12" t="s">
        <v>0</v>
      </c>
      <c r="C1" s="12" t="s">
        <v>0</v>
      </c>
      <c r="D1" s="12" t="s">
        <v>0</v>
      </c>
      <c r="E1" s="17" t="s">
        <v>0</v>
      </c>
      <c r="F1" s="12" t="s">
        <v>2</v>
      </c>
      <c r="G1" s="17" t="s">
        <v>45</v>
      </c>
      <c r="H1" s="12"/>
      <c r="I1" s="12"/>
      <c r="J1" s="12"/>
      <c r="K1" s="12"/>
      <c r="L1" s="18"/>
      <c r="M1" s="12"/>
      <c r="N1" s="19" t="s">
        <v>1</v>
      </c>
      <c r="O1" s="12" t="s">
        <v>2</v>
      </c>
      <c r="P1" s="12" t="s">
        <v>2</v>
      </c>
      <c r="Q1" s="12" t="s">
        <v>2</v>
      </c>
      <c r="R1" s="12" t="s">
        <v>2</v>
      </c>
      <c r="S1" s="12" t="s">
        <v>2</v>
      </c>
      <c r="T1" s="12" t="s">
        <v>2</v>
      </c>
      <c r="U1" s="19" t="s">
        <v>1</v>
      </c>
    </row>
    <row r="2" spans="1:21" ht="15" x14ac:dyDescent="0.15">
      <c r="A2" s="20" t="s">
        <v>3</v>
      </c>
      <c r="B2" s="19" t="s">
        <v>4</v>
      </c>
      <c r="C2" s="21" t="s">
        <v>46</v>
      </c>
      <c r="D2" s="19" t="s">
        <v>47</v>
      </c>
      <c r="E2" s="21" t="s">
        <v>48</v>
      </c>
      <c r="F2" s="19" t="s">
        <v>49</v>
      </c>
      <c r="G2" s="19" t="s">
        <v>50</v>
      </c>
      <c r="H2" s="20" t="s">
        <v>5</v>
      </c>
      <c r="I2" s="20" t="s">
        <v>6</v>
      </c>
      <c r="J2" s="20" t="s">
        <v>7</v>
      </c>
      <c r="K2" s="13" t="s">
        <v>8</v>
      </c>
      <c r="L2" s="22" t="s">
        <v>9</v>
      </c>
      <c r="M2" s="20" t="s">
        <v>10</v>
      </c>
      <c r="N2" s="19" t="s">
        <v>11</v>
      </c>
      <c r="O2" s="20" t="s">
        <v>12</v>
      </c>
      <c r="P2" s="19" t="s">
        <v>13</v>
      </c>
      <c r="Q2" s="20" t="s">
        <v>14</v>
      </c>
      <c r="R2" s="19" t="s">
        <v>15</v>
      </c>
      <c r="S2" s="19" t="s">
        <v>16</v>
      </c>
      <c r="T2" s="19" t="s">
        <v>51</v>
      </c>
      <c r="U2" s="19" t="s">
        <v>52</v>
      </c>
    </row>
    <row r="3" spans="1:21" ht="15" x14ac:dyDescent="0.15">
      <c r="A3" s="23"/>
      <c r="B3" s="23" t="s">
        <v>223</v>
      </c>
      <c r="C3" s="21" t="s">
        <v>53</v>
      </c>
      <c r="D3" s="21" t="s">
        <v>54</v>
      </c>
      <c r="E3" s="23" t="s">
        <v>317</v>
      </c>
      <c r="F3" s="19" t="s">
        <v>23</v>
      </c>
      <c r="G3" s="19" t="s">
        <v>55</v>
      </c>
      <c r="H3" s="23" t="s">
        <v>17</v>
      </c>
      <c r="I3" s="23" t="s">
        <v>18</v>
      </c>
      <c r="J3" s="23" t="s">
        <v>19</v>
      </c>
      <c r="K3" s="14" t="s">
        <v>20</v>
      </c>
      <c r="L3" s="24" t="s">
        <v>56</v>
      </c>
      <c r="M3" s="23" t="s">
        <v>21</v>
      </c>
      <c r="N3" s="24"/>
      <c r="O3" s="23" t="s">
        <v>22</v>
      </c>
      <c r="P3" s="23" t="s">
        <v>24</v>
      </c>
      <c r="Q3" s="23" t="s">
        <v>25</v>
      </c>
      <c r="R3" s="23" t="s">
        <v>26</v>
      </c>
      <c r="S3" s="23" t="s">
        <v>27</v>
      </c>
      <c r="T3" s="23" t="s">
        <v>28</v>
      </c>
      <c r="U3" s="23"/>
    </row>
    <row r="4" spans="1:21" s="8" customFormat="1" ht="125.1" customHeight="1" x14ac:dyDescent="0.15">
      <c r="A4" s="13" t="s">
        <v>57</v>
      </c>
      <c r="B4" s="25"/>
      <c r="C4" s="26" t="s">
        <v>58</v>
      </c>
      <c r="D4" s="17"/>
      <c r="E4" s="26" t="s">
        <v>59</v>
      </c>
      <c r="F4" s="19" t="s">
        <v>60</v>
      </c>
      <c r="G4" s="21">
        <v>1000</v>
      </c>
      <c r="H4" s="20" t="s">
        <v>29</v>
      </c>
      <c r="I4" s="15">
        <v>0</v>
      </c>
      <c r="J4" s="15">
        <v>1</v>
      </c>
      <c r="K4" s="15" t="str">
        <f>H4</f>
        <v>true</v>
      </c>
      <c r="L4" s="16"/>
      <c r="M4" s="25"/>
      <c r="N4" s="2" t="s">
        <v>227</v>
      </c>
      <c r="O4" s="27" t="s">
        <v>235</v>
      </c>
      <c r="P4" s="28" t="s">
        <v>61</v>
      </c>
      <c r="Q4" s="28"/>
      <c r="R4" s="28"/>
      <c r="S4" s="28"/>
      <c r="T4" s="29" t="s">
        <v>62</v>
      </c>
      <c r="U4" s="10" t="s">
        <v>226</v>
      </c>
    </row>
    <row r="5" spans="1:21" s="8" customFormat="1" ht="125.1" customHeight="1" x14ac:dyDescent="0.15">
      <c r="A5" s="13" t="s">
        <v>63</v>
      </c>
      <c r="B5" s="25"/>
      <c r="C5" s="26" t="s">
        <v>58</v>
      </c>
      <c r="D5" s="17"/>
      <c r="E5" s="26" t="s">
        <v>64</v>
      </c>
      <c r="F5" s="19" t="s">
        <v>65</v>
      </c>
      <c r="G5" s="21">
        <v>1000</v>
      </c>
      <c r="H5" s="20" t="s">
        <v>29</v>
      </c>
      <c r="I5" s="15">
        <v>0</v>
      </c>
      <c r="J5" s="15">
        <v>1</v>
      </c>
      <c r="K5" s="15" t="str">
        <f t="shared" ref="K5:K35" si="0">H5</f>
        <v>true</v>
      </c>
      <c r="L5" s="28"/>
      <c r="M5" s="25"/>
      <c r="N5" s="2" t="s">
        <v>236</v>
      </c>
      <c r="O5" s="27" t="s">
        <v>237</v>
      </c>
      <c r="P5" s="28" t="s">
        <v>61</v>
      </c>
      <c r="Q5" s="28"/>
      <c r="R5" s="10"/>
      <c r="S5" s="10"/>
      <c r="T5" s="29" t="s">
        <v>62</v>
      </c>
      <c r="U5" s="10" t="s">
        <v>226</v>
      </c>
    </row>
    <row r="6" spans="1:21" s="8" customFormat="1" ht="125.1" customHeight="1" x14ac:dyDescent="0.15">
      <c r="A6" s="13" t="s">
        <v>66</v>
      </c>
      <c r="B6" s="25"/>
      <c r="C6" s="26" t="s">
        <v>58</v>
      </c>
      <c r="D6" s="17"/>
      <c r="E6" s="26" t="s">
        <v>67</v>
      </c>
      <c r="F6" s="19" t="s">
        <v>68</v>
      </c>
      <c r="G6" s="21">
        <v>1000</v>
      </c>
      <c r="H6" s="20" t="s">
        <v>29</v>
      </c>
      <c r="I6" s="15">
        <v>0</v>
      </c>
      <c r="J6" s="15">
        <v>1</v>
      </c>
      <c r="K6" s="15" t="str">
        <f t="shared" si="0"/>
        <v>true</v>
      </c>
      <c r="L6" s="28"/>
      <c r="M6" s="25"/>
      <c r="N6" s="2" t="s">
        <v>238</v>
      </c>
      <c r="O6" s="27" t="s">
        <v>237</v>
      </c>
      <c r="P6" s="28" t="s">
        <v>61</v>
      </c>
      <c r="Q6" s="28"/>
      <c r="R6" s="10"/>
      <c r="S6" s="10"/>
      <c r="T6" s="29" t="s">
        <v>62</v>
      </c>
      <c r="U6" s="10" t="s">
        <v>226</v>
      </c>
    </row>
    <row r="7" spans="1:21" s="8" customFormat="1" ht="125.1" customHeight="1" x14ac:dyDescent="0.15">
      <c r="A7" s="13" t="s">
        <v>69</v>
      </c>
      <c r="B7" s="25"/>
      <c r="C7" s="26" t="s">
        <v>58</v>
      </c>
      <c r="D7" s="17"/>
      <c r="E7" s="26" t="s">
        <v>70</v>
      </c>
      <c r="F7" s="19" t="s">
        <v>71</v>
      </c>
      <c r="G7" s="21">
        <v>1000</v>
      </c>
      <c r="H7" s="20" t="s">
        <v>29</v>
      </c>
      <c r="I7" s="15">
        <v>0</v>
      </c>
      <c r="J7" s="15">
        <v>1</v>
      </c>
      <c r="K7" s="15" t="str">
        <f t="shared" si="0"/>
        <v>true</v>
      </c>
      <c r="L7" s="28"/>
      <c r="M7" s="25"/>
      <c r="N7" s="2" t="s">
        <v>239</v>
      </c>
      <c r="O7" s="27" t="s">
        <v>240</v>
      </c>
      <c r="P7" s="28" t="s">
        <v>61</v>
      </c>
      <c r="Q7" s="28"/>
      <c r="R7" s="10"/>
      <c r="S7" s="10"/>
      <c r="T7" s="29" t="s">
        <v>62</v>
      </c>
      <c r="U7" s="10" t="s">
        <v>226</v>
      </c>
    </row>
    <row r="8" spans="1:21" s="8" customFormat="1" ht="125.1" customHeight="1" x14ac:dyDescent="0.15">
      <c r="A8" s="13" t="s">
        <v>72</v>
      </c>
      <c r="B8" s="25"/>
      <c r="C8" s="26" t="s">
        <v>58</v>
      </c>
      <c r="D8" s="17"/>
      <c r="E8" s="26" t="s">
        <v>73</v>
      </c>
      <c r="F8" s="19" t="s">
        <v>74</v>
      </c>
      <c r="G8" s="21">
        <v>1000</v>
      </c>
      <c r="H8" s="20" t="s">
        <v>29</v>
      </c>
      <c r="I8" s="15">
        <v>0</v>
      </c>
      <c r="J8" s="15">
        <v>1</v>
      </c>
      <c r="K8" s="15" t="str">
        <f t="shared" si="0"/>
        <v>true</v>
      </c>
      <c r="L8" s="28"/>
      <c r="M8" s="25"/>
      <c r="N8" s="2" t="s">
        <v>241</v>
      </c>
      <c r="O8" s="27" t="s">
        <v>242</v>
      </c>
      <c r="P8" s="28" t="s">
        <v>61</v>
      </c>
      <c r="Q8" s="28"/>
      <c r="R8" s="10"/>
      <c r="S8" s="10"/>
      <c r="T8" s="29" t="s">
        <v>62</v>
      </c>
      <c r="U8" s="10" t="s">
        <v>226</v>
      </c>
    </row>
    <row r="9" spans="1:21" ht="125.1" customHeight="1" x14ac:dyDescent="0.15">
      <c r="A9" s="10" t="s">
        <v>75</v>
      </c>
      <c r="B9" s="25"/>
      <c r="C9" s="26" t="s">
        <v>58</v>
      </c>
      <c r="D9" s="17"/>
      <c r="E9" s="26" t="s">
        <v>59</v>
      </c>
      <c r="F9" s="19" t="s">
        <v>76</v>
      </c>
      <c r="G9" s="21">
        <v>1000</v>
      </c>
      <c r="H9" s="20" t="s">
        <v>29</v>
      </c>
      <c r="I9" s="15">
        <v>0</v>
      </c>
      <c r="J9" s="15">
        <v>1</v>
      </c>
      <c r="K9" s="15" t="str">
        <f t="shared" si="0"/>
        <v>true</v>
      </c>
      <c r="L9" s="30" t="s">
        <v>77</v>
      </c>
      <c r="M9" s="25">
        <v>300</v>
      </c>
      <c r="N9" s="2" t="s">
        <v>243</v>
      </c>
      <c r="O9" s="27" t="s">
        <v>244</v>
      </c>
      <c r="P9" s="28" t="s">
        <v>78</v>
      </c>
      <c r="Q9" s="28"/>
      <c r="R9" s="10"/>
      <c r="S9" s="10"/>
      <c r="T9" s="29" t="s">
        <v>79</v>
      </c>
      <c r="U9" s="33" t="s">
        <v>118</v>
      </c>
    </row>
    <row r="10" spans="1:21" ht="125.1" customHeight="1" x14ac:dyDescent="0.15">
      <c r="A10" s="26" t="s">
        <v>80</v>
      </c>
      <c r="B10" s="25"/>
      <c r="C10" s="26" t="s">
        <v>58</v>
      </c>
      <c r="D10" s="17"/>
      <c r="E10" s="26" t="s">
        <v>64</v>
      </c>
      <c r="F10" s="19" t="s">
        <v>81</v>
      </c>
      <c r="G10" s="21">
        <v>1000</v>
      </c>
      <c r="H10" s="20" t="s">
        <v>29</v>
      </c>
      <c r="I10" s="15">
        <v>0</v>
      </c>
      <c r="J10" s="15">
        <v>1</v>
      </c>
      <c r="K10" s="15" t="str">
        <f t="shared" si="0"/>
        <v>true</v>
      </c>
      <c r="L10" s="30" t="s">
        <v>82</v>
      </c>
      <c r="M10" s="25">
        <v>300</v>
      </c>
      <c r="N10" s="2" t="s">
        <v>245</v>
      </c>
      <c r="O10" s="27" t="s">
        <v>246</v>
      </c>
      <c r="P10" s="28" t="s">
        <v>78</v>
      </c>
      <c r="Q10" s="28"/>
      <c r="R10" s="10"/>
      <c r="S10" s="10"/>
      <c r="T10" s="29" t="s">
        <v>79</v>
      </c>
      <c r="U10" s="33" t="s">
        <v>118</v>
      </c>
    </row>
    <row r="11" spans="1:21" ht="125.1" customHeight="1" x14ac:dyDescent="0.15">
      <c r="A11" s="10" t="s">
        <v>83</v>
      </c>
      <c r="B11" s="25"/>
      <c r="C11" s="26" t="s">
        <v>58</v>
      </c>
      <c r="D11" s="17"/>
      <c r="E11" s="26" t="s">
        <v>67</v>
      </c>
      <c r="F11" s="19" t="s">
        <v>84</v>
      </c>
      <c r="G11" s="21">
        <v>1000</v>
      </c>
      <c r="H11" s="20" t="s">
        <v>29</v>
      </c>
      <c r="I11" s="15">
        <v>0</v>
      </c>
      <c r="J11" s="15">
        <v>1</v>
      </c>
      <c r="K11" s="15" t="str">
        <f t="shared" si="0"/>
        <v>true</v>
      </c>
      <c r="L11" s="30" t="s">
        <v>85</v>
      </c>
      <c r="M11" s="25">
        <v>300</v>
      </c>
      <c r="N11" s="2" t="s">
        <v>247</v>
      </c>
      <c r="O11" s="27" t="s">
        <v>246</v>
      </c>
      <c r="P11" s="28" t="s">
        <v>78</v>
      </c>
      <c r="Q11" s="28"/>
      <c r="R11" s="10"/>
      <c r="S11" s="10"/>
      <c r="T11" s="29" t="s">
        <v>79</v>
      </c>
      <c r="U11" s="33" t="s">
        <v>118</v>
      </c>
    </row>
    <row r="12" spans="1:21" ht="125.1" customHeight="1" x14ac:dyDescent="0.15">
      <c r="A12" s="26" t="s">
        <v>86</v>
      </c>
      <c r="B12" s="25"/>
      <c r="C12" s="26" t="s">
        <v>58</v>
      </c>
      <c r="D12" s="17"/>
      <c r="E12" s="26" t="s">
        <v>70</v>
      </c>
      <c r="F12" s="19" t="s">
        <v>87</v>
      </c>
      <c r="G12" s="21">
        <v>1000</v>
      </c>
      <c r="H12" s="20" t="s">
        <v>29</v>
      </c>
      <c r="I12" s="15">
        <v>0</v>
      </c>
      <c r="J12" s="15">
        <v>1</v>
      </c>
      <c r="K12" s="15" t="str">
        <f t="shared" si="0"/>
        <v>true</v>
      </c>
      <c r="L12" s="30" t="s">
        <v>88</v>
      </c>
      <c r="M12" s="25">
        <v>300</v>
      </c>
      <c r="N12" s="2" t="s">
        <v>248</v>
      </c>
      <c r="O12" s="27" t="s">
        <v>249</v>
      </c>
      <c r="P12" s="28" t="s">
        <v>78</v>
      </c>
      <c r="Q12" s="28"/>
      <c r="R12" s="10"/>
      <c r="S12" s="10"/>
      <c r="T12" s="29" t="s">
        <v>79</v>
      </c>
      <c r="U12" s="33" t="s">
        <v>118</v>
      </c>
    </row>
    <row r="13" spans="1:21" ht="125.1" customHeight="1" x14ac:dyDescent="0.15">
      <c r="A13" s="13" t="s">
        <v>89</v>
      </c>
      <c r="B13" s="25"/>
      <c r="C13" s="26" t="s">
        <v>58</v>
      </c>
      <c r="D13" s="17"/>
      <c r="E13" s="26" t="s">
        <v>73</v>
      </c>
      <c r="F13" s="19" t="s">
        <v>90</v>
      </c>
      <c r="G13" s="21">
        <v>1000</v>
      </c>
      <c r="H13" s="20" t="s">
        <v>29</v>
      </c>
      <c r="I13" s="15">
        <v>0</v>
      </c>
      <c r="J13" s="15">
        <v>1</v>
      </c>
      <c r="K13" s="15" t="str">
        <f t="shared" si="0"/>
        <v>true</v>
      </c>
      <c r="L13" s="30" t="s">
        <v>91</v>
      </c>
      <c r="M13" s="25">
        <v>300</v>
      </c>
      <c r="N13" s="2" t="s">
        <v>250</v>
      </c>
      <c r="O13" s="27" t="s">
        <v>251</v>
      </c>
      <c r="P13" s="28" t="s">
        <v>78</v>
      </c>
      <c r="Q13" s="28"/>
      <c r="R13" s="10"/>
      <c r="S13" s="10"/>
      <c r="T13" s="29" t="s">
        <v>79</v>
      </c>
      <c r="U13" s="33" t="s">
        <v>118</v>
      </c>
    </row>
    <row r="14" spans="1:21" ht="125.1" customHeight="1" x14ac:dyDescent="0.15">
      <c r="A14" s="26" t="s">
        <v>92</v>
      </c>
      <c r="B14" s="25"/>
      <c r="C14" s="26" t="s">
        <v>58</v>
      </c>
      <c r="D14" s="10"/>
      <c r="E14" s="26" t="s">
        <v>59</v>
      </c>
      <c r="F14" s="19" t="s">
        <v>93</v>
      </c>
      <c r="G14" s="21">
        <v>1000</v>
      </c>
      <c r="H14" s="20" t="s">
        <v>29</v>
      </c>
      <c r="I14" s="15">
        <v>0</v>
      </c>
      <c r="J14" s="15">
        <v>1</v>
      </c>
      <c r="K14" s="15" t="str">
        <f t="shared" si="0"/>
        <v>true</v>
      </c>
      <c r="L14" s="30" t="s">
        <v>94</v>
      </c>
      <c r="M14" s="10">
        <v>500</v>
      </c>
      <c r="N14" s="2" t="s">
        <v>252</v>
      </c>
      <c r="O14" s="27" t="s">
        <v>253</v>
      </c>
      <c r="P14" s="28" t="s">
        <v>95</v>
      </c>
      <c r="Q14" s="28"/>
      <c r="R14" s="10"/>
      <c r="S14" s="10"/>
      <c r="T14" s="28" t="s">
        <v>96</v>
      </c>
      <c r="U14" s="31" t="s">
        <v>224</v>
      </c>
    </row>
    <row r="15" spans="1:21" ht="125.1" customHeight="1" x14ac:dyDescent="0.15">
      <c r="A15" s="26" t="s">
        <v>97</v>
      </c>
      <c r="B15" s="25"/>
      <c r="C15" s="26" t="s">
        <v>58</v>
      </c>
      <c r="D15" s="10"/>
      <c r="E15" s="26" t="s">
        <v>64</v>
      </c>
      <c r="F15" s="19" t="s">
        <v>98</v>
      </c>
      <c r="G15" s="21">
        <v>1000</v>
      </c>
      <c r="H15" s="20" t="s">
        <v>29</v>
      </c>
      <c r="I15" s="15">
        <v>0</v>
      </c>
      <c r="J15" s="15">
        <v>1</v>
      </c>
      <c r="K15" s="15" t="str">
        <f t="shared" si="0"/>
        <v>true</v>
      </c>
      <c r="L15" s="30" t="s">
        <v>99</v>
      </c>
      <c r="M15" s="10">
        <v>500</v>
      </c>
      <c r="N15" s="2" t="s">
        <v>254</v>
      </c>
      <c r="O15" s="27" t="s">
        <v>255</v>
      </c>
      <c r="P15" s="28" t="s">
        <v>95</v>
      </c>
      <c r="Q15" s="28"/>
      <c r="R15" s="10"/>
      <c r="S15" s="10"/>
      <c r="T15" s="28" t="s">
        <v>96</v>
      </c>
      <c r="U15" s="31" t="s">
        <v>224</v>
      </c>
    </row>
    <row r="16" spans="1:21" ht="125.1" customHeight="1" x14ac:dyDescent="0.15">
      <c r="A16" s="26" t="s">
        <v>100</v>
      </c>
      <c r="B16" s="25"/>
      <c r="C16" s="26" t="s">
        <v>58</v>
      </c>
      <c r="D16" s="10"/>
      <c r="E16" s="26" t="s">
        <v>67</v>
      </c>
      <c r="F16" s="19" t="s">
        <v>101</v>
      </c>
      <c r="G16" s="21">
        <v>1000</v>
      </c>
      <c r="H16" s="20" t="s">
        <v>29</v>
      </c>
      <c r="I16" s="15">
        <v>0</v>
      </c>
      <c r="J16" s="15">
        <v>1</v>
      </c>
      <c r="K16" s="15" t="str">
        <f t="shared" si="0"/>
        <v>true</v>
      </c>
      <c r="L16" s="30" t="s">
        <v>102</v>
      </c>
      <c r="M16" s="10">
        <v>500</v>
      </c>
      <c r="N16" s="2" t="s">
        <v>256</v>
      </c>
      <c r="O16" s="27" t="s">
        <v>257</v>
      </c>
      <c r="P16" s="28" t="s">
        <v>95</v>
      </c>
      <c r="Q16" s="28"/>
      <c r="R16" s="10"/>
      <c r="S16" s="10"/>
      <c r="T16" s="28" t="s">
        <v>103</v>
      </c>
      <c r="U16" s="31" t="s">
        <v>224</v>
      </c>
    </row>
    <row r="17" spans="1:21" ht="125.1" customHeight="1" x14ac:dyDescent="0.15">
      <c r="A17" s="26" t="s">
        <v>104</v>
      </c>
      <c r="B17" s="25"/>
      <c r="C17" s="26" t="s">
        <v>58</v>
      </c>
      <c r="D17" s="10"/>
      <c r="E17" s="26" t="s">
        <v>70</v>
      </c>
      <c r="F17" s="19" t="s">
        <v>105</v>
      </c>
      <c r="G17" s="21">
        <v>1000</v>
      </c>
      <c r="H17" s="20" t="s">
        <v>29</v>
      </c>
      <c r="I17" s="15">
        <v>0</v>
      </c>
      <c r="J17" s="15">
        <v>1</v>
      </c>
      <c r="K17" s="15" t="str">
        <f t="shared" si="0"/>
        <v>true</v>
      </c>
      <c r="L17" s="30" t="s">
        <v>106</v>
      </c>
      <c r="M17" s="10">
        <v>500</v>
      </c>
      <c r="N17" s="2" t="s">
        <v>258</v>
      </c>
      <c r="O17" s="27" t="s">
        <v>259</v>
      </c>
      <c r="P17" s="28" t="s">
        <v>95</v>
      </c>
      <c r="Q17" s="28"/>
      <c r="R17" s="10"/>
      <c r="S17" s="10"/>
      <c r="T17" s="28" t="s">
        <v>103</v>
      </c>
      <c r="U17" s="31" t="s">
        <v>224</v>
      </c>
    </row>
    <row r="18" spans="1:21" ht="125.1" customHeight="1" x14ac:dyDescent="0.15">
      <c r="A18" s="26" t="s">
        <v>107</v>
      </c>
      <c r="B18" s="25"/>
      <c r="C18" s="26" t="s">
        <v>58</v>
      </c>
      <c r="D18" s="10"/>
      <c r="E18" s="26" t="s">
        <v>73</v>
      </c>
      <c r="F18" s="19" t="s">
        <v>108</v>
      </c>
      <c r="G18" s="21">
        <v>1000</v>
      </c>
      <c r="H18" s="20" t="s">
        <v>29</v>
      </c>
      <c r="I18" s="15">
        <v>0</v>
      </c>
      <c r="J18" s="15">
        <v>1</v>
      </c>
      <c r="K18" s="15" t="str">
        <f t="shared" si="0"/>
        <v>true</v>
      </c>
      <c r="L18" s="30" t="s">
        <v>109</v>
      </c>
      <c r="M18" s="10">
        <v>500</v>
      </c>
      <c r="N18" s="2" t="s">
        <v>260</v>
      </c>
      <c r="O18" s="27" t="s">
        <v>261</v>
      </c>
      <c r="P18" s="28" t="s">
        <v>95</v>
      </c>
      <c r="Q18" s="28"/>
      <c r="R18" s="10"/>
      <c r="S18" s="10"/>
      <c r="T18" s="28" t="s">
        <v>103</v>
      </c>
      <c r="U18" s="31" t="s">
        <v>224</v>
      </c>
    </row>
    <row r="19" spans="1:21" ht="125.1" customHeight="1" x14ac:dyDescent="0.15">
      <c r="A19" s="10" t="s">
        <v>119</v>
      </c>
      <c r="B19" s="25"/>
      <c r="C19" s="26" t="s">
        <v>58</v>
      </c>
      <c r="D19" s="10"/>
      <c r="E19" s="26" t="s">
        <v>59</v>
      </c>
      <c r="F19" s="19" t="s">
        <v>137</v>
      </c>
      <c r="G19" s="21">
        <v>1000</v>
      </c>
      <c r="H19" s="20" t="s">
        <v>29</v>
      </c>
      <c r="I19" s="15">
        <v>0</v>
      </c>
      <c r="J19" s="15">
        <v>1</v>
      </c>
      <c r="K19" s="15" t="str">
        <f t="shared" si="0"/>
        <v>true</v>
      </c>
      <c r="L19" s="28"/>
      <c r="M19" s="10"/>
      <c r="N19" s="2" t="s">
        <v>262</v>
      </c>
      <c r="O19" s="27" t="s">
        <v>263</v>
      </c>
      <c r="P19" s="28" t="s">
        <v>138</v>
      </c>
      <c r="Q19" s="28"/>
      <c r="R19" s="10"/>
      <c r="S19" s="10"/>
      <c r="T19" s="29" t="s">
        <v>139</v>
      </c>
      <c r="U19" s="31" t="s">
        <v>228</v>
      </c>
    </row>
    <row r="20" spans="1:21" ht="125.1" customHeight="1" x14ac:dyDescent="0.15">
      <c r="A20" s="10" t="s">
        <v>120</v>
      </c>
      <c r="B20" s="25"/>
      <c r="C20" s="26" t="s">
        <v>58</v>
      </c>
      <c r="D20" s="10"/>
      <c r="E20" s="26" t="s">
        <v>64</v>
      </c>
      <c r="F20" s="19" t="s">
        <v>140</v>
      </c>
      <c r="G20" s="21">
        <v>1000</v>
      </c>
      <c r="H20" s="20" t="s">
        <v>29</v>
      </c>
      <c r="I20" s="15">
        <v>0</v>
      </c>
      <c r="J20" s="15">
        <v>1</v>
      </c>
      <c r="K20" s="15" t="str">
        <f t="shared" si="0"/>
        <v>true</v>
      </c>
      <c r="L20" s="28"/>
      <c r="M20" s="10"/>
      <c r="N20" s="2" t="s">
        <v>264</v>
      </c>
      <c r="O20" s="27" t="s">
        <v>265</v>
      </c>
      <c r="P20" s="28" t="s">
        <v>138</v>
      </c>
      <c r="Q20" s="28"/>
      <c r="R20" s="10"/>
      <c r="S20" s="10"/>
      <c r="T20" s="29" t="s">
        <v>139</v>
      </c>
      <c r="U20" s="31" t="s">
        <v>228</v>
      </c>
    </row>
    <row r="21" spans="1:21" ht="125.1" customHeight="1" x14ac:dyDescent="0.15">
      <c r="A21" s="26" t="s">
        <v>121</v>
      </c>
      <c r="B21" s="25"/>
      <c r="C21" s="26" t="s">
        <v>58</v>
      </c>
      <c r="D21" s="10"/>
      <c r="E21" s="26" t="s">
        <v>67</v>
      </c>
      <c r="F21" s="19" t="s">
        <v>141</v>
      </c>
      <c r="G21" s="21">
        <v>1000</v>
      </c>
      <c r="H21" s="20" t="s">
        <v>29</v>
      </c>
      <c r="I21" s="15">
        <v>0</v>
      </c>
      <c r="J21" s="15">
        <v>1</v>
      </c>
      <c r="K21" s="15" t="str">
        <f t="shared" si="0"/>
        <v>true</v>
      </c>
      <c r="L21" s="28"/>
      <c r="M21" s="10"/>
      <c r="N21" s="2" t="s">
        <v>266</v>
      </c>
      <c r="O21" s="27" t="s">
        <v>265</v>
      </c>
      <c r="P21" s="28" t="s">
        <v>138</v>
      </c>
      <c r="Q21" s="28"/>
      <c r="R21" s="10"/>
      <c r="S21" s="10"/>
      <c r="T21" s="29" t="s">
        <v>139</v>
      </c>
      <c r="U21" s="31" t="s">
        <v>228</v>
      </c>
    </row>
    <row r="22" spans="1:21" ht="125.1" customHeight="1" x14ac:dyDescent="0.15">
      <c r="A22" s="26" t="s">
        <v>122</v>
      </c>
      <c r="B22" s="25"/>
      <c r="C22" s="26" t="s">
        <v>58</v>
      </c>
      <c r="D22" s="10"/>
      <c r="E22" s="26" t="s">
        <v>70</v>
      </c>
      <c r="F22" s="19" t="s">
        <v>142</v>
      </c>
      <c r="G22" s="21">
        <v>1000</v>
      </c>
      <c r="H22" s="20" t="s">
        <v>29</v>
      </c>
      <c r="I22" s="15">
        <v>0</v>
      </c>
      <c r="J22" s="15">
        <v>1</v>
      </c>
      <c r="K22" s="15" t="str">
        <f t="shared" si="0"/>
        <v>true</v>
      </c>
      <c r="L22" s="28"/>
      <c r="M22" s="10"/>
      <c r="N22" s="2" t="s">
        <v>267</v>
      </c>
      <c r="O22" s="27" t="s">
        <v>268</v>
      </c>
      <c r="P22" s="28" t="s">
        <v>138</v>
      </c>
      <c r="Q22" s="28"/>
      <c r="R22" s="10"/>
      <c r="S22" s="10"/>
      <c r="T22" s="29" t="s">
        <v>139</v>
      </c>
      <c r="U22" s="7" t="s">
        <v>229</v>
      </c>
    </row>
    <row r="23" spans="1:21" ht="125.1" customHeight="1" x14ac:dyDescent="0.15">
      <c r="A23" s="26" t="s">
        <v>123</v>
      </c>
      <c r="B23" s="25"/>
      <c r="C23" s="26" t="s">
        <v>58</v>
      </c>
      <c r="D23" s="10"/>
      <c r="E23" s="26" t="s">
        <v>73</v>
      </c>
      <c r="F23" s="19" t="s">
        <v>143</v>
      </c>
      <c r="G23" s="21">
        <v>1000</v>
      </c>
      <c r="H23" s="20" t="s">
        <v>29</v>
      </c>
      <c r="I23" s="15">
        <v>0</v>
      </c>
      <c r="J23" s="15">
        <v>1</v>
      </c>
      <c r="K23" s="15" t="str">
        <f t="shared" si="0"/>
        <v>true</v>
      </c>
      <c r="L23" s="28"/>
      <c r="M23" s="10"/>
      <c r="N23" s="2" t="s">
        <v>269</v>
      </c>
      <c r="O23" s="27" t="s">
        <v>270</v>
      </c>
      <c r="P23" s="28" t="s">
        <v>138</v>
      </c>
      <c r="Q23" s="28"/>
      <c r="R23" s="10"/>
      <c r="S23" s="10"/>
      <c r="T23" s="29" t="s">
        <v>139</v>
      </c>
      <c r="U23" s="8" t="s">
        <v>229</v>
      </c>
    </row>
    <row r="24" spans="1:21" ht="125.1" customHeight="1" x14ac:dyDescent="0.15">
      <c r="A24" s="10" t="s">
        <v>124</v>
      </c>
      <c r="B24" s="25"/>
      <c r="C24" s="26" t="s">
        <v>58</v>
      </c>
      <c r="D24" s="10"/>
      <c r="E24" s="26" t="s">
        <v>59</v>
      </c>
      <c r="F24" s="19" t="s">
        <v>144</v>
      </c>
      <c r="G24" s="21">
        <v>1000</v>
      </c>
      <c r="H24" s="20" t="s">
        <v>29</v>
      </c>
      <c r="I24" s="15">
        <v>0</v>
      </c>
      <c r="J24" s="15">
        <v>2</v>
      </c>
      <c r="K24" s="15" t="str">
        <f t="shared" si="0"/>
        <v>true</v>
      </c>
      <c r="L24" s="28"/>
      <c r="M24" s="10"/>
      <c r="N24" s="2" t="s">
        <v>271</v>
      </c>
      <c r="O24" s="27" t="s">
        <v>272</v>
      </c>
      <c r="P24" s="28"/>
      <c r="Q24" s="28"/>
      <c r="R24" s="10"/>
      <c r="S24" s="10"/>
      <c r="T24" s="30" t="s">
        <v>145</v>
      </c>
      <c r="U24" s="7" t="s">
        <v>230</v>
      </c>
    </row>
    <row r="25" spans="1:21" ht="125.1" customHeight="1" x14ac:dyDescent="0.15">
      <c r="A25" s="10" t="s">
        <v>125</v>
      </c>
      <c r="B25" s="25"/>
      <c r="C25" s="26" t="s">
        <v>58</v>
      </c>
      <c r="D25" s="10"/>
      <c r="E25" s="26" t="s">
        <v>64</v>
      </c>
      <c r="F25" s="19" t="s">
        <v>146</v>
      </c>
      <c r="G25" s="21">
        <v>1000</v>
      </c>
      <c r="H25" s="20" t="s">
        <v>29</v>
      </c>
      <c r="I25" s="15">
        <v>0</v>
      </c>
      <c r="J25" s="15">
        <v>2</v>
      </c>
      <c r="K25" s="15" t="str">
        <f t="shared" si="0"/>
        <v>true</v>
      </c>
      <c r="L25" s="28"/>
      <c r="M25" s="10"/>
      <c r="N25" s="2" t="s">
        <v>273</v>
      </c>
      <c r="O25" s="27" t="s">
        <v>274</v>
      </c>
      <c r="P25" s="28"/>
      <c r="Q25" s="28"/>
      <c r="R25" s="10"/>
      <c r="S25" s="10"/>
      <c r="T25" s="30" t="s">
        <v>147</v>
      </c>
      <c r="U25" s="7" t="s">
        <v>231</v>
      </c>
    </row>
    <row r="26" spans="1:21" ht="125.1" customHeight="1" x14ac:dyDescent="0.15">
      <c r="A26" s="10" t="s">
        <v>126</v>
      </c>
      <c r="B26" s="25"/>
      <c r="C26" s="26" t="s">
        <v>58</v>
      </c>
      <c r="D26" s="10"/>
      <c r="E26" s="26" t="s">
        <v>67</v>
      </c>
      <c r="F26" s="19" t="s">
        <v>148</v>
      </c>
      <c r="G26" s="21">
        <v>1000</v>
      </c>
      <c r="H26" s="20" t="s">
        <v>29</v>
      </c>
      <c r="I26" s="15">
        <v>0</v>
      </c>
      <c r="J26" s="15">
        <v>2</v>
      </c>
      <c r="K26" s="15" t="str">
        <f t="shared" si="0"/>
        <v>true</v>
      </c>
      <c r="L26" s="28"/>
      <c r="M26" s="10"/>
      <c r="N26" s="2" t="s">
        <v>275</v>
      </c>
      <c r="O26" s="27" t="s">
        <v>274</v>
      </c>
      <c r="P26" s="28"/>
      <c r="Q26" s="28"/>
      <c r="R26" s="10"/>
      <c r="S26" s="10"/>
      <c r="T26" s="30" t="s">
        <v>149</v>
      </c>
      <c r="U26" s="7" t="s">
        <v>232</v>
      </c>
    </row>
    <row r="27" spans="1:21" ht="125.1" customHeight="1" x14ac:dyDescent="0.15">
      <c r="A27" s="10" t="s">
        <v>127</v>
      </c>
      <c r="B27" s="25"/>
      <c r="C27" s="26" t="s">
        <v>58</v>
      </c>
      <c r="D27" s="10"/>
      <c r="E27" s="26" t="s">
        <v>70</v>
      </c>
      <c r="F27" s="19" t="s">
        <v>150</v>
      </c>
      <c r="G27" s="21">
        <v>1000</v>
      </c>
      <c r="H27" s="20" t="s">
        <v>29</v>
      </c>
      <c r="I27" s="15">
        <v>0</v>
      </c>
      <c r="J27" s="15">
        <v>2</v>
      </c>
      <c r="K27" s="15" t="str">
        <f t="shared" si="0"/>
        <v>true</v>
      </c>
      <c r="L27" s="28"/>
      <c r="M27" s="10"/>
      <c r="N27" s="2" t="s">
        <v>276</v>
      </c>
      <c r="O27" s="27" t="s">
        <v>277</v>
      </c>
      <c r="P27" s="28"/>
      <c r="Q27" s="28"/>
      <c r="R27" s="10"/>
      <c r="S27" s="10"/>
      <c r="T27" s="30" t="s">
        <v>151</v>
      </c>
      <c r="U27" s="7" t="s">
        <v>233</v>
      </c>
    </row>
    <row r="28" spans="1:21" ht="125.1" customHeight="1" x14ac:dyDescent="0.15">
      <c r="A28" s="10" t="s">
        <v>128</v>
      </c>
      <c r="B28" s="25"/>
      <c r="C28" s="26" t="s">
        <v>58</v>
      </c>
      <c r="D28" s="10"/>
      <c r="E28" s="26" t="s">
        <v>73</v>
      </c>
      <c r="F28" s="19" t="s">
        <v>152</v>
      </c>
      <c r="G28" s="21">
        <v>1000</v>
      </c>
      <c r="H28" s="20" t="s">
        <v>29</v>
      </c>
      <c r="I28" s="15">
        <v>0</v>
      </c>
      <c r="J28" s="15">
        <v>2</v>
      </c>
      <c r="K28" s="15" t="str">
        <f t="shared" si="0"/>
        <v>true</v>
      </c>
      <c r="L28" s="28"/>
      <c r="M28" s="10"/>
      <c r="N28" s="2" t="s">
        <v>278</v>
      </c>
      <c r="O28" s="27" t="s">
        <v>279</v>
      </c>
      <c r="P28" s="28"/>
      <c r="Q28" s="28"/>
      <c r="R28" s="10"/>
      <c r="S28" s="10"/>
      <c r="T28" s="30" t="s">
        <v>153</v>
      </c>
      <c r="U28" s="7" t="s">
        <v>234</v>
      </c>
    </row>
    <row r="29" spans="1:21" ht="125.1" customHeight="1" x14ac:dyDescent="0.15">
      <c r="A29" s="10" t="s">
        <v>129</v>
      </c>
      <c r="B29" s="25"/>
      <c r="C29" s="26" t="s">
        <v>58</v>
      </c>
      <c r="D29" s="10" t="s">
        <v>136</v>
      </c>
      <c r="E29" s="26" t="s">
        <v>59</v>
      </c>
      <c r="F29" s="10" t="s">
        <v>154</v>
      </c>
      <c r="G29" s="21">
        <v>1000</v>
      </c>
      <c r="H29" s="20" t="s">
        <v>29</v>
      </c>
      <c r="I29" s="15">
        <v>0</v>
      </c>
      <c r="J29" s="15">
        <v>180</v>
      </c>
      <c r="K29" s="15" t="str">
        <f t="shared" si="0"/>
        <v>true</v>
      </c>
      <c r="L29" s="28"/>
      <c r="M29" s="10"/>
      <c r="N29" s="28"/>
      <c r="O29" s="27" t="s">
        <v>155</v>
      </c>
      <c r="P29" s="28"/>
      <c r="Q29" s="28"/>
      <c r="R29" s="10"/>
      <c r="S29" s="10"/>
      <c r="T29" s="28" t="s">
        <v>156</v>
      </c>
      <c r="U29" s="7" t="s">
        <v>225</v>
      </c>
    </row>
    <row r="30" spans="1:21" ht="125.1" customHeight="1" x14ac:dyDescent="0.15">
      <c r="A30" s="10" t="s">
        <v>130</v>
      </c>
      <c r="B30" s="25"/>
      <c r="C30" s="26" t="s">
        <v>58</v>
      </c>
      <c r="D30" s="10" t="s">
        <v>136</v>
      </c>
      <c r="E30" s="26" t="s">
        <v>67</v>
      </c>
      <c r="F30" s="10" t="s">
        <v>154</v>
      </c>
      <c r="G30" s="21">
        <v>1000</v>
      </c>
      <c r="H30" s="20" t="s">
        <v>29</v>
      </c>
      <c r="I30" s="15">
        <v>0</v>
      </c>
      <c r="J30" s="15">
        <v>180</v>
      </c>
      <c r="K30" s="15" t="str">
        <f t="shared" si="0"/>
        <v>true</v>
      </c>
      <c r="L30" s="28"/>
      <c r="M30" s="10">
        <v>500</v>
      </c>
      <c r="N30" s="28"/>
      <c r="O30" s="27" t="s">
        <v>157</v>
      </c>
      <c r="P30" s="28"/>
      <c r="Q30" s="28"/>
      <c r="R30" s="10"/>
      <c r="S30" s="10"/>
      <c r="T30" s="28" t="s">
        <v>156</v>
      </c>
      <c r="U30" s="8" t="s">
        <v>225</v>
      </c>
    </row>
    <row r="31" spans="1:21" ht="125.1" customHeight="1" x14ac:dyDescent="0.15">
      <c r="A31" s="10" t="s">
        <v>131</v>
      </c>
      <c r="B31" s="25"/>
      <c r="C31" s="26" t="s">
        <v>58</v>
      </c>
      <c r="D31" s="10"/>
      <c r="E31" s="26" t="s">
        <v>59</v>
      </c>
      <c r="F31" s="10" t="s">
        <v>158</v>
      </c>
      <c r="G31" s="21">
        <v>1000</v>
      </c>
      <c r="H31" s="20" t="s">
        <v>29</v>
      </c>
      <c r="I31" s="15">
        <v>0</v>
      </c>
      <c r="J31" s="10"/>
      <c r="K31" s="15" t="str">
        <f t="shared" si="0"/>
        <v>true</v>
      </c>
      <c r="L31" s="28"/>
      <c r="M31" s="10"/>
      <c r="N31" s="28" t="s">
        <v>280</v>
      </c>
      <c r="O31" s="27" t="s">
        <v>281</v>
      </c>
      <c r="P31" s="28"/>
      <c r="Q31" s="28"/>
      <c r="R31" s="10"/>
      <c r="S31" s="10"/>
      <c r="T31" s="10"/>
      <c r="U31" s="8" t="s">
        <v>225</v>
      </c>
    </row>
    <row r="32" spans="1:21" ht="125.1" customHeight="1" x14ac:dyDescent="0.15">
      <c r="A32" s="10" t="s">
        <v>132</v>
      </c>
      <c r="B32" s="25"/>
      <c r="C32" s="26" t="s">
        <v>58</v>
      </c>
      <c r="D32" s="10"/>
      <c r="E32" s="26" t="s">
        <v>64</v>
      </c>
      <c r="F32" s="10" t="s">
        <v>159</v>
      </c>
      <c r="G32" s="21">
        <v>1000</v>
      </c>
      <c r="H32" s="20" t="s">
        <v>29</v>
      </c>
      <c r="I32" s="15">
        <v>0</v>
      </c>
      <c r="J32" s="10"/>
      <c r="K32" s="15" t="str">
        <f t="shared" si="0"/>
        <v>true</v>
      </c>
      <c r="L32" s="28"/>
      <c r="M32" s="10"/>
      <c r="N32" s="30" t="s">
        <v>308</v>
      </c>
      <c r="O32" s="27" t="s">
        <v>309</v>
      </c>
      <c r="P32" s="28"/>
      <c r="Q32" s="28"/>
      <c r="R32" s="10"/>
      <c r="S32" s="10"/>
      <c r="T32" s="10"/>
      <c r="U32" s="8" t="s">
        <v>225</v>
      </c>
    </row>
    <row r="33" spans="1:21" ht="125.1" customHeight="1" x14ac:dyDescent="0.15">
      <c r="A33" s="10" t="s">
        <v>133</v>
      </c>
      <c r="B33" s="25"/>
      <c r="C33" s="26" t="s">
        <v>58</v>
      </c>
      <c r="D33" s="10"/>
      <c r="E33" s="26" t="s">
        <v>67</v>
      </c>
      <c r="F33" s="10" t="s">
        <v>160</v>
      </c>
      <c r="G33" s="21">
        <v>1000</v>
      </c>
      <c r="H33" s="20" t="s">
        <v>29</v>
      </c>
      <c r="I33" s="15">
        <v>0</v>
      </c>
      <c r="J33" s="10"/>
      <c r="K33" s="15" t="str">
        <f t="shared" si="0"/>
        <v>true</v>
      </c>
      <c r="L33" s="28"/>
      <c r="M33" s="10"/>
      <c r="N33" s="30" t="s">
        <v>310</v>
      </c>
      <c r="O33" s="27" t="s">
        <v>311</v>
      </c>
      <c r="P33" s="28"/>
      <c r="Q33" s="28"/>
      <c r="R33" s="10"/>
      <c r="S33" s="10"/>
      <c r="T33" s="10"/>
      <c r="U33" s="8" t="s">
        <v>225</v>
      </c>
    </row>
    <row r="34" spans="1:21" ht="125.1" customHeight="1" x14ac:dyDescent="0.15">
      <c r="A34" s="10" t="s">
        <v>134</v>
      </c>
      <c r="B34" s="25"/>
      <c r="C34" s="26" t="s">
        <v>58</v>
      </c>
      <c r="D34" s="10"/>
      <c r="E34" s="26" t="s">
        <v>70</v>
      </c>
      <c r="F34" s="19" t="s">
        <v>161</v>
      </c>
      <c r="G34" s="21">
        <v>1000</v>
      </c>
      <c r="H34" s="20" t="s">
        <v>29</v>
      </c>
      <c r="I34" s="15">
        <v>0</v>
      </c>
      <c r="J34" s="10"/>
      <c r="K34" s="15" t="str">
        <f t="shared" si="0"/>
        <v>true</v>
      </c>
      <c r="L34" s="28"/>
      <c r="M34" s="10"/>
      <c r="N34" s="30" t="s">
        <v>312</v>
      </c>
      <c r="O34" s="27" t="s">
        <v>313</v>
      </c>
      <c r="P34" s="28"/>
      <c r="Q34" s="28"/>
      <c r="R34" s="10"/>
      <c r="S34" s="10"/>
      <c r="T34" s="10"/>
      <c r="U34" s="8" t="s">
        <v>225</v>
      </c>
    </row>
    <row r="35" spans="1:21" ht="245.25" customHeight="1" x14ac:dyDescent="0.15">
      <c r="A35" s="10" t="s">
        <v>135</v>
      </c>
      <c r="B35" s="25"/>
      <c r="C35" s="26" t="s">
        <v>58</v>
      </c>
      <c r="D35" s="10"/>
      <c r="E35" s="26" t="s">
        <v>73</v>
      </c>
      <c r="F35" s="19" t="s">
        <v>162</v>
      </c>
      <c r="G35" s="21">
        <v>1000</v>
      </c>
      <c r="H35" s="20" t="s">
        <v>29</v>
      </c>
      <c r="I35" s="15">
        <v>0</v>
      </c>
      <c r="J35" s="10"/>
      <c r="K35" s="15" t="str">
        <f t="shared" si="0"/>
        <v>true</v>
      </c>
      <c r="L35" s="28"/>
      <c r="M35" s="10"/>
      <c r="N35" s="30" t="s">
        <v>314</v>
      </c>
      <c r="O35" s="27" t="s">
        <v>315</v>
      </c>
      <c r="P35" s="28"/>
      <c r="Q35" s="28"/>
      <c r="R35" s="10"/>
      <c r="S35" s="10"/>
      <c r="T35" s="10"/>
      <c r="U35" s="8" t="s">
        <v>225</v>
      </c>
    </row>
    <row r="36" spans="1:21" ht="125.1" customHeight="1" x14ac:dyDescent="0.15">
      <c r="A36" s="7" t="s">
        <v>163</v>
      </c>
      <c r="B36" s="25"/>
      <c r="C36" s="26" t="s">
        <v>58</v>
      </c>
      <c r="D36" s="10"/>
      <c r="E36" s="26" t="s">
        <v>59</v>
      </c>
      <c r="F36" s="19" t="s">
        <v>168</v>
      </c>
      <c r="G36" s="21">
        <v>1000</v>
      </c>
      <c r="H36" s="20" t="s">
        <v>29</v>
      </c>
      <c r="I36" s="15">
        <v>1</v>
      </c>
      <c r="J36" s="10">
        <v>1</v>
      </c>
      <c r="K36" s="15" t="str">
        <f t="shared" ref="K36:K40" si="1">H36</f>
        <v>true</v>
      </c>
      <c r="L36" s="30" t="s">
        <v>316</v>
      </c>
      <c r="N36" s="3" t="s">
        <v>282</v>
      </c>
      <c r="O36" s="3" t="s">
        <v>283</v>
      </c>
      <c r="P36" s="11" t="s">
        <v>173</v>
      </c>
      <c r="T36" s="3" t="s">
        <v>174</v>
      </c>
      <c r="U36" s="8" t="s">
        <v>225</v>
      </c>
    </row>
    <row r="37" spans="1:21" ht="125.1" customHeight="1" x14ac:dyDescent="0.15">
      <c r="A37" s="7" t="s">
        <v>164</v>
      </c>
      <c r="B37" s="25"/>
      <c r="C37" s="26" t="s">
        <v>58</v>
      </c>
      <c r="D37" s="10"/>
      <c r="E37" s="26" t="s">
        <v>64</v>
      </c>
      <c r="F37" s="19" t="s">
        <v>169</v>
      </c>
      <c r="G37" s="21">
        <v>1000</v>
      </c>
      <c r="H37" s="20" t="s">
        <v>29</v>
      </c>
      <c r="I37" s="15">
        <v>1</v>
      </c>
      <c r="J37" s="10">
        <v>1</v>
      </c>
      <c r="K37" s="15" t="str">
        <f t="shared" si="1"/>
        <v>true</v>
      </c>
      <c r="L37" s="30" t="s">
        <v>316</v>
      </c>
      <c r="N37" s="3" t="s">
        <v>284</v>
      </c>
      <c r="O37" s="3" t="s">
        <v>285</v>
      </c>
      <c r="T37" s="3" t="s">
        <v>175</v>
      </c>
      <c r="U37" s="8" t="s">
        <v>225</v>
      </c>
    </row>
    <row r="38" spans="1:21" ht="125.1" customHeight="1" x14ac:dyDescent="0.15">
      <c r="A38" s="7" t="s">
        <v>165</v>
      </c>
      <c r="B38" s="25"/>
      <c r="C38" s="26" t="s">
        <v>58</v>
      </c>
      <c r="D38" s="10"/>
      <c r="E38" s="26" t="s">
        <v>67</v>
      </c>
      <c r="F38" s="19" t="s">
        <v>170</v>
      </c>
      <c r="G38" s="21">
        <v>1000</v>
      </c>
      <c r="H38" s="20" t="s">
        <v>29</v>
      </c>
      <c r="I38" s="15">
        <v>1</v>
      </c>
      <c r="J38" s="10">
        <v>1</v>
      </c>
      <c r="K38" s="15" t="str">
        <f t="shared" si="1"/>
        <v>true</v>
      </c>
      <c r="L38" s="30" t="s">
        <v>316</v>
      </c>
      <c r="N38" s="3" t="s">
        <v>286</v>
      </c>
      <c r="O38" s="3" t="s">
        <v>287</v>
      </c>
      <c r="P38" s="7" t="s">
        <v>176</v>
      </c>
      <c r="T38" s="7" t="s">
        <v>177</v>
      </c>
      <c r="U38" s="8" t="s">
        <v>225</v>
      </c>
    </row>
    <row r="39" spans="1:21" ht="168.75" customHeight="1" x14ac:dyDescent="0.15">
      <c r="A39" s="7" t="s">
        <v>166</v>
      </c>
      <c r="B39" s="25"/>
      <c r="C39" s="26" t="s">
        <v>58</v>
      </c>
      <c r="D39" s="10"/>
      <c r="E39" s="26" t="s">
        <v>70</v>
      </c>
      <c r="F39" s="19" t="s">
        <v>171</v>
      </c>
      <c r="G39" s="21">
        <v>1000</v>
      </c>
      <c r="H39" s="20" t="s">
        <v>29</v>
      </c>
      <c r="I39" s="15">
        <v>1</v>
      </c>
      <c r="J39" s="10">
        <v>1</v>
      </c>
      <c r="K39" s="15" t="str">
        <f t="shared" si="1"/>
        <v>true</v>
      </c>
      <c r="L39" s="30" t="s">
        <v>316</v>
      </c>
      <c r="N39" s="3" t="s">
        <v>288</v>
      </c>
      <c r="O39" s="3" t="s">
        <v>289</v>
      </c>
      <c r="P39" s="11" t="s">
        <v>173</v>
      </c>
      <c r="T39" s="3" t="s">
        <v>174</v>
      </c>
      <c r="U39" s="8" t="s">
        <v>225</v>
      </c>
    </row>
    <row r="40" spans="1:21" ht="159" customHeight="1" x14ac:dyDescent="0.15">
      <c r="A40" s="7" t="s">
        <v>167</v>
      </c>
      <c r="B40" s="25"/>
      <c r="C40" s="26" t="s">
        <v>58</v>
      </c>
      <c r="D40" s="10"/>
      <c r="E40" s="26" t="s">
        <v>73</v>
      </c>
      <c r="F40" s="19" t="s">
        <v>172</v>
      </c>
      <c r="G40" s="21">
        <v>1000</v>
      </c>
      <c r="H40" s="20" t="s">
        <v>29</v>
      </c>
      <c r="I40" s="15">
        <v>1</v>
      </c>
      <c r="J40" s="10">
        <v>1</v>
      </c>
      <c r="K40" s="15" t="str">
        <f t="shared" si="1"/>
        <v>true</v>
      </c>
      <c r="L40" s="30" t="s">
        <v>316</v>
      </c>
      <c r="N40" s="3" t="s">
        <v>290</v>
      </c>
      <c r="O40" s="3" t="s">
        <v>291</v>
      </c>
      <c r="P40" s="11" t="s">
        <v>173</v>
      </c>
      <c r="Q40" s="8"/>
      <c r="R40" s="8"/>
      <c r="S40" s="8"/>
      <c r="T40" s="3" t="s">
        <v>174</v>
      </c>
      <c r="U40" s="8" t="s">
        <v>225</v>
      </c>
    </row>
    <row r="41" spans="1:21" ht="125.1" customHeight="1" x14ac:dyDescent="0.15">
      <c r="A41" s="7" t="s">
        <v>178</v>
      </c>
      <c r="B41" s="25"/>
      <c r="C41" s="26" t="s">
        <v>58</v>
      </c>
      <c r="D41" s="10"/>
      <c r="E41" s="26" t="s">
        <v>59</v>
      </c>
      <c r="F41" s="19" t="s">
        <v>183</v>
      </c>
      <c r="G41" s="21">
        <v>1000</v>
      </c>
      <c r="H41" s="20" t="s">
        <v>29</v>
      </c>
      <c r="I41" s="15">
        <v>1</v>
      </c>
      <c r="J41" s="10">
        <v>1</v>
      </c>
      <c r="K41" s="15" t="str">
        <f t="shared" ref="K41:K45" si="2">H41</f>
        <v>true</v>
      </c>
      <c r="L41" s="30" t="s">
        <v>188</v>
      </c>
      <c r="N41" s="2" t="s">
        <v>292</v>
      </c>
      <c r="O41" s="27" t="s">
        <v>293</v>
      </c>
      <c r="T41" s="7" t="s">
        <v>192</v>
      </c>
      <c r="U41" s="8" t="s">
        <v>225</v>
      </c>
    </row>
    <row r="42" spans="1:21" ht="125.1" customHeight="1" x14ac:dyDescent="0.15">
      <c r="A42" s="7" t="s">
        <v>179</v>
      </c>
      <c r="B42" s="25"/>
      <c r="C42" s="26" t="s">
        <v>58</v>
      </c>
      <c r="D42" s="10"/>
      <c r="E42" s="26" t="s">
        <v>64</v>
      </c>
      <c r="F42" s="19" t="s">
        <v>184</v>
      </c>
      <c r="G42" s="21">
        <v>1000</v>
      </c>
      <c r="H42" s="20" t="s">
        <v>29</v>
      </c>
      <c r="I42" s="15">
        <v>1</v>
      </c>
      <c r="J42" s="10">
        <v>1</v>
      </c>
      <c r="K42" s="15" t="str">
        <f t="shared" si="2"/>
        <v>true</v>
      </c>
      <c r="L42" s="30" t="s">
        <v>189</v>
      </c>
      <c r="N42" s="2" t="s">
        <v>294</v>
      </c>
      <c r="O42" s="27" t="s">
        <v>295</v>
      </c>
      <c r="T42" s="8" t="s">
        <v>192</v>
      </c>
      <c r="U42" s="8" t="s">
        <v>225</v>
      </c>
    </row>
    <row r="43" spans="1:21" ht="125.1" customHeight="1" x14ac:dyDescent="0.15">
      <c r="A43" s="7" t="s">
        <v>180</v>
      </c>
      <c r="B43" s="25"/>
      <c r="C43" s="26" t="s">
        <v>58</v>
      </c>
      <c r="D43" s="10"/>
      <c r="E43" s="26" t="s">
        <v>67</v>
      </c>
      <c r="F43" s="19" t="s">
        <v>185</v>
      </c>
      <c r="G43" s="21">
        <v>1000</v>
      </c>
      <c r="H43" s="20" t="s">
        <v>29</v>
      </c>
      <c r="I43" s="15">
        <v>1</v>
      </c>
      <c r="J43" s="10">
        <v>1</v>
      </c>
      <c r="K43" s="15" t="str">
        <f t="shared" si="2"/>
        <v>true</v>
      </c>
      <c r="L43" s="30" t="s">
        <v>190</v>
      </c>
      <c r="N43" s="2" t="s">
        <v>296</v>
      </c>
      <c r="O43" s="27" t="s">
        <v>295</v>
      </c>
      <c r="T43" s="8" t="s">
        <v>192</v>
      </c>
      <c r="U43" s="8" t="s">
        <v>225</v>
      </c>
    </row>
    <row r="44" spans="1:21" ht="125.1" customHeight="1" x14ac:dyDescent="0.15">
      <c r="A44" s="7" t="s">
        <v>182</v>
      </c>
      <c r="B44" s="25"/>
      <c r="C44" s="26" t="s">
        <v>58</v>
      </c>
      <c r="D44" s="10"/>
      <c r="E44" s="26" t="s">
        <v>70</v>
      </c>
      <c r="F44" s="19" t="s">
        <v>186</v>
      </c>
      <c r="G44" s="21">
        <v>1000</v>
      </c>
      <c r="H44" s="20" t="s">
        <v>29</v>
      </c>
      <c r="I44" s="15">
        <v>1</v>
      </c>
      <c r="J44" s="10">
        <v>1</v>
      </c>
      <c r="K44" s="15" t="str">
        <f t="shared" si="2"/>
        <v>true</v>
      </c>
      <c r="L44" s="30" t="s">
        <v>91</v>
      </c>
      <c r="N44" s="2" t="s">
        <v>297</v>
      </c>
      <c r="O44" s="27" t="s">
        <v>298</v>
      </c>
      <c r="T44" s="8" t="s">
        <v>192</v>
      </c>
      <c r="U44" s="8" t="s">
        <v>225</v>
      </c>
    </row>
    <row r="45" spans="1:21" ht="139.5" customHeight="1" x14ac:dyDescent="0.15">
      <c r="A45" s="8" t="s">
        <v>181</v>
      </c>
      <c r="B45" s="25"/>
      <c r="C45" s="26" t="s">
        <v>58</v>
      </c>
      <c r="D45" s="10"/>
      <c r="E45" s="26" t="s">
        <v>73</v>
      </c>
      <c r="F45" s="19" t="s">
        <v>187</v>
      </c>
      <c r="G45" s="21">
        <v>1000</v>
      </c>
      <c r="H45" s="20" t="s">
        <v>29</v>
      </c>
      <c r="I45" s="15">
        <v>1</v>
      </c>
      <c r="J45" s="10">
        <v>1</v>
      </c>
      <c r="K45" s="15" t="str">
        <f t="shared" si="2"/>
        <v>true</v>
      </c>
      <c r="L45" s="30" t="s">
        <v>191</v>
      </c>
      <c r="N45" s="2" t="s">
        <v>299</v>
      </c>
      <c r="O45" s="27" t="s">
        <v>300</v>
      </c>
      <c r="T45" s="8" t="s">
        <v>192</v>
      </c>
      <c r="U45" s="8" t="s">
        <v>225</v>
      </c>
    </row>
    <row r="46" spans="1:21" ht="125.1" customHeight="1" x14ac:dyDescent="0.15">
      <c r="A46" s="7" t="s">
        <v>193</v>
      </c>
      <c r="B46" s="25"/>
      <c r="C46" s="26" t="s">
        <v>58</v>
      </c>
      <c r="E46" s="26" t="s">
        <v>73</v>
      </c>
      <c r="F46" s="19" t="s">
        <v>195</v>
      </c>
      <c r="G46" s="21">
        <v>1000</v>
      </c>
      <c r="H46" s="20" t="s">
        <v>29</v>
      </c>
      <c r="I46" s="15">
        <v>1</v>
      </c>
      <c r="J46" s="10">
        <v>1</v>
      </c>
      <c r="K46" s="15" t="str">
        <f t="shared" ref="K46" si="3">H46</f>
        <v>true</v>
      </c>
      <c r="N46" s="3" t="s">
        <v>194</v>
      </c>
      <c r="O46" s="3" t="s">
        <v>197</v>
      </c>
      <c r="U46" s="8" t="s">
        <v>225</v>
      </c>
    </row>
    <row r="47" spans="1:21" s="8" customFormat="1" ht="125.1" customHeight="1" x14ac:dyDescent="0.15">
      <c r="A47" s="8" t="s">
        <v>199</v>
      </c>
      <c r="B47" s="25"/>
      <c r="C47" s="26" t="s">
        <v>58</v>
      </c>
      <c r="E47" s="26" t="s">
        <v>64</v>
      </c>
      <c r="F47" s="19" t="s">
        <v>196</v>
      </c>
      <c r="G47" s="21">
        <v>1000</v>
      </c>
      <c r="H47" s="20" t="s">
        <v>29</v>
      </c>
      <c r="I47" s="15">
        <v>1</v>
      </c>
      <c r="J47" s="10">
        <v>1</v>
      </c>
      <c r="K47" s="15" t="str">
        <f t="shared" ref="K47:K50" si="4">H47</f>
        <v>true</v>
      </c>
      <c r="N47" s="3" t="s">
        <v>301</v>
      </c>
      <c r="O47" s="3" t="s">
        <v>302</v>
      </c>
      <c r="U47" s="8" t="s">
        <v>225</v>
      </c>
    </row>
    <row r="48" spans="1:21" s="8" customFormat="1" ht="125.1" customHeight="1" x14ac:dyDescent="0.15">
      <c r="A48" s="8" t="s">
        <v>200</v>
      </c>
      <c r="B48" s="25"/>
      <c r="C48" s="26" t="s">
        <v>58</v>
      </c>
      <c r="E48" s="26" t="s">
        <v>67</v>
      </c>
      <c r="F48" s="19" t="s">
        <v>196</v>
      </c>
      <c r="G48" s="21">
        <v>1000</v>
      </c>
      <c r="H48" s="20" t="s">
        <v>29</v>
      </c>
      <c r="I48" s="15">
        <v>1</v>
      </c>
      <c r="J48" s="10">
        <v>1</v>
      </c>
      <c r="K48" s="15" t="str">
        <f t="shared" si="4"/>
        <v>true</v>
      </c>
      <c r="N48" s="3" t="s">
        <v>303</v>
      </c>
      <c r="O48" s="3" t="s">
        <v>302</v>
      </c>
      <c r="U48" s="8" t="s">
        <v>225</v>
      </c>
    </row>
    <row r="49" spans="1:21" s="8" customFormat="1" ht="125.1" customHeight="1" x14ac:dyDescent="0.15">
      <c r="A49" s="8" t="s">
        <v>201</v>
      </c>
      <c r="B49" s="25"/>
      <c r="C49" s="26" t="s">
        <v>58</v>
      </c>
      <c r="E49" s="26" t="s">
        <v>70</v>
      </c>
      <c r="F49" s="19" t="s">
        <v>196</v>
      </c>
      <c r="G49" s="21">
        <v>1000</v>
      </c>
      <c r="H49" s="20" t="s">
        <v>29</v>
      </c>
      <c r="I49" s="15">
        <v>1</v>
      </c>
      <c r="J49" s="10">
        <v>1</v>
      </c>
      <c r="K49" s="15" t="str">
        <f t="shared" si="4"/>
        <v>true</v>
      </c>
      <c r="N49" s="3" t="s">
        <v>304</v>
      </c>
      <c r="O49" s="3" t="s">
        <v>305</v>
      </c>
      <c r="U49" s="8" t="s">
        <v>225</v>
      </c>
    </row>
    <row r="50" spans="1:21" s="8" customFormat="1" ht="145.5" customHeight="1" x14ac:dyDescent="0.15">
      <c r="A50" s="8" t="s">
        <v>202</v>
      </c>
      <c r="B50" s="25"/>
      <c r="C50" s="26" t="s">
        <v>58</v>
      </c>
      <c r="E50" s="26" t="s">
        <v>73</v>
      </c>
      <c r="F50" s="19" t="s">
        <v>196</v>
      </c>
      <c r="G50" s="21">
        <v>1000</v>
      </c>
      <c r="H50" s="20" t="s">
        <v>29</v>
      </c>
      <c r="I50" s="15">
        <v>1</v>
      </c>
      <c r="J50" s="10">
        <v>1</v>
      </c>
      <c r="K50" s="15" t="str">
        <f t="shared" si="4"/>
        <v>true</v>
      </c>
      <c r="N50" s="3" t="s">
        <v>306</v>
      </c>
      <c r="O50" s="3" t="s">
        <v>307</v>
      </c>
      <c r="T50" s="8" t="s">
        <v>198</v>
      </c>
      <c r="U50" s="8" t="s">
        <v>225</v>
      </c>
    </row>
    <row r="51" spans="1:21" ht="13.5" customHeight="1" x14ac:dyDescent="0.15"/>
  </sheetData>
  <phoneticPr fontId="13" type="noConversion"/>
  <conditionalFormatting sqref="F1">
    <cfRule type="duplicateValues" dxfId="4" priority="5"/>
  </conditionalFormatting>
  <conditionalFormatting sqref="P1:P3">
    <cfRule type="duplicateValues" dxfId="3" priority="6"/>
  </conditionalFormatting>
  <conditionalFormatting sqref="A4:A7">
    <cfRule type="duplicateValues" dxfId="2" priority="3"/>
  </conditionalFormatting>
  <conditionalFormatting sqref="P14:P29 P31:P35">
    <cfRule type="duplicateValues" dxfId="1" priority="2"/>
  </conditionalFormatting>
  <conditionalFormatting sqref="P30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初始化">
                <anchor moveWithCells="1" sizeWithCells="1">
                  <from>
                    <xdr:col>12</xdr:col>
                    <xdr:colOff>657225</xdr:colOff>
                    <xdr:row>0</xdr:row>
                    <xdr:rowOff>28575</xdr:rowOff>
                  </from>
                  <to>
                    <xdr:col>13</xdr:col>
                    <xdr:colOff>885825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3"/>
  <sheetViews>
    <sheetView zoomScale="115" zoomScaleNormal="115" workbookViewId="0">
      <selection activeCell="E10" sqref="E10"/>
    </sheetView>
  </sheetViews>
  <sheetFormatPr defaultColWidth="9" defaultRowHeight="13.5" x14ac:dyDescent="0.15"/>
  <sheetData>
    <row r="1" spans="1:1" ht="16.5" x14ac:dyDescent="0.15">
      <c r="A1" s="1" t="s">
        <v>30</v>
      </c>
    </row>
    <row r="2" spans="1:1" ht="15" x14ac:dyDescent="0.15">
      <c r="A2" s="1" t="s">
        <v>31</v>
      </c>
    </row>
    <row r="3" spans="1:1" ht="16.5" x14ac:dyDescent="0.15">
      <c r="A3" s="1" t="s">
        <v>32</v>
      </c>
    </row>
    <row r="4" spans="1:1" ht="15" x14ac:dyDescent="0.15">
      <c r="A4" s="1" t="s">
        <v>115</v>
      </c>
    </row>
    <row r="5" spans="1:1" ht="15" x14ac:dyDescent="0.15">
      <c r="A5" s="1" t="s">
        <v>33</v>
      </c>
    </row>
    <row r="6" spans="1:1" ht="15" x14ac:dyDescent="0.15">
      <c r="A6" s="1" t="s">
        <v>34</v>
      </c>
    </row>
    <row r="7" spans="1:1" ht="15" x14ac:dyDescent="0.15">
      <c r="A7" s="1" t="s">
        <v>35</v>
      </c>
    </row>
    <row r="8" spans="1:1" ht="15" x14ac:dyDescent="0.15">
      <c r="A8" s="1" t="s">
        <v>36</v>
      </c>
    </row>
    <row r="9" spans="1:1" ht="15" x14ac:dyDescent="0.15">
      <c r="A9" s="5"/>
    </row>
    <row r="10" spans="1:1" ht="16.5" x14ac:dyDescent="0.15">
      <c r="A10" s="6"/>
    </row>
    <row r="11" spans="1:1" ht="15" x14ac:dyDescent="0.15">
      <c r="A11" s="5"/>
    </row>
    <row r="12" spans="1:1" ht="16.5" x14ac:dyDescent="0.15">
      <c r="A12" s="6"/>
    </row>
    <row r="13" spans="1:1" ht="15" x14ac:dyDescent="0.15">
      <c r="A13" s="5"/>
    </row>
    <row r="14" spans="1:1" ht="16.5" x14ac:dyDescent="0.15">
      <c r="A14" s="6"/>
    </row>
    <row r="15" spans="1:1" ht="15" x14ac:dyDescent="0.15">
      <c r="A15" s="5"/>
    </row>
    <row r="16" spans="1:1" ht="16.5" x14ac:dyDescent="0.15">
      <c r="A16" s="6"/>
    </row>
    <row r="17" spans="1:1" ht="15" x14ac:dyDescent="0.15">
      <c r="A17" s="5"/>
    </row>
    <row r="18" spans="1:1" ht="16.5" x14ac:dyDescent="0.15">
      <c r="A18" s="6"/>
    </row>
    <row r="19" spans="1:1" ht="15" x14ac:dyDescent="0.15">
      <c r="A19" s="5"/>
    </row>
    <row r="20" spans="1:1" ht="16.5" x14ac:dyDescent="0.15">
      <c r="A20" s="6"/>
    </row>
    <row r="21" spans="1:1" ht="15" x14ac:dyDescent="0.15">
      <c r="A21" s="5"/>
    </row>
    <row r="22" spans="1:1" ht="16.5" x14ac:dyDescent="0.15">
      <c r="A22" s="6"/>
    </row>
    <row r="23" spans="1:1" ht="15" x14ac:dyDescent="0.15">
      <c r="A23" s="5"/>
    </row>
    <row r="24" spans="1:1" ht="16.5" x14ac:dyDescent="0.15">
      <c r="A24" s="6"/>
    </row>
    <row r="25" spans="1:1" ht="15" x14ac:dyDescent="0.15">
      <c r="A25" s="5"/>
    </row>
    <row r="26" spans="1:1" ht="16.5" x14ac:dyDescent="0.15">
      <c r="A26" s="6"/>
    </row>
    <row r="27" spans="1:1" ht="15" x14ac:dyDescent="0.15">
      <c r="A27" s="5"/>
    </row>
    <row r="28" spans="1:1" ht="16.5" x14ac:dyDescent="0.15">
      <c r="A28" s="6"/>
    </row>
    <row r="29" spans="1:1" ht="15" x14ac:dyDescent="0.15">
      <c r="A29" s="5"/>
    </row>
    <row r="30" spans="1:1" ht="16.5" x14ac:dyDescent="0.15">
      <c r="A30" s="6"/>
    </row>
    <row r="31" spans="1:1" ht="15" x14ac:dyDescent="0.15">
      <c r="A31" s="5"/>
    </row>
    <row r="32" spans="1:1" ht="16.5" x14ac:dyDescent="0.15">
      <c r="A32" s="6"/>
    </row>
    <row r="33" spans="1:1" ht="15" x14ac:dyDescent="0.15">
      <c r="A33" s="5"/>
    </row>
    <row r="34" spans="1:1" ht="16.5" x14ac:dyDescent="0.15">
      <c r="A34" s="6"/>
    </row>
    <row r="35" spans="1:1" ht="15" x14ac:dyDescent="0.15">
      <c r="A35" s="5"/>
    </row>
    <row r="36" spans="1:1" ht="16.5" x14ac:dyDescent="0.15">
      <c r="A36" s="6"/>
    </row>
    <row r="37" spans="1:1" ht="15" x14ac:dyDescent="0.15">
      <c r="A37" s="5"/>
    </row>
    <row r="38" spans="1:1" ht="16.5" x14ac:dyDescent="0.15">
      <c r="A38" s="6"/>
    </row>
    <row r="39" spans="1:1" ht="15" x14ac:dyDescent="0.15">
      <c r="A39" s="5"/>
    </row>
    <row r="40" spans="1:1" ht="16.5" x14ac:dyDescent="0.15">
      <c r="A40" s="6"/>
    </row>
    <row r="41" spans="1:1" ht="15" x14ac:dyDescent="0.15">
      <c r="A41" s="5"/>
    </row>
    <row r="42" spans="1:1" ht="16.5" x14ac:dyDescent="0.15">
      <c r="A42" s="6"/>
    </row>
    <row r="43" spans="1:1" ht="15" x14ac:dyDescent="0.15">
      <c r="A43" s="5"/>
    </row>
  </sheetData>
  <phoneticPr fontId="1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16"/>
  <sheetViews>
    <sheetView workbookViewId="0">
      <selection activeCell="F13" sqref="F13"/>
    </sheetView>
  </sheetViews>
  <sheetFormatPr defaultColWidth="9" defaultRowHeight="13.5" x14ac:dyDescent="0.15"/>
  <sheetData>
    <row r="1" spans="1:21" ht="15" x14ac:dyDescent="0.15">
      <c r="A1" s="1" t="s">
        <v>40</v>
      </c>
    </row>
    <row r="2" spans="1:21" ht="15" x14ac:dyDescent="0.15">
      <c r="A2" s="1" t="s">
        <v>37</v>
      </c>
    </row>
    <row r="3" spans="1:21" ht="15" x14ac:dyDescent="0.15">
      <c r="A3" s="1" t="s">
        <v>38</v>
      </c>
    </row>
    <row r="4" spans="1:21" ht="15" x14ac:dyDescent="0.15">
      <c r="A4" s="1" t="s">
        <v>41</v>
      </c>
    </row>
    <row r="5" spans="1:21" ht="15" x14ac:dyDescent="0.15">
      <c r="A5" s="1" t="s">
        <v>42</v>
      </c>
    </row>
    <row r="6" spans="1:21" ht="15" x14ac:dyDescent="0.15">
      <c r="A6" s="1" t="s">
        <v>43</v>
      </c>
    </row>
    <row r="7" spans="1:21" ht="15" x14ac:dyDescent="0.15">
      <c r="A7" s="1" t="s">
        <v>44</v>
      </c>
    </row>
    <row r="8" spans="1:21" ht="15" x14ac:dyDescent="0.15">
      <c r="A8" s="1" t="s">
        <v>39</v>
      </c>
    </row>
    <row r="11" spans="1:21" ht="14.25" x14ac:dyDescent="0.15">
      <c r="I11" s="2"/>
      <c r="J11" s="3"/>
    </row>
    <row r="12" spans="1:21" ht="14.25" x14ac:dyDescent="0.15">
      <c r="I12" s="2"/>
      <c r="J12" s="3"/>
    </row>
    <row r="13" spans="1:21" ht="14.25" x14ac:dyDescent="0.15">
      <c r="H13" s="2"/>
      <c r="I13" s="3"/>
      <c r="U13" s="3"/>
    </row>
    <row r="14" spans="1:21" ht="14.25" x14ac:dyDescent="0.15">
      <c r="U14" s="3"/>
    </row>
    <row r="15" spans="1:21" ht="14.25" x14ac:dyDescent="0.15">
      <c r="U15" s="3"/>
    </row>
    <row r="16" spans="1:21" ht="14.25" x14ac:dyDescent="0.15">
      <c r="U16" s="4"/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B0C5E-067D-4FDA-9FF4-F488159E813B}">
  <sheetPr codeName="Sheet2"/>
  <dimension ref="A1:G42"/>
  <sheetViews>
    <sheetView topLeftCell="A2" workbookViewId="0">
      <selection activeCell="G7" sqref="G7"/>
    </sheetView>
  </sheetViews>
  <sheetFormatPr defaultRowHeight="13.5" x14ac:dyDescent="0.15"/>
  <cols>
    <col min="1" max="1" width="22.5" style="32" customWidth="1"/>
    <col min="2" max="2" width="5.5" style="32" customWidth="1"/>
    <col min="3" max="3" width="19.375" style="32" customWidth="1"/>
    <col min="4" max="4" width="6.125" style="32" customWidth="1"/>
    <col min="5" max="5" width="4.375" style="32" customWidth="1"/>
    <col min="6" max="6" width="6.625" customWidth="1"/>
    <col min="7" max="7" width="73.75" style="32" customWidth="1"/>
    <col min="8" max="16384" width="9" style="32"/>
  </cols>
  <sheetData>
    <row r="1" spans="1:7" ht="15" x14ac:dyDescent="0.25">
      <c r="A1" s="38"/>
      <c r="B1" s="38"/>
    </row>
    <row r="2" spans="1:7" ht="35.25" customHeight="1" x14ac:dyDescent="0.15">
      <c r="A2" s="37" t="s">
        <v>3</v>
      </c>
      <c r="B2" s="36" t="s">
        <v>114</v>
      </c>
      <c r="C2" s="40" t="s">
        <v>113</v>
      </c>
      <c r="D2" s="40"/>
      <c r="E2" s="40"/>
      <c r="G2" s="32" t="s">
        <v>112</v>
      </c>
    </row>
    <row r="3" spans="1:7" ht="38.25" customHeight="1" x14ac:dyDescent="0.15">
      <c r="A3" s="36" t="s">
        <v>111</v>
      </c>
      <c r="B3" s="35" t="s">
        <v>110</v>
      </c>
      <c r="C3" s="34" t="s">
        <v>117</v>
      </c>
      <c r="D3" s="34"/>
      <c r="E3" s="34"/>
      <c r="G3" s="33" t="str">
        <f>"}
mt.event_name = '造成伤害效果'
mt.chance = mt."&amp;B3&amp;"
function mt:damage_start(damage)
    local skill = self
    local hero = self.owner
    local p = hero:get_owner()
    local target = damage.target
"&amp;"
	if not damage:is_common_attack()  then 
		return 
	end 
	ac.effect_ex{
	    model = skill.effect,
	    point = "&amp;C3&amp;":get_point(),
	}:remove()
	for i, u in ac.selector()
		: in_range("&amp;C3&amp;",self.damage_area)
		: is_enemy(hero)
		: ipairs()
	do
		u:damage
		{
			source = hero,
			skill = skill,
			damage = skill.damage,
			damage_type = '法术'
		}
	end	
end"</f>
        <v>}
mt.event_name = '造成伤害效果'
mt.chance = mt.v1
function mt:damage_start(damage)
    local skill = self
    local hero = self.owner
    local p = hero:get_owner()
    local target = damage.target
	if not damage:is_common_attack()  then 
		return 
	end 
	ac.effect_ex{
	    model = skill.effect,
	    point = target:get_point(),
	}:remove()
	for i, u in ac.selector()
		: in_range(target,self.damage_area)
		: is_enemy(hero)
		: ipairs()
	do
		u:damage
		{
			source = hero,
			skill = skill,
			damage = skill.damage,
			damage_type = '法术'
		}
	end	
end</v>
      </c>
    </row>
    <row r="4" spans="1:7" ht="57" customHeight="1" x14ac:dyDescent="0.15">
      <c r="A4" s="34" t="s">
        <v>116</v>
      </c>
      <c r="B4" s="34" t="s">
        <v>110</v>
      </c>
      <c r="C4" s="34"/>
      <c r="D4" s="34"/>
      <c r="E4" s="34"/>
      <c r="G4" s="33" t="str">
        <f>"}
function mt:on_add()
    local skill = self
    local hero = self.owner 
    if not hero:is_hero() then return end
    self.trg = hero:loop("&amp;"1000,function ()
		if not hero:is_alive() then return end 
        for i, u in ac.selector()
            : in_range(hero,self.area)
            : is_enemy(hero)
			: of_not_building()
			: ipairs()
        do "&amp;"
            u:add_buff('火焰')
			{
				source = hero,
				skill = skill,
				time =  self."&amp;B4&amp;",
				pulse = self."&amp;B4&amp;",
				is_damage_on_add = false,
                damage = self.damage,
			}
        end
    end)
end"</f>
        <v>}
function mt:on_add()
    local skill = self
    local hero = self.owner 
    if not hero:is_hero() then return end
    self.trg = hero:loop(1000,function ()
		if not hero:is_alive() then return end 
        for i, u in ac.selector()
            : in_range(hero,self.area)
            : is_enemy(hero)
			: of_not_building()
			: ipairs()
        do 
            u:add_buff('火焰')
			{
				source = hero,
				skill = skill,
				time =  self.v1,
				pulse = self.v1,
				is_damage_on_add = false,
                damage = self.damage,
			}
        end
    end)
end</v>
      </c>
    </row>
    <row r="6" spans="1:7" x14ac:dyDescent="0.15">
      <c r="A6" s="32" t="s">
        <v>213</v>
      </c>
      <c r="B6" s="32" t="s">
        <v>114</v>
      </c>
      <c r="C6" s="32" t="s">
        <v>207</v>
      </c>
      <c r="D6" s="32" t="s">
        <v>208</v>
      </c>
      <c r="E6" s="32" t="s">
        <v>209</v>
      </c>
      <c r="F6" s="43" t="s">
        <v>221</v>
      </c>
    </row>
    <row r="7" spans="1:7" ht="47.25" customHeight="1" x14ac:dyDescent="0.15">
      <c r="A7" s="39" t="s">
        <v>203</v>
      </c>
      <c r="B7" s="34" t="s">
        <v>110</v>
      </c>
      <c r="C7" s="34" t="s">
        <v>210</v>
      </c>
      <c r="D7" s="34" t="s">
        <v>205</v>
      </c>
      <c r="E7" s="34" t="s">
        <v>206</v>
      </c>
      <c r="F7" s="44" t="s">
        <v>117</v>
      </c>
      <c r="G7" s="42" t="str">
        <f>"}
mt.event_name = '造成伤害效果'
mt.chance = mt."&amp;B7&amp;"
mt.attr = '"&amp;C7&amp;"'
mt.time = mt."&amp;E7&amp;"
function mt:damage_start(damage)
    local skill = self
    local hero = self.owner
    local p = hero:get_owner()
    local target = damage.target
    self.value = self."&amp;D7&amp;"
	if not damage:is_common_attack()  then 
		return 
	end 
	"&amp;F7&amp;":add_buff('属性_'..self.attr) {
		time = self.time,
            cover_type = 0,
		value= self.value
	}
end"</f>
        <v>}
mt.event_name = '造成伤害效果'
mt.chance = mt.v1
mt.attr = '护甲%'
mt.time = mt.v3
function mt:damage_start(damage)
    local skill = self
    local hero = self.owner
    local p = hero:get_owner()
    local target = damage.target
    self.value = self.v2
	if not damage:is_common_attack()  then 
		return 
	end 
	target:add_buff('属性_'..self.attr) {
		time = self.time,
            cover_type = 0,
		value= self.value
	}
end</v>
      </c>
    </row>
    <row r="8" spans="1:7" ht="85.5" customHeight="1" x14ac:dyDescent="0.15">
      <c r="A8" s="39" t="s">
        <v>203</v>
      </c>
      <c r="B8" s="34" t="s">
        <v>110</v>
      </c>
      <c r="C8" s="34" t="s">
        <v>211</v>
      </c>
      <c r="D8" s="34" t="s">
        <v>205</v>
      </c>
      <c r="E8" s="34" t="s">
        <v>206</v>
      </c>
      <c r="F8" s="44" t="s">
        <v>222</v>
      </c>
      <c r="G8" s="42" t="str">
        <f t="shared" ref="G8:G9" si="0">"}
mt.event_name = '造成伤害效果'
mt.chance = mt."&amp;B8&amp;"
mt.attr = '"&amp;C8&amp;"'
mt.time = mt."&amp;E8&amp;"
function mt:damage_start(damage)
    local skill = self
    local hero = self.owner
    local p = hero:get_owner()
    local target = damage.target
    self.value = self."&amp;D8&amp;"
	if not damage:is_common_attack()  then 
		return 
	end 
	"&amp;F8&amp;":add_buff('属性_'..self.attr) {
		time = self.time,
            cover_type = 0,
		value= self.value
	}
end"</f>
        <v>}
mt.event_name = '造成伤害效果'
mt.chance = mt.v1
mt.attr = '攻击速度'
mt.time = mt.v3
function mt:damage_start(damage)
    local skill = self
    local hero = self.owner
    local p = hero:get_owner()
    local target = damage.target
    self.value = self.v2
	if not damage:is_common_attack()  then 
		return 
	end 
	hero:add_buff('属性_'..self.attr) {
		time = self.time,
            cover_type = 0,
		value= self.value
	}
end</v>
      </c>
    </row>
    <row r="9" spans="1:7" ht="51" customHeight="1" x14ac:dyDescent="0.15">
      <c r="A9" s="39" t="s">
        <v>203</v>
      </c>
      <c r="B9" s="34" t="s">
        <v>110</v>
      </c>
      <c r="C9" s="34" t="s">
        <v>212</v>
      </c>
      <c r="D9" s="34" t="s">
        <v>205</v>
      </c>
      <c r="E9" s="34" t="s">
        <v>206</v>
      </c>
      <c r="F9" s="44" t="s">
        <v>222</v>
      </c>
      <c r="G9" s="42" t="str">
        <f t="shared" si="0"/>
        <v>}
mt.event_name = '造成伤害效果'
mt.chance = mt.v1
mt.attr = '攻击间隔'
mt.time = mt.v3
function mt:damage_start(damage)
    local skill = self
    local hero = self.owner
    local p = hero:get_owner()
    local target = damage.target
    self.value = self.v2
	if not damage:is_common_attack()  then 
		return 
	end 
	hero:add_buff('属性_'..self.attr) {
		time = self.time,
            cover_type = 0,
		value= self.value
	}
end</v>
      </c>
    </row>
    <row r="12" spans="1:7" x14ac:dyDescent="0.15">
      <c r="A12" s="32" t="s">
        <v>213</v>
      </c>
      <c r="B12" s="32" t="s">
        <v>114</v>
      </c>
      <c r="C12" s="32" t="s">
        <v>215</v>
      </c>
      <c r="D12" s="32" t="s">
        <v>209</v>
      </c>
    </row>
    <row r="13" spans="1:7" s="41" customFormat="1" ht="54" customHeight="1" x14ac:dyDescent="0.15">
      <c r="A13" s="41" t="s">
        <v>214</v>
      </c>
      <c r="B13" s="41" t="s">
        <v>110</v>
      </c>
      <c r="C13" s="41" t="s">
        <v>216</v>
      </c>
      <c r="D13" s="41" t="s">
        <v>205</v>
      </c>
      <c r="G13" s="42" t="str">
        <f>"}
mt.event_name = '造成伤害效果'
mt.chance = mt."&amp;B13&amp;"
function mt:damage_start(damage)
	self.value = "&amp;C13&amp;"
    self.time = self."&amp;D13&amp;"
    local skill = self
    local hero = self.owner
    local p = hero:get_owner()
    local source = hero:get_point()
    local u =  hero:create_illusion(source-{math.random(360),100})
	"&amp;"
    if not u then 
        print('无法创造出镜像')
        return 
    end
    local attribute ={
        ['攻击'] = hero:get('攻击') * self.value,
        ['护甲'] = hero:get('护甲') * self.value,
        ['攻击间隔'] = hero:get('攻击间隔'),
	"&amp;"
        ['攻击速度'] = hero:get('攻击速度'),
        ['生命上限'] = hero:get('生命上限')* self.value,
        ['魔法上限'] = hero:get('魔法上限')* self.value,
	"&amp;"
        ['生命恢复'] = hero:get('生命恢复')* self.value,
        ['魔法恢复'] = hero:get('魔法恢复')* self.value,
        ['移动速度'] = hero:get('移动速度'),
	"&amp;"
        ['暴击几率'] = hero:get('暴击几率'),
        ['暴击伤害'] = hero:get('暴击伤害'),
        ['会心几率'] = hero:get('会心几率'),
        ['会心伤害'] = hero:get('会心伤害'),
	"&amp;"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	"&amp;"
    u:remove_ability 'AInv'
    --模型
    local model = hero:get_slk 'file'
	if not getextension(model) then 
		model = model..'.mdl'
	end	
	"&amp;"
    u:add_buff '召唤物'{
        model = model,
        time = self.time,
        attribute = attribute,
        remove_target = true,
        skill = self,
        follow = true,
        search_area = 500, 
    }
end"</f>
        <v>}
mt.event_name = '造成伤害效果'
mt.chance = mt.v1
function mt:damage_start(damage)
	self.value = 0.4+0.04*self.level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v>
      </c>
    </row>
    <row r="14" spans="1:7" s="41" customFormat="1" ht="30" customHeight="1" x14ac:dyDescent="0.15">
      <c r="A14" s="41" t="s">
        <v>214</v>
      </c>
      <c r="B14" s="41" t="s">
        <v>110</v>
      </c>
      <c r="C14" s="41" t="s">
        <v>217</v>
      </c>
      <c r="D14" s="41" t="s">
        <v>205</v>
      </c>
      <c r="G14" s="42" t="str">
        <f t="shared" ref="G14:G17" si="1">"}
mt.event_name = '造成伤害效果'
mt.chance = mt."&amp;B14&amp;"
function mt:damage_start(damage)
	self.value = "&amp;C14&amp;"
    self.time = self."&amp;D14&amp;"
    local skill = self
    local hero = self.owner
    local p = hero:get_owner()
    local source = hero:get_point()
    local u =  hero:create_illusion(source-{math.random(360),100})
	"&amp;"
    if not u then 
        print('无法创造出镜像')
        return 
    end
    local attribute ={
        ['攻击'] = hero:get('攻击') * self.value,
        ['护甲'] = hero:get('护甲') * self.value,
        ['攻击间隔'] = hero:get('攻击间隔'),
	"&amp;"
        ['攻击速度'] = hero:get('攻击速度'),
        ['生命上限'] = hero:get('生命上限')* self.value,
        ['魔法上限'] = hero:get('魔法上限')* self.value,
	"&amp;"
        ['生命恢复'] = hero:get('生命恢复')* self.value,
        ['魔法恢复'] = hero:get('魔法恢复')* self.value,
        ['移动速度'] = hero:get('移动速度'),
	"&amp;"
        ['暴击几率'] = hero:get('暴击几率'),
        ['暴击伤害'] = hero:get('暴击伤害'),
        ['会心几率'] = hero:get('会心几率'),
        ['会心伤害'] = hero:get('会心伤害'),
	"&amp;"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	"&amp;"
    u:remove_ability 'AInv'
    --模型
    local model = hero:get_slk 'file'
	if not getextension(model) then 
		model = model..'.mdl'
	end	
	"&amp;"
    u:add_buff '召唤物'{
        model = model,
        time = self.time,
        attribute = attribute,
        remove_target = true,
        skill = self,
        follow = true,
        search_area = 500, 
    }
end"</f>
        <v>}
mt.event_name = '造成伤害效果'
mt.chance = mt.v1
function mt:damage_start(damage)
	self.value = 0.5+0.05*self.level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v>
      </c>
    </row>
    <row r="15" spans="1:7" s="41" customFormat="1" ht="30" customHeight="1" x14ac:dyDescent="0.15">
      <c r="A15" s="41" t="s">
        <v>214</v>
      </c>
      <c r="B15" s="41" t="s">
        <v>204</v>
      </c>
      <c r="C15" s="41" t="s">
        <v>218</v>
      </c>
      <c r="D15" s="41" t="s">
        <v>205</v>
      </c>
      <c r="G15" s="42" t="str">
        <f t="shared" si="1"/>
        <v>}
mt.event_name = '造成伤害效果'
mt.chance = mt.v1
function mt:damage_start(damage)
	self.value = 0.6+0.06*self.level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v>
      </c>
    </row>
    <row r="16" spans="1:7" s="41" customFormat="1" ht="30" customHeight="1" x14ac:dyDescent="0.15">
      <c r="A16" s="41" t="s">
        <v>214</v>
      </c>
      <c r="B16" s="41" t="s">
        <v>204</v>
      </c>
      <c r="C16" s="41" t="s">
        <v>219</v>
      </c>
      <c r="D16" s="41" t="s">
        <v>205</v>
      </c>
      <c r="G16" s="42" t="str">
        <f t="shared" si="1"/>
        <v>}
mt.event_name = '造成伤害效果'
mt.chance = mt.v1
function mt:damage_start(damage)
	self.value = 0.7+0.07*self.level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v>
      </c>
    </row>
    <row r="17" spans="1:7" s="41" customFormat="1" ht="30" customHeight="1" x14ac:dyDescent="0.15">
      <c r="A17" s="41" t="s">
        <v>214</v>
      </c>
      <c r="B17" s="41" t="s">
        <v>204</v>
      </c>
      <c r="C17" s="41" t="s">
        <v>220</v>
      </c>
      <c r="D17" s="41" t="s">
        <v>205</v>
      </c>
      <c r="G17" s="42" t="str">
        <f t="shared" si="1"/>
        <v>}
mt.event_name = '造成伤害效果'
mt.chance = mt.v1
function mt:damage_start(damage)
	self.value = 0.8+0.08*self.level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v>
      </c>
    </row>
    <row r="18" spans="1:7" s="41" customFormat="1" x14ac:dyDescent="0.15"/>
    <row r="19" spans="1:7" s="41" customFormat="1" x14ac:dyDescent="0.15"/>
    <row r="20" spans="1:7" s="41" customFormat="1" x14ac:dyDescent="0.15"/>
    <row r="21" spans="1:7" s="41" customFormat="1" x14ac:dyDescent="0.15"/>
    <row r="22" spans="1:7" s="41" customFormat="1" x14ac:dyDescent="0.15"/>
    <row r="23" spans="1:7" s="41" customFormat="1" x14ac:dyDescent="0.15"/>
    <row r="24" spans="1:7" s="41" customFormat="1" x14ac:dyDescent="0.15"/>
    <row r="25" spans="1:7" s="41" customFormat="1" x14ac:dyDescent="0.15"/>
    <row r="26" spans="1:7" s="41" customFormat="1" x14ac:dyDescent="0.15"/>
    <row r="27" spans="1:7" s="41" customFormat="1" x14ac:dyDescent="0.15"/>
    <row r="28" spans="1:7" s="41" customFormat="1" x14ac:dyDescent="0.15"/>
    <row r="29" spans="1:7" s="41" customFormat="1" x14ac:dyDescent="0.15"/>
    <row r="30" spans="1:7" s="41" customFormat="1" x14ac:dyDescent="0.15"/>
    <row r="31" spans="1:7" s="41" customFormat="1" x14ac:dyDescent="0.15"/>
    <row r="32" spans="1:7" s="41" customFormat="1" x14ac:dyDescent="0.15"/>
    <row r="33" s="41" customFormat="1" x14ac:dyDescent="0.15"/>
    <row r="34" s="41" customFormat="1" x14ac:dyDescent="0.15"/>
    <row r="35" s="41" customFormat="1" x14ac:dyDescent="0.15"/>
    <row r="36" s="41" customFormat="1" x14ac:dyDescent="0.15"/>
    <row r="37" s="41" customFormat="1" x14ac:dyDescent="0.15"/>
    <row r="38" s="41" customFormat="1" x14ac:dyDescent="0.15"/>
    <row r="39" s="41" customFormat="1" x14ac:dyDescent="0.15"/>
    <row r="40" s="41" customFormat="1" x14ac:dyDescent="0.15"/>
    <row r="41" s="41" customFormat="1" x14ac:dyDescent="0.15"/>
    <row r="42" s="41" customFormat="1" x14ac:dyDescent="0.15"/>
  </sheetData>
  <phoneticPr fontId="13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通用变量</vt:lpstr>
      <vt:lpstr>通用回调</vt:lpstr>
      <vt:lpstr>技能模板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2020-03-02T09:02:44Z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